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xml version="1.0" encoding="utf-8"?><Relationships xmlns="http://schemas.openxmlformats.org/package/2006/relationships"><Relationship Type="http://schemas.openxmlformats.org/officeDocument/2006/relationships/officeDocument" Target="xl/workbook.xml" Id="Rf42bf18f458249c1" /></Relationships>
</file>

<file path=xl/workbook.xml><?xml version="1.0" encoding="utf-8"?>
<workbook xmlns="http://schemas.openxmlformats.org/spreadsheetml/2006/main">
  <sheets>
    <sheet xmlns:r="http://schemas.openxmlformats.org/officeDocument/2006/relationships" name="DOI_CHIEU_KH" sheetId="1" r:id="Rc1797dff0c2f445b"/>
    <sheet xmlns:r="http://schemas.openxmlformats.org/officeDocument/2006/relationships" name="CONG_NO_LICH_SU" sheetId="2" r:id="R99ee4823e7bf4515"/>
    <sheet xmlns:r="http://schemas.openxmlformats.org/officeDocument/2006/relationships" name="CONG_NO_LICH_SU_HANG" sheetId="3" r:id="R0d782cdea9974a93"/>
    <sheet xmlns:r="http://schemas.openxmlformats.org/officeDocument/2006/relationships" name="DOI_CHIEU_CONG_NO" sheetId="4" r:id="R8373c33f406d49ac"/>
    <sheet xmlns:r="http://schemas.openxmlformats.org/officeDocument/2006/relationships" name="TACH_NO" sheetId="5" r:id="Raca71a2ddd3746d5"/>
    <sheet xmlns:r="http://schemas.openxmlformats.org/officeDocument/2006/relationships" name="ERP_DA_CO" sheetId="6" r:id="R81824ef3439a4c5a"/>
    <sheet xmlns:r="http://schemas.openxmlformats.org/officeDocument/2006/relationships" name="NGUON_VA_LAM_TRON" sheetId="7" r:id="R613e6ccbb82243a7"/>
    <sheet xmlns:r="http://schemas.openxmlformats.org/officeDocument/2006/relationships" name="KIEM_TRA_NGUON" sheetId="8" r:id="R1ed63431dcb14689"/>
    <sheet xmlns:r="http://schemas.openxmlformats.org/officeDocument/2006/relationships" name="HUONG_DAN" sheetId="9" r:id="Rb5543825f3204512"/>
  </sheets>
</workbook>
</file>

<file path=xl/sharedStrings.xml><?xml version="1.0" encoding="utf-8"?>
<sst xmlns="http://schemas.openxmlformats.org/spreadsheetml/2006/main"/>
</file>

<file path=xl/styles.xml><?xml version="1.0" encoding="utf-8"?>
<styleSheet xmlns="http://schemas.openxmlformats.org/spreadsheetml/2006/main">
  <numFmts count="4">
    <numFmt numFmtId="200" formatCode="#,##0;[Red](#,##0);&quot;–&quot;"/>
    <numFmt numFmtId="201" formatCode="0;[Red](0);0"/>
    <numFmt numFmtId="202" formatCode="#,##0.00;[Red](#,##0.00);&quot;–&quot;"/>
    <numFmt numFmtId="203" formatCode="#,##0.000000;[Red](#,##0.000000);&quot;–&quot;"/>
  </numFmts>
  <fonts count="9">
    <font>
      <sz val="11"/>
      <name val="Carlito"/>
    </font>
    <font>
      <sz val="11"/>
      <name val="Calibri"/>
    </font>
    <font>
      <b/>
      <sz val="11"/>
      <color rgb="FFFFFFFF"/>
      <name val="Calibri"/>
    </font>
    <font>
      <sz val="11"/>
      <color rgb="FF0062A6"/>
      <name val="Calibri"/>
    </font>
    <font>
      <b/>
      <sz val="18"/>
      <color rgb="FFFFFFFF"/>
      <name val="Calibri"/>
    </font>
    <font>
      <sz val="11"/>
      <color rgb="FF667789"/>
      <name val="Calibri"/>
    </font>
    <font>
      <b/>
      <sz val="12"/>
      <color rgb="FF17365D"/>
      <name val="Calibri"/>
    </font>
    <font>
      <sz val="11"/>
      <color rgb="FF136F43"/>
      <name val="Calibri"/>
    </font>
    <font>
      <b/>
      <sz val="11"/>
      <name val="Carlito"/>
    </font>
  </fonts>
  <fills count="6">
    <fill>
      <patternFill patternType="none"/>
    </fill>
    <fill>
      <patternFill patternType="gray125"/>
    </fill>
    <fill>
      <patternFill patternType="solid">
        <fgColor rgb="FF17365D"/>
      </patternFill>
    </fill>
    <fill>
      <patternFill patternType="solid">
        <fgColor rgb="FFEDF3F7"/>
      </patternFill>
    </fill>
    <fill>
      <patternFill patternType="solid">
        <fgColor rgb="FFFFF2CC"/>
      </patternFill>
    </fill>
    <fill>
      <patternFill patternType="solid">
        <fgColor rgb="FFEEF1F4"/>
      </patternFill>
    </fill>
  </fills>
  <borders count="1">
    <border>
      <left/>
      <right/>
      <top/>
      <bottom/>
      <diagonal/>
    </border>
  </borders>
  <cellStyleXfs count="1">
    <xf numFmtId="0" fontId="0" fillId="0" borderId="0"/>
  </cellStyleXfs>
  <cellXfs count="31">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1" fillId="2" borderId="0" xfId="0" applyNumberFormat="1" applyFont="1" applyFill="1" applyBorder="1" applyAlignment="1">
      <alignment vertical="center"/>
    </xf>
    <xf numFmtId="0" fontId="2" fillId="2" borderId="0" xfId="0" applyNumberFormat="1" applyFont="1" applyFill="1" applyBorder="1" applyAlignment="1">
      <alignment vertical="center"/>
    </xf>
    <xf numFmtId="0" fontId="2" fillId="2" borderId="0" xfId="0" applyNumberFormat="1" applyFont="1" applyFill="1" applyBorder="1" applyAlignment="1">
      <alignment vertical="center" wrapText="1"/>
    </xf>
    <xf numFmtId="200" fontId="1" fillId="0" borderId="0" xfId="0" applyNumberFormat="1" applyFont="1" applyFill="1" applyBorder="1" applyAlignment="1">
      <alignment vertical="center"/>
    </xf>
    <xf numFmtId="200" fontId="3" fillId="0" borderId="0" xfId="0" applyNumberFormat="1" applyFont="1" applyFill="1" applyBorder="1" applyAlignment="1">
      <alignment vertical="center"/>
    </xf>
    <xf numFmtId="0" fontId="0" fillId="2" borderId="0" xfId="0" applyNumberFormat="1" applyFont="1" applyFill="1" applyBorder="1"/>
    <xf numFmtId="0" fontId="4" fillId="2" borderId="0" xfId="0" applyNumberFormat="1" applyFont="1" applyFill="1" applyBorder="1"/>
    <xf numFmtId="0" fontId="5" fillId="0" borderId="0" xfId="0" applyNumberFormat="1" applyFont="1" applyFill="1" applyBorder="1"/>
    <xf numFmtId="0" fontId="0" fillId="3" borderId="0" xfId="0" applyNumberFormat="1" applyFont="1" applyFill="1" applyBorder="1"/>
    <xf numFmtId="0" fontId="6" fillId="3" borderId="0" xfId="0" applyNumberFormat="1" applyFont="1" applyFill="1" applyBorder="1"/>
    <xf numFmtId="200" fontId="6" fillId="3" borderId="0" xfId="0" applyNumberFormat="1" applyFont="1" applyFill="1" applyBorder="1"/>
    <xf numFmtId="0" fontId="0" fillId="0" borderId="0" xfId="0" applyNumberFormat="1" applyFont="1" applyFill="1" applyBorder="1" applyAlignment="1">
      <alignment wrapText="1"/>
    </xf>
    <xf numFmtId="201" fontId="3" fillId="0" borderId="0" xfId="0" applyNumberFormat="1" applyFont="1" applyFill="1" applyBorder="1" applyAlignment="1">
      <alignment vertical="center"/>
    </xf>
    <xf numFmtId="201" fontId="7" fillId="0" borderId="0" xfId="0" applyNumberFormat="1" applyFont="1" applyFill="1" applyBorder="1" applyAlignment="1">
      <alignment vertical="center"/>
    </xf>
    <xf numFmtId="0" fontId="8" fillId="3" borderId="0" xfId="0" applyNumberFormat="1" applyFont="1" applyFill="1" applyBorder="1"/>
    <xf numFmtId="200" fontId="8" fillId="3" borderId="0" xfId="0" applyNumberFormat="1" applyFont="1" applyFill="1" applyBorder="1"/>
    <xf numFmtId="202" fontId="3" fillId="0" borderId="0" xfId="0" applyNumberFormat="1" applyFont="1" applyFill="1" applyBorder="1" applyAlignment="1">
      <alignment vertical="center"/>
    </xf>
    <xf numFmtId="0" fontId="1" fillId="0"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0" fontId="1" fillId="5" borderId="0" xfId="0" applyNumberFormat="1" applyFont="1" applyFill="1" applyBorder="1" applyAlignment="1">
      <alignment vertical="center"/>
    </xf>
    <xf numFmtId="202" fontId="3" fillId="5" borderId="0" xfId="0" applyNumberFormat="1" applyFont="1" applyFill="1" applyBorder="1" applyAlignment="1">
      <alignment vertical="center"/>
    </xf>
    <xf numFmtId="0" fontId="1" fillId="5" borderId="0" xfId="0" applyNumberFormat="1" applyFont="1" applyFill="1" applyBorder="1" applyAlignment="1">
      <alignment vertical="center" wrapText="1"/>
    </xf>
    <xf numFmtId="0" fontId="5" fillId="5" borderId="0" xfId="0" applyNumberFormat="1" applyFont="1" applyFill="1" applyBorder="1" applyAlignment="1">
      <alignment vertical="center"/>
    </xf>
    <xf numFmtId="202" fontId="5" fillId="5" borderId="0" xfId="0" applyNumberFormat="1" applyFont="1" applyFill="1" applyBorder="1" applyAlignment="1">
      <alignment vertical="center"/>
    </xf>
    <xf numFmtId="0" fontId="5" fillId="5" borderId="0" xfId="0" applyNumberFormat="1" applyFont="1" applyFill="1" applyBorder="1" applyAlignment="1">
      <alignment vertical="center" wrapText="1"/>
    </xf>
    <xf numFmtId="203" fontId="3" fillId="0" borderId="0" xfId="0" applyNumberFormat="1" applyFont="1" applyFill="1" applyBorder="1" applyAlignment="1">
      <alignment vertical="center"/>
    </xf>
    <xf numFmtId="203" fontId="1" fillId="0" borderId="0" xfId="0" applyNumberFormat="1" applyFont="1" applyFill="1" applyBorder="1" applyAlignment="1">
      <alignment vertical="center" wrapText="1"/>
    </xf>
    <xf numFmtId="0" fontId="1" fillId="4" borderId="0" xfId="0" applyNumberFormat="1" applyFont="1" applyFill="1" applyBorder="1" applyAlignment="1">
      <alignment vertical="center"/>
    </xf>
  </cellXfs>
  <cellStyles count="1">
    <cellStyle name="Normal" xfId="0"/>
  </cellStyles>
</styleSheet>
</file>

<file path=xl/_rels/workbook.xml.rels><?xml version="1.0" encoding="utf-8"?><Relationships xmlns="http://schemas.openxmlformats.org/package/2006/relationships"><Relationship Type="http://schemas.openxmlformats.org/officeDocument/2006/relationships/styles" Target="styles.xml" Id="Rd9f14558eef44f12" /><Relationship Type="http://schemas.openxmlformats.org/officeDocument/2006/relationships/theme" Target="theme/theme1.xml" Id="R220c5d6bfbd44d38" /><Relationship Type="http://schemas.openxmlformats.org/officeDocument/2006/relationships/sharedStrings" Target="sharedStrings.xml" Id="Rf2207815e0e845b0" /><Relationship Type="http://schemas.openxmlformats.org/officeDocument/2006/relationships/worksheet" Target="worksheets/sheet1.xml" Id="Rc1797dff0c2f445b" /><Relationship Type="http://schemas.openxmlformats.org/officeDocument/2006/relationships/worksheet" Target="worksheets/sheet2.xml" Id="R99ee4823e7bf4515" /><Relationship Type="http://schemas.openxmlformats.org/officeDocument/2006/relationships/worksheet" Target="worksheets/sheet3.xml" Id="R0d782cdea9974a93" /><Relationship Type="http://schemas.openxmlformats.org/officeDocument/2006/relationships/worksheet" Target="worksheets/sheet4.xml" Id="R8373c33f406d49ac" /><Relationship Type="http://schemas.openxmlformats.org/officeDocument/2006/relationships/worksheet" Target="worksheets/sheet5.xml" Id="Raca71a2ddd3746d5" /><Relationship Type="http://schemas.openxmlformats.org/officeDocument/2006/relationships/worksheet" Target="worksheets/sheet6.xml" Id="R81824ef3439a4c5a" /><Relationship Type="http://schemas.openxmlformats.org/officeDocument/2006/relationships/worksheet" Target="worksheets/sheet7.xml" Id="R613e6ccbb82243a7" /><Relationship Type="http://schemas.openxmlformats.org/officeDocument/2006/relationships/worksheet" Target="worksheets/sheet8.xml" Id="R1ed63431dcb14689" /><Relationship Type="http://schemas.openxmlformats.org/officeDocument/2006/relationships/worksheet" Target="worksheets/sheet9.xml" Id="Rb5543825f3204512" /></Relationships>
</file>

<file path=xl/tables/table1.xml><?xml version="1.0" encoding="utf-8"?>
<table xmlns="http://schemas.openxmlformats.org/spreadsheetml/2006/main" id="1" name="DOICHIEUKHTable" displayName="DOICHIEUKHTable" ref="A9:H56" headerRowCount="1" totalsRowCount="0" totalsRowShown="0">
  <autoFilter ref="A9:H56"/>
  <tableColumns count="8">
    <tableColumn id="1" name="Mã KH"/>
    <tableColumn id="2" name="Khách hàng"/>
    <tableColumn id="3" name="Sổ gốc → đồng"/>
    <tableColumn id="4" name="ERP đã có (ròng)"/>
    <tableColumn id="5" name="Nhập bổ sung (ròng)"/>
    <tableColumn id="6" name="Sau import dự kiến"/>
    <tableColumn id="7" name="Chênh lệch (đ)"/>
    <tableColumn id="8" name="Kết quả"/>
  </tableColumns>
  <tableStyleInfo name="TableStyleMedium2" showFirstColumn="0" showLastColumn="0" showRowStripes="1" showColumnStripes="0"/>
</table>
</file>

<file path=xl/tables/table2.xml><?xml version="1.0" encoding="utf-8"?>
<table xmlns="http://schemas.openxmlformats.org/spreadsheetml/2006/main" id="2" name="CONGNOLICHSUTable" displayName="CONGNOLICHSUTable" ref="A1:L583" headerRowCount="1" totalsRowCount="0" totalsRowShown="0">
  <autoFilter ref="A1:L583"/>
  <tableColumns count="12">
    <tableColumn id="1" name="Mã dòng *"/>
    <tableColumn id="2" name="Mã KH *"/>
    <tableColumn id="3" name="Ngày chứng từ *"/>
    <tableColumn id="4" name="Loại *"/>
    <tableColumn id="5" name="Số chứng từ"/>
    <tableColumn id="6" name="Số hóa đơn"/>
    <tableColumn id="7" name="Phiếu ERP (trùng)"/>
    <tableColumn id="8" name="Số tiền *"/>
    <tableColumn id="9" name="Diễn giải"/>
    <tableColumn id="10" name="Ghi chú"/>
    <tableColumn id="11" name="Nguồn"/>
    <tableColumn id="12" name="Cờ kiểm tra"/>
  </tableColumns>
  <tableStyleInfo name="TableStyleMedium2" showFirstColumn="0" showLastColumn="0" showRowStripes="1" showColumnStripes="0"/>
</table>
</file>

<file path=xl/tables/table3.xml><?xml version="1.0" encoding="utf-8"?>
<table xmlns="http://schemas.openxmlformats.org/spreadsheetml/2006/main" id="3" name="CONGNOLICHSUHANGTable" displayName="CONGNOLICHSUHANGTable" ref="A1:H1565" headerRowCount="1" totalsRowCount="0" totalsRowShown="0">
  <autoFilter ref="A1:H1565"/>
  <tableColumns count="8">
    <tableColumn id="1" name="Mã dòng *"/>
    <tableColumn id="2" name="Mã hàng"/>
    <tableColumn id="3" name="Tên hàng"/>
    <tableColumn id="4" name="ĐVT"/>
    <tableColumn id="5" name="Số lượng"/>
    <tableColumn id="6" name="Đơn giá"/>
    <tableColumn id="7" name="Thành tiền"/>
    <tableColumn id="8" name="Nguồn"/>
  </tableColumns>
  <tableStyleInfo name="TableStyleMedium2" showFirstColumn="0" showLastColumn="0" showRowStripes="1" showColumnStripes="0"/>
</table>
</file>

<file path=xl/tables/table4.xml><?xml version="1.0" encoding="utf-8"?>
<table xmlns="http://schemas.openxmlformats.org/spreadsheetml/2006/main" id="4" name="DOICHIEUCONGNOTable" displayName="DOICHIEUCONGNOTable" ref="A1:G48" headerRowCount="1" totalsRowCount="0" totalsRowShown="0">
  <autoFilter ref="A1:G48"/>
  <tableColumns count="7">
    <tableColumn id="1" name="Mã KH *"/>
    <tableColumn id="2" name="Tổng công nợ"/>
    <tableColumn id="3" name="Đã thanh toán"/>
    <tableColumn id="4" name="Phí vận chuyển"/>
    <tableColumn id="5" name="Còn lại"/>
    <tableColumn id="6" name="Sheet đối chiếu"/>
    <tableColumn id="7" name="Ghi chú"/>
  </tableColumns>
  <tableStyleInfo name="TableStyleMedium2" showFirstColumn="0" showLastColumn="0" showRowStripes="1" showColumnStripes="0"/>
</table>
</file>

<file path=xl/tables/table5.xml><?xml version="1.0" encoding="utf-8"?>
<table xmlns="http://schemas.openxmlformats.org/spreadsheetml/2006/main" id="5" name="TACHNOTable" displayName="TACHNOTable" ref="A1:I17" headerRowCount="1" totalsRowCount="0" totalsRowShown="0">
  <autoFilter ref="A1:I17"/>
  <tableColumns count="9">
    <tableColumn id="1" name="Mã KH"/>
    <tableColumn id="2" name="Khách hàng"/>
    <tableColumn id="3" name="Đề xuất phạm vi"/>
    <tableColumn id="4" name="Quạt phát sinh ròng"/>
    <tableColumn id="5" name="Vợt muỗi phát sinh ròng"/>
    <tableColumn id="6" name="Nợ nhóm mô phỏng"/>
    <tableColumn id="7" name="Mã gốc có phát sinh"/>
    <tableColumn id="8" name="Mã danh mục qua ghép"/>
    <tableColumn id="9" name="Lưu ý"/>
  </tableColumns>
  <tableStyleInfo name="TableStyleMedium2" showFirstColumn="0" showLastColumn="0" showRowStripes="1" showColumnStripes="0"/>
</table>
</file>

<file path=xl/tables/table6.xml><?xml version="1.0" encoding="utf-8"?>
<table xmlns="http://schemas.openxmlformats.org/spreadsheetml/2006/main" id="6" name="ERPDACOTable" displayName="ERPDACOTable" ref="A1:M27" headerRowCount="1" totalsRowCount="0" totalsRowShown="0">
  <autoFilter ref="A1:M27"/>
  <tableColumns count="13">
    <tableColumn id="1" name="Loại"/>
    <tableColumn id="2" name="Mã KH"/>
    <tableColumn id="3" name="Mã dòng nguồn"/>
    <tableColumn id="4" name="Phiếu nguồn"/>
    <tableColumn id="5" name="Phiếu ERP giữ lại"/>
    <tableColumn id="6" name="Ngày nguồn"/>
    <tableColumn id="7" name="Ngày ERP"/>
    <tableColumn id="8" name="Số gốc nguồn (text)"/>
    <tableColumn id="9" name="Số tiền ERP"/>
    <tableColumn id="10" name="ERP − nguồn"/>
    <tableColumn id="11" name="Cách tránh trùng"/>
    <tableColumn id="12" name="Căn cứ ghép"/>
    <tableColumn id="13" name="Nguồn"/>
  </tableColumns>
  <tableStyleInfo name="TableStyleMedium2" showFirstColumn="0" showLastColumn="0" showRowStripes="1" showColumnStripes="0"/>
</table>
</file>

<file path=xl/tables/table7.xml><?xml version="1.0" encoding="utf-8"?>
<table xmlns="http://schemas.openxmlformats.org/spreadsheetml/2006/main" id="7" name="NGUONVALAMTRONTable" displayName="NGUONVALAMTRONTable" ref="A1:N1756" headerRowCount="1" totalsRowCount="0" totalsRowShown="0">
  <autoFilter ref="A1:N1756"/>
  <tableColumns count="14">
    <tableColumn id="1" name="Ô nguồn 订单"/>
    <tableColumn id="2" name="Mã KH chuẩn"/>
    <tableColumn id="3" name="Mã KH gốc"/>
    <tableColumn id="4" name="Mã dòng"/>
    <tableColumn id="5" name="Loại"/>
    <tableColumn id="6" name="Mã hàng"/>
    <tableColumn id="7" name="Ngày gốc (text)"/>
    <tableColumn id="8" name="Số gốc đầy đủ (text)"/>
    <tableColumn id="9" name="Số gốc (trị tuyệt đối)"/>
    <tableColumn id="10" name="Số import (đ)"/>
    <tableColumn id="11" name="Import − gốc (đ)"/>
    <tableColumn id="12" name="Xử lý"/>
    <tableColumn id="13" name="Phiếu ERP giữ lại"/>
    <tableColumn id="14" name="Phân loại"/>
  </tableColumns>
  <tableStyleInfo name="TableStyleMedium2" showFirstColumn="0" showLastColumn="0" showRowStripes="1" showColumnStripes="0"/>
</table>
</file>

<file path=xl/tables/table8.xml><?xml version="1.0" encoding="utf-8"?>
<table xmlns="http://schemas.openxmlformats.org/spreadsheetml/2006/main" id="8" name="KIEMTRANGUONTable" displayName="KIEMTRANGUONTable" ref="A1:G44" headerRowCount="1" totalsRowCount="0" totalsRowShown="0">
  <autoFilter ref="A1:G44"/>
  <tableColumns count="7">
    <tableColumn id="1" name="Vấn đề"/>
    <tableColumn id="2" name="Mã KH"/>
    <tableColumn id="3" name="Địa chỉ / căn cứ"/>
    <tableColumn id="4" name="Giá trị / ngày phụ"/>
    <tableColumn id="5" name="Giá trị / ngày chọn"/>
    <tableColumn id="6" name="Chênh lệch"/>
    <tableColumn id="7" name="Xử lý / giới hạn"/>
  </tableColumns>
  <tableStyleInfo name="TableStyleMedium2" showFirstColumn="0" showLastColumn="0" showRowStripes="1" showColumnStripes="0"/>
</table>
</file>

<file path=xl/tables/table9.xml><?xml version="1.0" encoding="utf-8"?>
<table xmlns="http://schemas.openxmlformats.org/spreadsheetml/2006/main" id="9" name="HUONGDANTable" displayName="HUONGDANTable" ref="A1:B25" headerRowCount="1" totalsRowCount="0" totalsRowShown="0">
  <autoFilter ref="A1:B25"/>
  <tableColumns count="2">
    <tableColumn id="1" name="Nội dung"/>
    <tableColumn id="2" name="Giải thích / nguồ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Relationships xmlns="http://schemas.openxmlformats.org/package/2006/relationships"><Relationship Type="http://schemas.openxmlformats.org/officeDocument/2006/relationships/table" Target="../tables/table1.xml" Id="R95fea4b633e34222" /></Relationships>
</file>

<file path=xl/worksheets/_rels/sheet2.xml.rels><?xml version="1.0" encoding="utf-8"?><Relationships xmlns="http://schemas.openxmlformats.org/package/2006/relationships"><Relationship Type="http://schemas.openxmlformats.org/officeDocument/2006/relationships/table" Target="../tables/table2.xml" Id="Re84c4ceec33949e1" /></Relationships>
</file>

<file path=xl/worksheets/_rels/sheet3.xml.rels><?xml version="1.0" encoding="utf-8"?><Relationships xmlns="http://schemas.openxmlformats.org/package/2006/relationships"><Relationship Type="http://schemas.openxmlformats.org/officeDocument/2006/relationships/table" Target="../tables/table3.xml" Id="Rad684bd2c6dd45a7" /></Relationships>
</file>

<file path=xl/worksheets/_rels/sheet4.xml.rels><?xml version="1.0" encoding="utf-8"?><Relationships xmlns="http://schemas.openxmlformats.org/package/2006/relationships"><Relationship Type="http://schemas.openxmlformats.org/officeDocument/2006/relationships/table" Target="../tables/table4.xml" Id="R9e458a79380c439c" /></Relationships>
</file>

<file path=xl/worksheets/_rels/sheet5.xml.rels><?xml version="1.0" encoding="utf-8"?><Relationships xmlns="http://schemas.openxmlformats.org/package/2006/relationships"><Relationship Type="http://schemas.openxmlformats.org/officeDocument/2006/relationships/table" Target="../tables/table5.xml" Id="R7b4c7621cada4371" /></Relationships>
</file>

<file path=xl/worksheets/_rels/sheet6.xml.rels><?xml version="1.0" encoding="utf-8"?><Relationships xmlns="http://schemas.openxmlformats.org/package/2006/relationships"><Relationship Type="http://schemas.openxmlformats.org/officeDocument/2006/relationships/table" Target="../tables/table6.xml" Id="Rfb944be3f4204582" /></Relationships>
</file>

<file path=xl/worksheets/_rels/sheet7.xml.rels><?xml version="1.0" encoding="utf-8"?><Relationships xmlns="http://schemas.openxmlformats.org/package/2006/relationships"><Relationship Type="http://schemas.openxmlformats.org/officeDocument/2006/relationships/table" Target="../tables/table7.xml" Id="Rfb06e5e71e044298" /></Relationships>
</file>

<file path=xl/worksheets/_rels/sheet8.xml.rels><?xml version="1.0" encoding="utf-8"?><Relationships xmlns="http://schemas.openxmlformats.org/package/2006/relationships"><Relationship Type="http://schemas.openxmlformats.org/officeDocument/2006/relationships/table" Target="../tables/table8.xml" Id="R5f2e92d18ee84d51" /></Relationships>
</file>

<file path=xl/worksheets/_rels/sheet9.xml.rels><?xml version="1.0" encoding="utf-8"?><Relationships xmlns="http://schemas.openxmlformats.org/package/2006/relationships"><Relationship Type="http://schemas.openxmlformats.org/officeDocument/2006/relationships/table" Target="../tables/table9.xml" Id="R114e1add3d8b43b1" /></Relationships>
</file>

<file path=xl/worksheets/sheet1.xml><?xml version="1.0" encoding="utf-8"?>
<worksheet xmlns="http://schemas.openxmlformats.org/spreadsheetml/2006/main">
  <sheetPr>
    <tabColor rgb="FF17365D"/>
  </sheetPr>
  <sheetViews>
    <sheetView showGridLines="0" workbookViewId="0">
      <pane ySplit="9" topLeftCell="A10" activePane="bottomLeft" state="frozen"/>
    </sheetView>
  </sheetViews>
  <sheetFormatPr defaultRowHeight="15"/>
  <cols>
    <col min="1" max="1" width="11" hidden="0" customWidth="1"/>
    <col min="2" max="2" width="48" hidden="0" customWidth="1"/>
    <col min="3" max="3" width="22" hidden="0" customWidth="1"/>
    <col min="4" max="4" width="22" hidden="0" customWidth="1"/>
    <col min="5" max="5" width="24" hidden="0" customWidth="1"/>
    <col min="6" max="6" width="23" hidden="0" customWidth="1"/>
    <col min="7" max="7" width="18" hidden="0" customWidth="1"/>
    <col min="8" max="8" width="13" hidden="0" customWidth="1"/>
  </cols>
  <sheetData>
    <row r="1">
      <c r="A1" s="9" t="str">
        <v>CÔNG NỢ ĐẾN 17/10/2026 • ĐỐI CHIẾU 47 KHÁCH</v>
      </c>
      <c r="B1" s="9"/>
      <c r="C1" s="9"/>
      <c r="D1" s="9"/>
      <c r="E1" s="9"/>
      <c r="F1" s="9"/>
      <c r="G1" s="9"/>
      <c r="H1" s="9"/>
    </row>
    <row r="2">
      <c r="A2" s="9"/>
      <c r="B2" s="9"/>
      <c r="C2" s="9"/>
      <c r="D2" s="9"/>
      <c r="E2" s="9"/>
      <c r="F2" s="9"/>
      <c r="G2" s="9"/>
      <c r="H2" s="9"/>
    </row>
    <row r="3">
      <c r="A3" s="10" t="str">
        <v>Nguồn: 2.xlsx / 订单 • ERP chỉ đọc: 2026-10-19T06:30:08.382Z • Chưa nhập vào ERP</v>
      </c>
      <c r="B3" s="10"/>
      <c r="C3" s="10"/>
      <c r="D3" s="10"/>
      <c r="E3" s="10"/>
      <c r="F3" s="10"/>
      <c r="G3" s="10"/>
      <c r="H3" s="10"/>
    </row>
    <row r="4" ht="36" customHeight="1">
      <c r="A4" s="12" t="str">
        <v>DƯ NỢ</v>
      </c>
      <c r="B4" s="13" t="n">
        <f>SUM(F10:F56)</f>
        <v>5535307613</v>
      </c>
      <c r="C4" s="12" t="str">
        <v>ERP ĐÃ CÓ</v>
      </c>
      <c r="D4" s="13" t="n">
        <f>SUM(D10:D56)</f>
        <v>678515000</v>
      </c>
      <c r="E4" s="12" t="str">
        <v>BỔ SUNG RÒNG</v>
      </c>
      <c r="F4" s="13" t="n">
        <f>SUM(E10:E56)</f>
        <v>4856792613</v>
      </c>
      <c r="G4" s="12" t="str">
        <v>KHỚP</v>
      </c>
      <c r="H4" s="12" t="str">
        <v>47 / 47</v>
      </c>
    </row>
    <row r="6" ht="34" customHeight="1">
      <c r="A6" s="14" t="str">
        <v>Khớp theo phương pháp phân bổ phần lẻ VND công bố ở HUONG_DAN; từng dòng tiền lệch số gốc dưới 1 đồng. Số âm là khách trả trước.</v>
      </c>
      <c r="B6" s="14"/>
      <c r="C6" s="14"/>
      <c r="D6" s="14"/>
      <c r="E6" s="14"/>
      <c r="F6" s="14"/>
      <c r="G6" s="14"/>
      <c r="H6" s="14"/>
    </row>
    <row r="7" ht="32" customHeight="1">
      <c r="A7" s="14" t="str">
        <v>Xem mô phỏng quạt / vợt muỗi tại TACH_NO. Các ngày suy luận và bất nhất giữa sheet được ghi ở KIEM_TRA_NGUON.</v>
      </c>
      <c r="B7" s="14"/>
      <c r="C7" s="14"/>
      <c r="D7" s="14"/>
      <c r="E7" s="14"/>
      <c r="F7" s="14"/>
      <c r="G7" s="14"/>
      <c r="H7" s="14"/>
    </row>
    <row r="9" ht="42" customHeight="1">
      <c r="A9" s="5" t="str">
        <v>Mã KH</v>
      </c>
      <c r="B9" s="5" t="str">
        <v>Khách hàng</v>
      </c>
      <c r="C9" s="5" t="str">
        <v>Sổ gốc → đồng</v>
      </c>
      <c r="D9" s="5" t="str">
        <v>ERP đã có (ròng)</v>
      </c>
      <c r="E9" s="5" t="str">
        <v>Nhập bổ sung (ròng)</v>
      </c>
      <c r="F9" s="5" t="str">
        <v>Sau import dự kiến</v>
      </c>
      <c r="G9" s="5" t="str">
        <v>Chênh lệch (đ)</v>
      </c>
      <c r="H9" s="5" t="str">
        <v>Kết quả</v>
      </c>
    </row>
    <row r="10" ht="32" customHeight="1">
      <c r="A10" s="2" t="str">
        <v>KH001</v>
      </c>
      <c r="B10" s="2" t="str">
        <v>CÔNG TY TNHH THƯƠNG MẠI CẢNH CƯỜNG</v>
      </c>
      <c r="C10" s="7" t="n">
        <v>772291993</v>
      </c>
      <c r="D10" s="7" t="n">
        <v>66150000</v>
      </c>
      <c r="E10" s="7" t="n">
        <v>706141993</v>
      </c>
      <c r="F10" s="7" t="n">
        <f>D10+E10</f>
        <v>772291993</v>
      </c>
      <c r="G10" s="16" t="n">
        <f>F10-C10</f>
        <v>0</v>
      </c>
      <c r="H10" s="2" t="str">
        <f>IF(G10=0,"Khớp","Lệch")</f>
        <v>Khớp</v>
      </c>
    </row>
    <row r="11" ht="32" customHeight="1">
      <c r="A11" s="2" t="str">
        <v>KH002</v>
      </c>
      <c r="B11" s="2" t="str">
        <v>CÔNG TY TNHH LỘC HƯNG THÁI</v>
      </c>
      <c r="C11" s="7" t="n">
        <v>413638000</v>
      </c>
      <c r="D11" s="7" t="n">
        <v>182700000</v>
      </c>
      <c r="E11" s="7" t="n">
        <v>230938000</v>
      </c>
      <c r="F11" s="7" t="n">
        <f>D11+E11</f>
        <v>413638000</v>
      </c>
      <c r="G11" s="16" t="n">
        <f>F11-C11</f>
        <v>0</v>
      </c>
      <c r="H11" s="2" t="str">
        <f>IF(G11=0,"Khớp","Lệch")</f>
        <v>Khớp</v>
      </c>
    </row>
    <row r="12" ht="32" customHeight="1">
      <c r="A12" s="2" t="str">
        <v>KH003</v>
      </c>
      <c r="B12" s="2" t="str">
        <v>CÔNG TY TNHH XUẤT NHẬP KHẨU TỔNG HỢP PHÚ HƯNG THỊNH</v>
      </c>
      <c r="C12" s="7" t="n">
        <v>-7120000</v>
      </c>
      <c r="D12" s="7" t="n">
        <v>0</v>
      </c>
      <c r="E12" s="7" t="n">
        <v>-7120000</v>
      </c>
      <c r="F12" s="7" t="n">
        <f>D12+E12</f>
        <v>-7120000</v>
      </c>
      <c r="G12" s="16" t="n">
        <f>F12-C12</f>
        <v>0</v>
      </c>
      <c r="H12" s="2" t="str">
        <f>IF(G12=0,"Khớp","Lệch")</f>
        <v>Khớp</v>
      </c>
    </row>
    <row r="13" ht="32" customHeight="1">
      <c r="A13" s="2" t="str">
        <v>KH004</v>
      </c>
      <c r="B13" s="2" t="str">
        <v>Lê Thị ánh Nguyệt</v>
      </c>
      <c r="C13" s="7" t="n">
        <v>16824000</v>
      </c>
      <c r="D13" s="7" t="n">
        <v>16824000</v>
      </c>
      <c r="E13" s="7" t="n">
        <v>0</v>
      </c>
      <c r="F13" s="7" t="n">
        <f>D13+E13</f>
        <v>16824000</v>
      </c>
      <c r="G13" s="16" t="n">
        <f>F13-C13</f>
        <v>0</v>
      </c>
      <c r="H13" s="2" t="str">
        <f>IF(G13=0,"Khớp","Lệch")</f>
        <v>Khớp</v>
      </c>
    </row>
    <row r="14" ht="32" customHeight="1">
      <c r="A14" s="2" t="str">
        <v>KH005</v>
      </c>
      <c r="B14" s="2" t="str">
        <v>CÔNG TY TNHH THƯƠNG MẠI VÀ DỊCH VỤ ĐẠI PHÁT</v>
      </c>
      <c r="C14" s="7" t="n">
        <v>175857000</v>
      </c>
      <c r="D14" s="7" t="n">
        <v>0</v>
      </c>
      <c r="E14" s="7" t="n">
        <v>175857000</v>
      </c>
      <c r="F14" s="7" t="n">
        <f>D14+E14</f>
        <v>175857000</v>
      </c>
      <c r="G14" s="16" t="n">
        <f>F14-C14</f>
        <v>0</v>
      </c>
      <c r="H14" s="2" t="str">
        <f>IF(G14=0,"Khớp","Lệch")</f>
        <v>Khớp</v>
      </c>
    </row>
    <row r="15" ht="32" customHeight="1">
      <c r="A15" s="2" t="str">
        <v>KH006</v>
      </c>
      <c r="B15" s="2" t="str">
        <v>CÔNG TY CỔ PHẦN GIA DỤNG CHÂU ÂU EUROHI</v>
      </c>
      <c r="C15" s="7" t="n">
        <v>0</v>
      </c>
      <c r="D15" s="7" t="n">
        <v>0</v>
      </c>
      <c r="E15" s="7" t="n">
        <v>0</v>
      </c>
      <c r="F15" s="7" t="n">
        <f>D15+E15</f>
        <v>0</v>
      </c>
      <c r="G15" s="16" t="n">
        <f>F15-C15</f>
        <v>0</v>
      </c>
      <c r="H15" s="2" t="str">
        <f>IF(G15=0,"Khớp","Lệch")</f>
        <v>Khớp</v>
      </c>
    </row>
    <row r="16" ht="32" customHeight="1">
      <c r="A16" s="2" t="str">
        <v>KH007</v>
      </c>
      <c r="B16" s="2" t="str">
        <v>CÔNG TY TNHH ĐẦU TƯ THƯƠNG MẠI QUỐC TẾ VIỆT LỢI</v>
      </c>
      <c r="C16" s="7" t="n">
        <v>58160296</v>
      </c>
      <c r="D16" s="7" t="n">
        <v>0</v>
      </c>
      <c r="E16" s="7" t="n">
        <v>58160296</v>
      </c>
      <c r="F16" s="7" t="n">
        <f>D16+E16</f>
        <v>58160296</v>
      </c>
      <c r="G16" s="16" t="n">
        <f>F16-C16</f>
        <v>0</v>
      </c>
      <c r="H16" s="2" t="str">
        <f>IF(G16=0,"Khớp","Lệch")</f>
        <v>Khớp</v>
      </c>
    </row>
    <row r="17" ht="32" customHeight="1">
      <c r="A17" s="2" t="str">
        <v>KH011</v>
      </c>
      <c r="B17" s="2" t="str">
        <v>Hợp Tác Xã Tân Sơn Quảng Ninh</v>
      </c>
      <c r="C17" s="7" t="n">
        <v>171325680</v>
      </c>
      <c r="D17" s="7" t="n">
        <v>0</v>
      </c>
      <c r="E17" s="7" t="n">
        <v>171325680</v>
      </c>
      <c r="F17" s="7" t="n">
        <f>D17+E17</f>
        <v>171325680</v>
      </c>
      <c r="G17" s="16" t="n">
        <f>F17-C17</f>
        <v>0</v>
      </c>
      <c r="H17" s="2" t="str">
        <f>IF(G17=0,"Khớp","Lệch")</f>
        <v>Khớp</v>
      </c>
    </row>
    <row r="18" ht="32" customHeight="1">
      <c r="A18" s="2" t="str">
        <v>KH012</v>
      </c>
      <c r="B18" s="2" t="str">
        <v>CÔNG TY TNHH TM GIANG CHÂU</v>
      </c>
      <c r="C18" s="7" t="n">
        <v>212210000</v>
      </c>
      <c r="D18" s="7" t="n">
        <v>4320000</v>
      </c>
      <c r="E18" s="7" t="n">
        <v>207890000</v>
      </c>
      <c r="F18" s="7" t="n">
        <f>D18+E18</f>
        <v>212210000</v>
      </c>
      <c r="G18" s="16" t="n">
        <f>F18-C18</f>
        <v>0</v>
      </c>
      <c r="H18" s="2" t="str">
        <f>IF(G18=0,"Khớp","Lệch")</f>
        <v>Khớp</v>
      </c>
    </row>
    <row r="19" ht="32" customHeight="1">
      <c r="A19" s="2" t="str">
        <v>KH015</v>
      </c>
      <c r="B19" s="2" t="str">
        <v>CÔNG TY TNHH MARSERRI VIỆT NAM</v>
      </c>
      <c r="C19" s="7" t="n">
        <v>132891000</v>
      </c>
      <c r="D19" s="7" t="n">
        <v>0</v>
      </c>
      <c r="E19" s="7" t="n">
        <v>132891000</v>
      </c>
      <c r="F19" s="7" t="n">
        <f>D19+E19</f>
        <v>132891000</v>
      </c>
      <c r="G19" s="16" t="n">
        <f>F19-C19</f>
        <v>0</v>
      </c>
      <c r="H19" s="2" t="str">
        <f>IF(G19=0,"Khớp","Lệch")</f>
        <v>Khớp</v>
      </c>
    </row>
    <row r="20" ht="32" customHeight="1">
      <c r="A20" s="2" t="str">
        <v>KH017</v>
      </c>
      <c r="B20" s="2" t="str">
        <v>Nguyễn Thị Thanh Hương</v>
      </c>
      <c r="C20" s="7" t="n">
        <v>0</v>
      </c>
      <c r="D20" s="7" t="n">
        <v>0</v>
      </c>
      <c r="E20" s="7" t="n">
        <v>0</v>
      </c>
      <c r="F20" s="7" t="n">
        <f>D20+E20</f>
        <v>0</v>
      </c>
      <c r="G20" s="16" t="n">
        <f>F20-C20</f>
        <v>0</v>
      </c>
      <c r="H20" s="2" t="str">
        <f>IF(G20=0,"Khớp","Lệch")</f>
        <v>Khớp</v>
      </c>
    </row>
    <row r="21" ht="32" customHeight="1">
      <c r="A21" s="2" t="str">
        <v>KH021</v>
      </c>
      <c r="B21" s="2" t="str">
        <v>Hộ Kinh Doanh Đào Thị Quỳnh Hoa</v>
      </c>
      <c r="C21" s="7" t="n">
        <v>-1</v>
      </c>
      <c r="D21" s="7" t="n">
        <v>5400000</v>
      </c>
      <c r="E21" s="7" t="n">
        <v>-5400001</v>
      </c>
      <c r="F21" s="7" t="n">
        <f>D21+E21</f>
        <v>-1</v>
      </c>
      <c r="G21" s="16" t="n">
        <f>F21-C21</f>
        <v>0</v>
      </c>
      <c r="H21" s="2" t="str">
        <f>IF(G21=0,"Khớp","Lệch")</f>
        <v>Khớp</v>
      </c>
    </row>
    <row r="22" ht="32" customHeight="1">
      <c r="A22" s="2" t="str">
        <v>KH024</v>
      </c>
      <c r="B22" s="2" t="str">
        <v>CÔNG TY TNHH ĐỒ GIA DỤNG MINH TRÍ</v>
      </c>
      <c r="C22" s="7" t="n">
        <v>75856000</v>
      </c>
      <c r="D22" s="7" t="n">
        <v>34450000</v>
      </c>
      <c r="E22" s="7" t="n">
        <v>41406000</v>
      </c>
      <c r="F22" s="7" t="n">
        <f>D22+E22</f>
        <v>75856000</v>
      </c>
      <c r="G22" s="16" t="n">
        <f>F22-C22</f>
        <v>0</v>
      </c>
      <c r="H22" s="2" t="str">
        <f>IF(G22=0,"Khớp","Lệch")</f>
        <v>Khớp</v>
      </c>
    </row>
    <row r="23" ht="32" customHeight="1">
      <c r="A23" s="2" t="str">
        <v>KH025</v>
      </c>
      <c r="B23" s="2" t="str">
        <v>CÔNG TY TNHH GIA DỤNG YẾN NGUYỄN</v>
      </c>
      <c r="C23" s="7" t="n">
        <v>4680000</v>
      </c>
      <c r="D23" s="7" t="n">
        <v>0</v>
      </c>
      <c r="E23" s="7" t="n">
        <v>4680000</v>
      </c>
      <c r="F23" s="7" t="n">
        <f>D23+E23</f>
        <v>4680000</v>
      </c>
      <c r="G23" s="16" t="n">
        <f>F23-C23</f>
        <v>0</v>
      </c>
      <c r="H23" s="2" t="str">
        <f>IF(G23=0,"Khớp","Lệch")</f>
        <v>Khớp</v>
      </c>
    </row>
    <row r="24" ht="32" customHeight="1">
      <c r="A24" s="2" t="str">
        <v>KH028</v>
      </c>
      <c r="B24" s="2" t="str">
        <v>Nguyễn Thị Thu Hương</v>
      </c>
      <c r="C24" s="7" t="n">
        <v>-2520000</v>
      </c>
      <c r="D24" s="7" t="n">
        <v>0</v>
      </c>
      <c r="E24" s="7" t="n">
        <v>-2520000</v>
      </c>
      <c r="F24" s="7" t="n">
        <f>D24+E24</f>
        <v>-2520000</v>
      </c>
      <c r="G24" s="16" t="n">
        <f>F24-C24</f>
        <v>0</v>
      </c>
      <c r="H24" s="2" t="str">
        <f>IF(G24=0,"Khớp","Lệch")</f>
        <v>Khớp</v>
      </c>
    </row>
    <row r="25" ht="32" customHeight="1">
      <c r="A25" s="2" t="str">
        <v>KH029</v>
      </c>
      <c r="B25" s="2" t="str">
        <v>Hồ Thế Anh</v>
      </c>
      <c r="C25" s="7" t="n">
        <v>240000</v>
      </c>
      <c r="D25" s="7" t="n">
        <v>0</v>
      </c>
      <c r="E25" s="7" t="n">
        <v>240000</v>
      </c>
      <c r="F25" s="7" t="n">
        <f>D25+E25</f>
        <v>240000</v>
      </c>
      <c r="G25" s="16" t="n">
        <f>F25-C25</f>
        <v>0</v>
      </c>
      <c r="H25" s="2" t="str">
        <f>IF(G25=0,"Khớp","Lệch")</f>
        <v>Khớp</v>
      </c>
    </row>
    <row r="26" ht="32" customHeight="1">
      <c r="A26" s="2" t="str">
        <v>KH034</v>
      </c>
      <c r="B26" s="2" t="str">
        <v>CÔNG TY TNHH THƯƠNG MẠI 319 ĐÔNG ANH</v>
      </c>
      <c r="C26" s="7" t="n">
        <v>364740992</v>
      </c>
      <c r="D26" s="7" t="n">
        <v>0</v>
      </c>
      <c r="E26" s="7" t="n">
        <v>364740992</v>
      </c>
      <c r="F26" s="7" t="n">
        <f>D26+E26</f>
        <v>364740992</v>
      </c>
      <c r="G26" s="16" t="n">
        <f>F26-C26</f>
        <v>0</v>
      </c>
      <c r="H26" s="2" t="str">
        <f>IF(G26=0,"Khớp","Lệch")</f>
        <v>Khớp</v>
      </c>
    </row>
    <row r="27" ht="32" customHeight="1">
      <c r="A27" s="2" t="str">
        <v>KH042</v>
      </c>
      <c r="B27" s="2" t="str">
        <v>CÔNG TY TNHH THƯƠNG MẠI TỔNG HỢP BẰNG ÁNH</v>
      </c>
      <c r="C27" s="7" t="n">
        <v>502930191</v>
      </c>
      <c r="D27" s="7" t="n">
        <v>0</v>
      </c>
      <c r="E27" s="7" t="n">
        <v>502930191</v>
      </c>
      <c r="F27" s="7" t="n">
        <f>D27+E27</f>
        <v>502930191</v>
      </c>
      <c r="G27" s="16" t="n">
        <f>F27-C27</f>
        <v>0</v>
      </c>
      <c r="H27" s="2" t="str">
        <f>IF(G27=0,"Khớp","Lệch")</f>
        <v>Khớp</v>
      </c>
    </row>
    <row r="28" ht="32" customHeight="1">
      <c r="A28" s="2" t="str">
        <v>KH043</v>
      </c>
      <c r="B28" s="2" t="str">
        <v>Khách lẻ</v>
      </c>
      <c r="C28" s="7" t="n">
        <v>0</v>
      </c>
      <c r="D28" s="7" t="n">
        <v>0</v>
      </c>
      <c r="E28" s="7" t="n">
        <v>0</v>
      </c>
      <c r="F28" s="7" t="n">
        <f>D28+E28</f>
        <v>0</v>
      </c>
      <c r="G28" s="16" t="n">
        <f>F28-C28</f>
        <v>0</v>
      </c>
      <c r="H28" s="2" t="str">
        <f>IF(G28=0,"Khớp","Lệch")</f>
        <v>Khớp</v>
      </c>
    </row>
    <row r="29" ht="32" customHeight="1">
      <c r="A29" s="2" t="str">
        <v>KH049</v>
      </c>
      <c r="B29" s="2" t="str">
        <v>CÔNG TY TNHH XUẤT NHẬP KHẨU HOÀNG TÂN</v>
      </c>
      <c r="C29" s="7" t="n">
        <v>1</v>
      </c>
      <c r="D29" s="7" t="n">
        <v>0</v>
      </c>
      <c r="E29" s="7" t="n">
        <v>1</v>
      </c>
      <c r="F29" s="7" t="n">
        <f>D29+E29</f>
        <v>1</v>
      </c>
      <c r="G29" s="16" t="n">
        <f>F29-C29</f>
        <v>0</v>
      </c>
      <c r="H29" s="2" t="str">
        <f>IF(G29=0,"Khớp","Lệch")</f>
        <v>Khớp</v>
      </c>
    </row>
    <row r="30" ht="32" customHeight="1">
      <c r="A30" s="2" t="str">
        <v>KH050</v>
      </c>
      <c r="B30" s="2" t="str">
        <v>Cửa hàng Phương Bắc</v>
      </c>
      <c r="C30" s="7" t="n">
        <v>-3900000</v>
      </c>
      <c r="D30" s="7" t="n">
        <v>0</v>
      </c>
      <c r="E30" s="7" t="n">
        <v>-3900000</v>
      </c>
      <c r="F30" s="7" t="n">
        <f>D30+E30</f>
        <v>-3900000</v>
      </c>
      <c r="G30" s="16" t="n">
        <f>F30-C30</f>
        <v>0</v>
      </c>
      <c r="H30" s="2" t="str">
        <f>IF(G30=0,"Khớp","Lệch")</f>
        <v>Khớp</v>
      </c>
    </row>
    <row r="31" ht="32" customHeight="1">
      <c r="A31" s="2" t="str">
        <v>KH053</v>
      </c>
      <c r="B31" s="2" t="str">
        <v>CÔNG TY TNHH SƠN HÙNG</v>
      </c>
      <c r="C31" s="7" t="n">
        <v>14280000</v>
      </c>
      <c r="D31" s="7" t="n">
        <v>14280000</v>
      </c>
      <c r="E31" s="7" t="n">
        <v>0</v>
      </c>
      <c r="F31" s="7" t="n">
        <f>D31+E31</f>
        <v>14280000</v>
      </c>
      <c r="G31" s="16" t="n">
        <f>F31-C31</f>
        <v>0</v>
      </c>
      <c r="H31" s="2" t="str">
        <f>IF(G31=0,"Khớp","Lệch")</f>
        <v>Khớp</v>
      </c>
    </row>
    <row r="32" ht="32" customHeight="1">
      <c r="A32" s="2" t="str">
        <v>KH055</v>
      </c>
      <c r="B32" s="2" t="str">
        <v>Nguyễn Lệ Nây</v>
      </c>
      <c r="C32" s="7" t="n">
        <v>14392000</v>
      </c>
      <c r="D32" s="7" t="n">
        <v>14680000</v>
      </c>
      <c r="E32" s="7" t="n">
        <v>-288000</v>
      </c>
      <c r="F32" s="7" t="n">
        <f>D32+E32</f>
        <v>14392000</v>
      </c>
      <c r="G32" s="16" t="n">
        <f>F32-C32</f>
        <v>0</v>
      </c>
      <c r="H32" s="2" t="str">
        <f>IF(G32=0,"Khớp","Lệch")</f>
        <v>Khớp</v>
      </c>
    </row>
    <row r="33" ht="32" customHeight="1">
      <c r="A33" s="2" t="str">
        <v>KH056</v>
      </c>
      <c r="B33" s="2" t="str">
        <v>Thanh Anh</v>
      </c>
      <c r="C33" s="7" t="n">
        <v>0</v>
      </c>
      <c r="D33" s="7" t="n">
        <v>0</v>
      </c>
      <c r="E33" s="7" t="n">
        <v>0</v>
      </c>
      <c r="F33" s="7" t="n">
        <f>D33+E33</f>
        <v>0</v>
      </c>
      <c r="G33" s="16" t="n">
        <f>F33-C33</f>
        <v>0</v>
      </c>
      <c r="H33" s="2" t="str">
        <f>IF(G33=0,"Khớp","Lệch")</f>
        <v>Khớp</v>
      </c>
    </row>
    <row r="34" ht="32" customHeight="1">
      <c r="A34" s="2" t="str">
        <v>KH058</v>
      </c>
      <c r="B34" s="2" t="str">
        <v>CÔNG TY TNHH PHÁT TRIỂN SẢN XUẤT THƯƠNG MẠI DỊCH VỤ RỒNG VIỆT</v>
      </c>
      <c r="C34" s="7" t="n">
        <v>500392521</v>
      </c>
      <c r="D34" s="7" t="n">
        <v>62180000</v>
      </c>
      <c r="E34" s="7" t="n">
        <v>438212521</v>
      </c>
      <c r="F34" s="7" t="n">
        <f>D34+E34</f>
        <v>500392521</v>
      </c>
      <c r="G34" s="16" t="n">
        <f>F34-C34</f>
        <v>0</v>
      </c>
      <c r="H34" s="2" t="str">
        <f>IF(G34=0,"Khớp","Lệch")</f>
        <v>Khớp</v>
      </c>
    </row>
    <row r="35" ht="32" customHeight="1">
      <c r="A35" s="2" t="str">
        <v>KH059</v>
      </c>
      <c r="B35" s="2" t="str">
        <v>Tuấn Lan</v>
      </c>
      <c r="C35" s="7" t="n">
        <v>-5530000</v>
      </c>
      <c r="D35" s="7" t="n">
        <v>0</v>
      </c>
      <c r="E35" s="7" t="n">
        <v>-5530000</v>
      </c>
      <c r="F35" s="7" t="n">
        <f>D35+E35</f>
        <v>-5530000</v>
      </c>
      <c r="G35" s="16" t="n">
        <f>F35-C35</f>
        <v>0</v>
      </c>
      <c r="H35" s="2" t="str">
        <f>IF(G35=0,"Khớp","Lệch")</f>
        <v>Khớp</v>
      </c>
    </row>
    <row r="36" ht="32" customHeight="1">
      <c r="A36" s="2" t="str">
        <v>KH062</v>
      </c>
      <c r="B36" s="2" t="str">
        <v>CÔNG TY TNHH ĐẦU TƯ THƯƠNG MẠI XUÂN HÙNG</v>
      </c>
      <c r="C36" s="7" t="n">
        <v>-9130000</v>
      </c>
      <c r="D36" s="7" t="n">
        <v>0</v>
      </c>
      <c r="E36" s="7" t="n">
        <v>-9130000</v>
      </c>
      <c r="F36" s="7" t="n">
        <f>D36+E36</f>
        <v>-9130000</v>
      </c>
      <c r="G36" s="16" t="n">
        <f>F36-C36</f>
        <v>0</v>
      </c>
      <c r="H36" s="2" t="str">
        <f>IF(G36=0,"Khớp","Lệch")</f>
        <v>Khớp</v>
      </c>
    </row>
    <row r="37" ht="32" customHeight="1">
      <c r="A37" s="2" t="str">
        <v>KH066</v>
      </c>
      <c r="B37" s="2" t="str">
        <v>CÔNG TY TNHH THƯƠNG MẠI GIANG MINH NGỌC</v>
      </c>
      <c r="C37" s="7" t="n">
        <v>526525995</v>
      </c>
      <c r="D37" s="7" t="n">
        <v>0</v>
      </c>
      <c r="E37" s="7" t="n">
        <v>526525995</v>
      </c>
      <c r="F37" s="7" t="n">
        <f>D37+E37</f>
        <v>526525995</v>
      </c>
      <c r="G37" s="16" t="n">
        <f>F37-C37</f>
        <v>0</v>
      </c>
      <c r="H37" s="2" t="str">
        <f>IF(G37=0,"Khớp","Lệch")</f>
        <v>Khớp</v>
      </c>
    </row>
    <row r="38" ht="32" customHeight="1">
      <c r="A38" s="2" t="str">
        <v>KH067</v>
      </c>
      <c r="B38" s="2" t="str">
        <v>Nguyễn Minh Ngọc ( Bình Minh)</v>
      </c>
      <c r="C38" s="7" t="n">
        <v>0</v>
      </c>
      <c r="D38" s="7" t="n">
        <v>0</v>
      </c>
      <c r="E38" s="7" t="n">
        <v>0</v>
      </c>
      <c r="F38" s="7" t="n">
        <f>D38+E38</f>
        <v>0</v>
      </c>
      <c r="G38" s="16" t="n">
        <f>F38-C38</f>
        <v>0</v>
      </c>
      <c r="H38" s="2" t="str">
        <f>IF(G38=0,"Khớp","Lệch")</f>
        <v>Khớp</v>
      </c>
    </row>
    <row r="39" ht="32" customHeight="1">
      <c r="A39" s="2" t="str">
        <v>KH068</v>
      </c>
      <c r="B39" s="2" t="str">
        <v>CÔNG TY TNHH NHÂN VƯỢNG</v>
      </c>
      <c r="C39" s="7" t="n">
        <v>756604193</v>
      </c>
      <c r="D39" s="7" t="n">
        <v>26820000</v>
      </c>
      <c r="E39" s="7" t="n">
        <v>729784193</v>
      </c>
      <c r="F39" s="7" t="n">
        <f>D39+E39</f>
        <v>756604193</v>
      </c>
      <c r="G39" s="16" t="n">
        <f>F39-C39</f>
        <v>0</v>
      </c>
      <c r="H39" s="2" t="str">
        <f>IF(G39=0,"Khớp","Lệch")</f>
        <v>Khớp</v>
      </c>
    </row>
    <row r="40" ht="32" customHeight="1">
      <c r="A40" s="2" t="str">
        <v>KH070</v>
      </c>
      <c r="B40" s="2" t="str">
        <v>CÔNG TY TNHH DỊCH VỤ THƯƠNG MẠI TÙNG TRANG</v>
      </c>
      <c r="C40" s="7" t="n">
        <v>-1</v>
      </c>
      <c r="D40" s="7" t="n">
        <v>54000000</v>
      </c>
      <c r="E40" s="7" t="n">
        <v>-54000001</v>
      </c>
      <c r="F40" s="7" t="n">
        <f>D40+E40</f>
        <v>-1</v>
      </c>
      <c r="G40" s="16" t="n">
        <f>F40-C40</f>
        <v>0</v>
      </c>
      <c r="H40" s="2" t="str">
        <f>IF(G40=0,"Khớp","Lệch")</f>
        <v>Khớp</v>
      </c>
    </row>
    <row r="41" ht="32" customHeight="1">
      <c r="A41" s="2" t="str">
        <v>KH071</v>
      </c>
      <c r="B41" s="2" t="str">
        <v>CÔNG TY TNHH GIA BẢO HP</v>
      </c>
      <c r="C41" s="7" t="n">
        <v>255565988</v>
      </c>
      <c r="D41" s="7" t="n">
        <v>61918000</v>
      </c>
      <c r="E41" s="7" t="n">
        <v>193647988</v>
      </c>
      <c r="F41" s="7" t="n">
        <f>D41+E41</f>
        <v>255565988</v>
      </c>
      <c r="G41" s="16" t="n">
        <f>F41-C41</f>
        <v>0</v>
      </c>
      <c r="H41" s="2" t="str">
        <f>IF(G41=0,"Khớp","Lệch")</f>
        <v>Khớp</v>
      </c>
    </row>
    <row r="42" ht="32" customHeight="1">
      <c r="A42" s="2" t="str">
        <v>KH074</v>
      </c>
      <c r="B42" s="2" t="str">
        <v>CÔNG TY TNHH THƯƠNG MẠI VÀ DỊCH VỤ THẢO NGUYÊN HD</v>
      </c>
      <c r="C42" s="7" t="n">
        <v>143884999</v>
      </c>
      <c r="D42" s="7" t="n">
        <v>0</v>
      </c>
      <c r="E42" s="7" t="n">
        <v>143884999</v>
      </c>
      <c r="F42" s="7" t="n">
        <f>D42+E42</f>
        <v>143884999</v>
      </c>
      <c r="G42" s="16" t="n">
        <f>F42-C42</f>
        <v>0</v>
      </c>
      <c r="H42" s="2" t="str">
        <f>IF(G42=0,"Khớp","Lệch")</f>
        <v>Khớp</v>
      </c>
    </row>
    <row r="43" ht="32" customHeight="1">
      <c r="A43" s="2" t="str">
        <v>KH076</v>
      </c>
      <c r="B43" s="2" t="str">
        <v>CÔNG TY TNHH THƯƠNG MẠI VÀ DỊCH VỤ ĐỨC ĐÀN</v>
      </c>
      <c r="C43" s="7" t="n">
        <v>100778001</v>
      </c>
      <c r="D43" s="7" t="n">
        <v>0</v>
      </c>
      <c r="E43" s="7" t="n">
        <v>100778001</v>
      </c>
      <c r="F43" s="7" t="n">
        <f>D43+E43</f>
        <v>100778001</v>
      </c>
      <c r="G43" s="16" t="n">
        <f>F43-C43</f>
        <v>0</v>
      </c>
      <c r="H43" s="2" t="str">
        <f>IF(G43=0,"Khớp","Lệch")</f>
        <v>Khớp</v>
      </c>
    </row>
    <row r="44" ht="32" customHeight="1">
      <c r="A44" s="2" t="str">
        <v>KH080</v>
      </c>
      <c r="B44" s="2" t="str">
        <v>CÔNG TY TNHH DỊCH VỤ THƯƠNG MẠI VÀ TỔNG HỢP AN THỊNH</v>
      </c>
      <c r="C44" s="7" t="n">
        <v>0</v>
      </c>
      <c r="D44" s="7" t="n">
        <v>12480000</v>
      </c>
      <c r="E44" s="7" t="n">
        <v>-12480000</v>
      </c>
      <c r="F44" s="7" t="n">
        <f>D44+E44</f>
        <v>0</v>
      </c>
      <c r="G44" s="16" t="n">
        <f>F44-C44</f>
        <v>0</v>
      </c>
      <c r="H44" s="2" t="str">
        <f>IF(G44=0,"Khớp","Lệch")</f>
        <v>Khớp</v>
      </c>
    </row>
    <row r="45" ht="32" customHeight="1">
      <c r="A45" s="2" t="str">
        <v>KH082</v>
      </c>
      <c r="B45" s="2" t="str">
        <v>Anh Cương (CÔNG TY TNHH THIẾT BỊ BẾP VÀ GIA DỤNG AN PHÚ)</v>
      </c>
      <c r="C45" s="7" t="n">
        <v>0</v>
      </c>
      <c r="D45" s="7" t="n">
        <v>0</v>
      </c>
      <c r="E45" s="7" t="n">
        <v>0</v>
      </c>
      <c r="F45" s="7" t="n">
        <f>D45+E45</f>
        <v>0</v>
      </c>
      <c r="G45" s="16" t="n">
        <f>F45-C45</f>
        <v>0</v>
      </c>
      <c r="H45" s="2" t="str">
        <f>IF(G45=0,"Khớp","Lệch")</f>
        <v>Khớp</v>
      </c>
    </row>
    <row r="46" ht="32" customHeight="1">
      <c r="A46" s="2" t="str">
        <v>KH083</v>
      </c>
      <c r="B46" s="2" t="str">
        <v>Nguyễn Đức Tuấn</v>
      </c>
      <c r="C46" s="7" t="n">
        <v>0</v>
      </c>
      <c r="D46" s="7" t="n">
        <v>0</v>
      </c>
      <c r="E46" s="7" t="n">
        <v>0</v>
      </c>
      <c r="F46" s="7" t="n">
        <f>D46+E46</f>
        <v>0</v>
      </c>
      <c r="G46" s="16" t="n">
        <f>F46-C46</f>
        <v>0</v>
      </c>
      <c r="H46" s="2" t="str">
        <f>IF(G46=0,"Khớp","Lệch")</f>
        <v>Khớp</v>
      </c>
    </row>
    <row r="47" ht="32" customHeight="1">
      <c r="A47" s="2" t="str">
        <v>KH084</v>
      </c>
      <c r="B47" s="2" t="str">
        <v>CÔNG TY TNHH THƯƠNG MẠI THIẾT BỊ ĐIỆN CÔNG NGHIỆP VĨNH PHÚC</v>
      </c>
      <c r="C47" s="7" t="n">
        <v>44723999</v>
      </c>
      <c r="D47" s="7" t="n">
        <v>0</v>
      </c>
      <c r="E47" s="7" t="n">
        <v>44723999</v>
      </c>
      <c r="F47" s="7" t="n">
        <f>D47+E47</f>
        <v>44723999</v>
      </c>
      <c r="G47" s="16" t="n">
        <f>F47-C47</f>
        <v>0</v>
      </c>
      <c r="H47" s="2" t="str">
        <f>IF(G47=0,"Khớp","Lệch")</f>
        <v>Khớp</v>
      </c>
    </row>
    <row r="48" ht="32" customHeight="1">
      <c r="A48" s="2" t="str">
        <v>KH086</v>
      </c>
      <c r="B48" s="2" t="str">
        <v>Vương Tuyết Mai</v>
      </c>
      <c r="C48" s="7" t="n">
        <v>32432769</v>
      </c>
      <c r="D48" s="7" t="n">
        <v>0</v>
      </c>
      <c r="E48" s="7" t="n">
        <v>32432769</v>
      </c>
      <c r="F48" s="7" t="n">
        <f>D48+E48</f>
        <v>32432769</v>
      </c>
      <c r="G48" s="16" t="n">
        <f>F48-C48</f>
        <v>0</v>
      </c>
      <c r="H48" s="2" t="str">
        <f>IF(G48=0,"Khớp","Lệch")</f>
        <v>Khớp</v>
      </c>
    </row>
    <row r="49" ht="32" customHeight="1">
      <c r="A49" s="2" t="str">
        <v>KH088</v>
      </c>
      <c r="B49" s="2" t="str">
        <v>CÔNG TY TNHH THƯƠNG MẠI &amp; DỊCH VỤ SƠN HIỀN SL</v>
      </c>
      <c r="C49" s="7" t="n">
        <v>72129997</v>
      </c>
      <c r="D49" s="7" t="n">
        <v>0</v>
      </c>
      <c r="E49" s="7" t="n">
        <v>72129997</v>
      </c>
      <c r="F49" s="7" t="n">
        <f>D49+E49</f>
        <v>72129997</v>
      </c>
      <c r="G49" s="16" t="n">
        <f>F49-C49</f>
        <v>0</v>
      </c>
      <c r="H49" s="2" t="str">
        <f>IF(G49=0,"Khớp","Lệch")</f>
        <v>Khớp</v>
      </c>
    </row>
    <row r="50" ht="32" customHeight="1">
      <c r="A50" s="2" t="str">
        <v>KH089</v>
      </c>
      <c r="B50" s="2" t="str">
        <v>Nguyễn Văn Y</v>
      </c>
      <c r="C50" s="7" t="n">
        <v>0</v>
      </c>
      <c r="D50" s="7" t="n">
        <v>0</v>
      </c>
      <c r="E50" s="7" t="n">
        <v>0</v>
      </c>
      <c r="F50" s="7" t="n">
        <f>D50+E50</f>
        <v>0</v>
      </c>
      <c r="G50" s="16" t="n">
        <f>F50-C50</f>
        <v>0</v>
      </c>
      <c r="H50" s="2" t="str">
        <f>IF(G50=0,"Khớp","Lệch")</f>
        <v>Khớp</v>
      </c>
    </row>
    <row r="51" ht="32" customHeight="1">
      <c r="A51" s="2" t="str">
        <v>KH090</v>
      </c>
      <c r="B51" s="2" t="str">
        <v>CÔNG TY CỔ PHẦN ĐIỆN MÁY TÂY BẮC</v>
      </c>
      <c r="C51" s="7" t="n">
        <v>36722000</v>
      </c>
      <c r="D51" s="7" t="n">
        <v>0</v>
      </c>
      <c r="E51" s="7" t="n">
        <v>36722000</v>
      </c>
      <c r="F51" s="7" t="n">
        <f>D51+E51</f>
        <v>36722000</v>
      </c>
      <c r="G51" s="16" t="n">
        <f>F51-C51</f>
        <v>0</v>
      </c>
      <c r="H51" s="2" t="str">
        <f>IF(G51=0,"Khớp","Lệch")</f>
        <v>Khớp</v>
      </c>
    </row>
    <row r="52" ht="32" customHeight="1">
      <c r="A52" s="2" t="str">
        <v>KH091</v>
      </c>
      <c r="B52" s="2" t="str">
        <v>CÔNG TY TNHH ÁNH LUẬT</v>
      </c>
      <c r="C52" s="7" t="n">
        <v>141746000</v>
      </c>
      <c r="D52" s="7" t="n">
        <v>116358000</v>
      </c>
      <c r="E52" s="7" t="n">
        <v>25388000</v>
      </c>
      <c r="F52" s="7" t="n">
        <f>D52+E52</f>
        <v>141746000</v>
      </c>
      <c r="G52" s="16" t="n">
        <f>F52-C52</f>
        <v>0</v>
      </c>
      <c r="H52" s="2" t="str">
        <f>IF(G52=0,"Khớp","Lệch")</f>
        <v>Khớp</v>
      </c>
    </row>
    <row r="53" ht="32" customHeight="1">
      <c r="A53" s="2" t="str">
        <v>KH092</v>
      </c>
      <c r="B53" s="2" t="str">
        <v>CÔNG TY TNHH NỘI THẤT T&amp;H HOMES</v>
      </c>
      <c r="C53" s="7" t="n">
        <v>21684000</v>
      </c>
      <c r="D53" s="7" t="n">
        <v>5075000</v>
      </c>
      <c r="E53" s="7" t="n">
        <v>16609000</v>
      </c>
      <c r="F53" s="7" t="n">
        <f>D53+E53</f>
        <v>21684000</v>
      </c>
      <c r="G53" s="16" t="n">
        <f>F53-C53</f>
        <v>0</v>
      </c>
      <c r="H53" s="2" t="str">
        <f>IF(G53=0,"Khớp","Lệch")</f>
        <v>Khớp</v>
      </c>
    </row>
    <row r="54" ht="32" customHeight="1">
      <c r="A54" s="2" t="str">
        <v>KH094</v>
      </c>
      <c r="B54" s="2" t="str">
        <v>Nguyễn Tuấn Hoàng</v>
      </c>
      <c r="C54" s="7" t="n">
        <v>0</v>
      </c>
      <c r="D54" s="7" t="n">
        <v>0</v>
      </c>
      <c r="E54" s="7" t="n">
        <v>0</v>
      </c>
      <c r="F54" s="7" t="n">
        <f>D54+E54</f>
        <v>0</v>
      </c>
      <c r="G54" s="16" t="n">
        <f>F54-C54</f>
        <v>0</v>
      </c>
      <c r="H54" s="2" t="str">
        <f>IF(G54=0,"Khớp","Lệch")</f>
        <v>Khớp</v>
      </c>
    </row>
    <row r="55" ht="32" customHeight="1">
      <c r="A55" s="2" t="str">
        <v>KH095</v>
      </c>
      <c r="B55" s="2" t="str">
        <v>Trần Ngọc Kiên</v>
      </c>
      <c r="C55" s="7" t="n">
        <v>0</v>
      </c>
      <c r="D55" s="7" t="n">
        <v>0</v>
      </c>
      <c r="E55" s="7" t="n">
        <v>0</v>
      </c>
      <c r="F55" s="7" t="n">
        <f>D55+E55</f>
        <v>0</v>
      </c>
      <c r="G55" s="16" t="n">
        <f>F55-C55</f>
        <v>0</v>
      </c>
      <c r="H55" s="2" t="str">
        <f>IF(G55=0,"Khớp","Lệch")</f>
        <v>Khớp</v>
      </c>
    </row>
    <row r="56" ht="32" customHeight="1">
      <c r="A56" s="2" t="str">
        <v>KH096</v>
      </c>
      <c r="B56" s="2" t="str">
        <v>Nguyễn Anh Tuấn</v>
      </c>
      <c r="C56" s="7" t="n">
        <v>0</v>
      </c>
      <c r="D56" s="7" t="n">
        <v>880000</v>
      </c>
      <c r="E56" s="7" t="n">
        <v>-880000</v>
      </c>
      <c r="F56" s="7" t="n">
        <f>D56+E56</f>
        <v>0</v>
      </c>
      <c r="G56" s="16" t="n">
        <f>F56-C56</f>
        <v>0</v>
      </c>
      <c r="H56" s="2" t="str">
        <f>IF(G56=0,"Khớp","Lệch")</f>
        <v>Khớp</v>
      </c>
    </row>
    <row r="58">
      <c r="A58" s="17" t="str">
        <v>TỔNG CỘNG</v>
      </c>
      <c r="B58" s="17"/>
      <c r="C58" s="18" t="n">
        <f>SUM(C10:C56)</f>
        <v>5535307613</v>
      </c>
      <c r="D58" s="18" t="n">
        <f>SUM(D10:D56)</f>
        <v>678515000</v>
      </c>
      <c r="E58" s="18" t="n">
        <f>SUM(E10:E56)</f>
        <v>4856792613</v>
      </c>
      <c r="F58" s="18" t="n">
        <f>SUM(F10:F56)</f>
        <v>5535307613</v>
      </c>
      <c r="G58" s="18" t="n">
        <f>SUM(G10:G56)</f>
        <v>0</v>
      </c>
      <c r="H58" s="17"/>
    </row>
  </sheetData>
  <mergeCells>
    <mergeCell ref="A1:H2"/>
    <mergeCell ref="A3:H3"/>
    <mergeCell ref="A6:H6"/>
    <mergeCell ref="A7:H7"/>
    <mergeCell ref="A58:B58"/>
  </mergeCells>
  <pageMargins left="0.7" right="0.7" top="0.75" bottom="0.75" header="0.3" footer="0.3"/>
  <tableParts count="1">
    <tablePart xmlns:r="http://schemas.openxmlformats.org/officeDocument/2006/relationships" r:id="R95fea4b633e34222"/>
  </tableParts>
</worksheet>
</file>

<file path=xl/worksheets/sheet2.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20" hidden="0" customWidth="1"/>
    <col min="2" max="2" width="11" hidden="0" customWidth="1"/>
    <col min="3" max="3" width="17" hidden="0" customWidth="1"/>
    <col min="4" max="4" width="21" hidden="0" customWidth="1"/>
    <col min="5" max="5" width="23" hidden="0" customWidth="1"/>
    <col min="6" max="6" width="24" hidden="0" customWidth="1"/>
    <col min="7" max="7" width="24" hidden="0" customWidth="1"/>
    <col min="8" max="8" width="23" hidden="0" customWidth="1"/>
    <col min="9" max="9" width="58" hidden="0" customWidth="1"/>
    <col min="10" max="10" width="68" hidden="0" customWidth="1"/>
    <col min="11" max="11" width="48" hidden="0" customWidth="1"/>
    <col min="12" max="12" width="80" hidden="0" customWidth="1"/>
  </cols>
  <sheetData>
    <row r="1" ht="42" customHeight="1">
      <c r="A1" s="5" t="str">
        <v>Mã dòng *</v>
      </c>
      <c r="B1" s="5" t="str">
        <v>Mã KH *</v>
      </c>
      <c r="C1" s="5" t="str">
        <v>Ngày chứng từ *</v>
      </c>
      <c r="D1" s="5" t="str">
        <v>Loại *</v>
      </c>
      <c r="E1" s="5" t="str">
        <v>Số chứng từ</v>
      </c>
      <c r="F1" s="5" t="str">
        <v>Số hóa đơn</v>
      </c>
      <c r="G1" s="5" t="str">
        <v>Phiếu ERP (trùng)</v>
      </c>
      <c r="H1" s="5" t="str">
        <v>Số tiền *</v>
      </c>
      <c r="I1" s="5" t="str">
        <v>Diễn giải</v>
      </c>
      <c r="J1" s="5" t="str">
        <v>Ghi chú</v>
      </c>
      <c r="K1" s="5" t="str">
        <v>Nguồn</v>
      </c>
      <c r="L1" s="5" t="str">
        <v>Cờ kiểm tra</v>
      </c>
    </row>
    <row r="2" ht="48" customHeight="1">
      <c r="A2" s="2" t="str">
        <v>S2-00016-BH</v>
      </c>
      <c r="B2" s="2" t="str">
        <v>KH001</v>
      </c>
      <c r="C2" s="2" t="str">
        <v>2026-01-29</v>
      </c>
      <c r="D2" s="2" t="str">
        <v>BAN_HANG</v>
      </c>
      <c r="E2" s="2" t="str"/>
      <c r="F2" s="2" t="str">
        <v>00000035</v>
      </c>
      <c r="G2" s="2" t="str"/>
      <c r="H2" s="19" t="n">
        <v>195295999</v>
      </c>
      <c r="I2" s="20" t="str">
        <v>xuất bán cho CÔNG TY TNHH THƯƠNG MẠI CẢNH CƯỜNG 销售给景强贸易有限责任公司</v>
      </c>
      <c r="J2" s="20" t="str">
        <v>Chuẩn hóa VND; gốc 195295997.9808; phần lẻ 1.019200000000 đ</v>
      </c>
      <c r="K2" s="20" t="str">
        <v>2.xlsx | 订单!16-44</v>
      </c>
      <c r="L2" s="20" t="str"/>
    </row>
    <row r="3" ht="48" customHeight="1">
      <c r="A3" s="2" t="str">
        <v>S2-00045-BH</v>
      </c>
      <c r="B3" s="2" t="str">
        <v>KH001</v>
      </c>
      <c r="C3" s="2" t="str">
        <v>2026-01-29</v>
      </c>
      <c r="D3" s="2" t="str">
        <v>BAN_HANG</v>
      </c>
      <c r="E3" s="2" t="str"/>
      <c r="F3" s="2" t="str">
        <v>00000067</v>
      </c>
      <c r="G3" s="2" t="str"/>
      <c r="H3" s="19" t="n">
        <v>17199999</v>
      </c>
      <c r="I3" s="20" t="str">
        <v>xuất bán cho CÔNG TY TNHH THƯƠNG MẠI CẢNH CƯỜNG 销售给景强贸易有限责任公司</v>
      </c>
      <c r="J3" s="20" t="str">
        <v>Chuẩn hóa VND; gốc 17199999.0432; phần lẻ -0.043200000000 đ</v>
      </c>
      <c r="K3" s="20" t="str">
        <v>2.xlsx | 订单!45-46</v>
      </c>
      <c r="L3" s="20" t="str"/>
    </row>
    <row r="4" ht="48" customHeight="1">
      <c r="A4" s="2" t="str">
        <v>S2-00047-BH</v>
      </c>
      <c r="B4" s="2" t="str">
        <v>KH001</v>
      </c>
      <c r="C4" s="2" t="str">
        <v>2026-01-29</v>
      </c>
      <c r="D4" s="2" t="str">
        <v>BAN_HANG</v>
      </c>
      <c r="E4" s="2" t="str"/>
      <c r="F4" s="2" t="str">
        <v>00000080</v>
      </c>
      <c r="G4" s="2" t="str"/>
      <c r="H4" s="19" t="n">
        <v>23688000</v>
      </c>
      <c r="I4" s="20" t="str">
        <v>xuất bán cho CÔNG TY TNHH THƯƠNG MẠI CẢNH CƯỜNG 销售给景强贸易有限责任公司</v>
      </c>
      <c r="J4" s="20" t="str">
        <v>Chuẩn hóa VND; gốc 23687999.5104; phần lẻ 0.489600000000 đ</v>
      </c>
      <c r="K4" s="20" t="str">
        <v>2.xlsx | 订单!47-52</v>
      </c>
      <c r="L4" s="20" t="str"/>
    </row>
    <row r="5" ht="48" customHeight="1">
      <c r="A5" s="2" t="str">
        <v>S2-00053-BH</v>
      </c>
      <c r="B5" s="2" t="str">
        <v>KH001</v>
      </c>
      <c r="C5" s="2" t="str">
        <v>2026-01-29</v>
      </c>
      <c r="D5" s="2" t="str">
        <v>BAN_HANG</v>
      </c>
      <c r="E5" s="2" t="str"/>
      <c r="F5" s="2" t="str">
        <v>00000172</v>
      </c>
      <c r="G5" s="2" t="str"/>
      <c r="H5" s="19" t="n">
        <v>31830000</v>
      </c>
      <c r="I5" s="20" t="str">
        <v>xuất bán cho CÔNG TY TNHH THƯƠNG MẠI CẢNH CƯỜNG 销售给景强贸易有限责任公司</v>
      </c>
      <c r="J5" s="20" t="str">
        <v>Chuẩn hóa VND; gốc 31829999.976; phần lẻ 0.024000000000 đ</v>
      </c>
      <c r="K5" s="20" t="str">
        <v>2.xlsx | 订单!53-57</v>
      </c>
      <c r="L5" s="20" t="str"/>
    </row>
    <row r="6" ht="48" customHeight="1">
      <c r="A6" s="2" t="str">
        <v>S2-00058-TH</v>
      </c>
      <c r="B6" s="2" t="str">
        <v>KH001</v>
      </c>
      <c r="C6" s="2" t="str">
        <v>2026-02-11</v>
      </c>
      <c r="D6" s="2" t="str">
        <v>TRA_HANG</v>
      </c>
      <c r="E6" s="2" t="str"/>
      <c r="F6" s="2" t="str">
        <v>00000071</v>
      </c>
      <c r="G6" s="2" t="str"/>
      <c r="H6" s="19" t="n">
        <v>10980000</v>
      </c>
      <c r="I6" s="20" t="str">
        <v>Điều chỉnh giảm hàng hoá HĐ 35</v>
      </c>
      <c r="J6" s="20" t="str">
        <v>Chuẩn hóa VND; gốc 10979999.9712; phần lẻ 0.028800000000 đ</v>
      </c>
      <c r="K6" s="20" t="str">
        <v>2.xlsx | 订单!58</v>
      </c>
      <c r="L6" s="21" t="str">
        <v>Ngày 2026-11-02 ở tương lai → đảo ngày/tháng thành 2026-02-11</v>
      </c>
    </row>
    <row r="7" ht="48" customHeight="1">
      <c r="A7" s="2" t="str">
        <v>S2-00059-BH</v>
      </c>
      <c r="B7" s="2" t="str">
        <v>KH001</v>
      </c>
      <c r="C7" s="2" t="str">
        <v>2026-05-06</v>
      </c>
      <c r="D7" s="2" t="str">
        <v>BAN_HANG</v>
      </c>
      <c r="E7" s="2" t="str"/>
      <c r="F7" s="2" t="str">
        <v>00000172</v>
      </c>
      <c r="G7" s="2" t="str"/>
      <c r="H7" s="19" t="n">
        <v>39502400</v>
      </c>
      <c r="I7" s="20" t="str">
        <v>xuất bán cho CÔNG TY TNHH THƯƠNG MẠI CẢNH CƯỜNG 销售给景强贸易有限责任公司</v>
      </c>
      <c r="J7" s="20" t="str">
        <v>Chuẩn hóa VND; gốc 39502399.8312; phần lẻ 0.168800000000 đ</v>
      </c>
      <c r="K7" s="20" t="str">
        <v>2.xlsx | 订单!59-63</v>
      </c>
      <c r="L7" s="20" t="str"/>
    </row>
    <row r="8" ht="48" customHeight="1">
      <c r="A8" s="2" t="str">
        <v>S2-00064-BH</v>
      </c>
      <c r="B8" s="2" t="str">
        <v>KH001</v>
      </c>
      <c r="C8" s="2" t="str">
        <v>2026-05-06</v>
      </c>
      <c r="D8" s="2" t="str">
        <v>BAN_HANG</v>
      </c>
      <c r="E8" s="2" t="str"/>
      <c r="F8" s="2" t="str"/>
      <c r="G8" s="2" t="str"/>
      <c r="H8" s="19" t="n">
        <v>55000000</v>
      </c>
      <c r="I8" s="20" t="str">
        <v>xuất bán cho CÔNG TY TNHH THƯƠNG MẠI CẢNH CƯỜNG 销售给景强贸易有限责任公司</v>
      </c>
      <c r="J8" s="20" t="str">
        <v>Chuẩn hóa VND; gốc 55000000.08; phần lẻ -0.080000000000 đ</v>
      </c>
      <c r="K8" s="20" t="str">
        <v>2.xlsx | 订单!64</v>
      </c>
      <c r="L8" s="20" t="str"/>
    </row>
    <row r="9" ht="48" customHeight="1">
      <c r="A9" s="2" t="str">
        <v>S2-00065-BH</v>
      </c>
      <c r="B9" s="2" t="str">
        <v>KH001</v>
      </c>
      <c r="C9" s="2" t="str">
        <v>2026-06-18</v>
      </c>
      <c r="D9" s="2" t="str">
        <v>BAN_HANG</v>
      </c>
      <c r="E9" s="2" t="str"/>
      <c r="F9" s="2" t="str"/>
      <c r="G9" s="2" t="str"/>
      <c r="H9" s="19" t="n">
        <v>54800000</v>
      </c>
      <c r="I9" s="20" t="str">
        <v>xuất bán cho CÔNG TY TNHH THƯƠNG MẠI CẢNH CƯỜNG 销售给景强贸易有限责任公司</v>
      </c>
      <c r="J9" s="20" t="str">
        <v>Chuẩn hóa VND; gốc 54799999.848; phần lẻ 0.152000000000 đ</v>
      </c>
      <c r="K9" s="20" t="str">
        <v>2.xlsx | 订单!65-66</v>
      </c>
      <c r="L9" s="20" t="str"/>
    </row>
    <row r="10" ht="48" customHeight="1">
      <c r="A10" s="2" t="str">
        <v>S2-00067-BH</v>
      </c>
      <c r="B10" s="2" t="str">
        <v>KH001</v>
      </c>
      <c r="C10" s="2" t="str">
        <v>2026-06-20</v>
      </c>
      <c r="D10" s="2" t="str">
        <v>BAN_HANG</v>
      </c>
      <c r="E10" s="2" t="str"/>
      <c r="F10" s="2" t="str"/>
      <c r="G10" s="2" t="str"/>
      <c r="H10" s="19" t="n">
        <v>31000000</v>
      </c>
      <c r="I10" s="20" t="str">
        <v>xuất bán cho CÔNG TY TNHH THƯƠNG MẠI CẢNH CƯỜNG 销售给景强贸易有限责任公司</v>
      </c>
      <c r="J10" s="20" t="str">
        <v>Chuẩn hóa VND; gốc 30999999.78; phần lẻ 0.220000000000 đ</v>
      </c>
      <c r="K10" s="20" t="str">
        <v>2.xlsx | 订单!67</v>
      </c>
      <c r="L10" s="20" t="str"/>
    </row>
    <row r="11" ht="48" customHeight="1">
      <c r="A11" s="2" t="str">
        <v>S2-00068-BH</v>
      </c>
      <c r="B11" s="2" t="str">
        <v>KH001</v>
      </c>
      <c r="C11" s="2" t="str">
        <v>2026-06-20</v>
      </c>
      <c r="D11" s="2" t="str">
        <v>BAN_HANG</v>
      </c>
      <c r="E11" s="2" t="str"/>
      <c r="F11" s="2" t="str">
        <v>00000195</v>
      </c>
      <c r="G11" s="2" t="str"/>
      <c r="H11" s="19" t="n">
        <v>37500000</v>
      </c>
      <c r="I11" s="20" t="str">
        <v>xuất bán cho CÔNG TY TNHH THƯƠNG MẠI CẢNH CƯỜNG 销售给景强贸易有限责任公司</v>
      </c>
      <c r="J11" s="20" t="str">
        <v>Chuẩn hóa VND; gốc 37499999.76; phần lẻ 0.240000000000 đ</v>
      </c>
      <c r="K11" s="20" t="str">
        <v>2.xlsx | 订单!68</v>
      </c>
      <c r="L11" s="20" t="str"/>
    </row>
    <row r="12" ht="48" customHeight="1">
      <c r="A12" s="2" t="str">
        <v>S2-00069-TT</v>
      </c>
      <c r="B12" s="2" t="str">
        <v>KH001</v>
      </c>
      <c r="C12" s="2" t="str">
        <v>2026-06-23</v>
      </c>
      <c r="D12" s="2" t="str">
        <v>THU_TIEN</v>
      </c>
      <c r="E12" s="2" t="str"/>
      <c r="F12" s="2" t="str"/>
      <c r="G12" s="2" t="str"/>
      <c r="H12" s="19" t="n">
        <v>71332402</v>
      </c>
      <c r="I12" s="20" t="str">
        <v>Thu tiền khách hàng Chuyển khoản ngân hàng货款通过银行转账</v>
      </c>
      <c r="J12" s="20" t="str">
        <v>Chuẩn hóa VND; gốc 71332402; phần lẻ 0.000000000000 đ</v>
      </c>
      <c r="K12" s="20" t="str">
        <v>2.xlsx | 订单!69</v>
      </c>
      <c r="L12" s="20" t="str"/>
    </row>
    <row r="13" ht="48" customHeight="1">
      <c r="A13" s="2" t="str">
        <v>S2-00070-BH</v>
      </c>
      <c r="B13" s="2" t="str">
        <v>KH001</v>
      </c>
      <c r="C13" s="2" t="str">
        <v>2026-06-29</v>
      </c>
      <c r="D13" s="2" t="str">
        <v>BAN_HANG</v>
      </c>
      <c r="E13" s="2" t="str"/>
      <c r="F13" s="2" t="str">
        <v>00000195</v>
      </c>
      <c r="G13" s="2" t="str"/>
      <c r="H13" s="19" t="n">
        <v>63600000</v>
      </c>
      <c r="I13" s="20" t="str">
        <v>xuất bán cho CÔNG TY TNHH THƯƠNG MẠI CẢNH CƯỜNG 销售给景强贸易有限责任公司</v>
      </c>
      <c r="J13" s="20" t="str">
        <v>Chuẩn hóa VND; gốc 63599999.9904; phần lẻ 0.009600000000 đ</v>
      </c>
      <c r="K13" s="20" t="str">
        <v>2.xlsx | 订单!70-74</v>
      </c>
      <c r="L13" s="20" t="str"/>
    </row>
    <row r="14" ht="48" customHeight="1">
      <c r="A14" s="2" t="str">
        <v>S2-00075-BH</v>
      </c>
      <c r="B14" s="2" t="str">
        <v>KH001</v>
      </c>
      <c r="C14" s="2" t="str">
        <v>2026-07-01</v>
      </c>
      <c r="D14" s="2" t="str">
        <v>BAN_HANG</v>
      </c>
      <c r="E14" s="2" t="str"/>
      <c r="F14" s="2" t="str">
        <v>00000204</v>
      </c>
      <c r="G14" s="2" t="str"/>
      <c r="H14" s="19" t="n">
        <v>49859998</v>
      </c>
      <c r="I14" s="20" t="str">
        <v>xuất bán cho CÔNG TY TNHH THƯƠNG MẠI CẢNH CƯỜNG 销售给景强贸易有限责任公司</v>
      </c>
      <c r="J14" s="20" t="str">
        <v>Chuẩn hóa VND; gốc 49859999.82; phần lẻ -1.820000000000 đ</v>
      </c>
      <c r="K14" s="20" t="str">
        <v>2.xlsx | 订单!75-80</v>
      </c>
      <c r="L14" s="20" t="str"/>
    </row>
    <row r="15" ht="48" customHeight="1">
      <c r="A15" s="2" t="str">
        <v>S2-00081-BH</v>
      </c>
      <c r="B15" s="2" t="str">
        <v>KH001</v>
      </c>
      <c r="C15" s="2" t="str">
        <v>2026-07-07</v>
      </c>
      <c r="D15" s="2" t="str">
        <v>BAN_HANG</v>
      </c>
      <c r="E15" s="2" t="str"/>
      <c r="F15" s="2" t="str">
        <v>00000207</v>
      </c>
      <c r="G15" s="2" t="str"/>
      <c r="H15" s="19" t="n">
        <v>141664000</v>
      </c>
      <c r="I15" s="20" t="str">
        <v>xuất bán cho CÔNG TY TNHH THƯƠNG MẠI CẢNH CƯỜNG 销售给景强贸易有限责任公司</v>
      </c>
      <c r="J15" s="20" t="str">
        <v>Chuẩn hóa VND; gốc 141663999.3192; phần lẻ 0.680800000000 đ</v>
      </c>
      <c r="K15" s="20" t="str">
        <v>2.xlsx | 订单!81-95</v>
      </c>
      <c r="L15" s="20" t="str"/>
    </row>
    <row r="16" ht="48" customHeight="1">
      <c r="A16" s="2" t="str">
        <v>S2-00098-TH</v>
      </c>
      <c r="B16" s="2" t="str">
        <v>KH001</v>
      </c>
      <c r="C16" s="2" t="str">
        <v>2026-07-10</v>
      </c>
      <c r="D16" s="2" t="str">
        <v>TRA_HANG</v>
      </c>
      <c r="E16" s="2" t="str"/>
      <c r="F16" s="2" t="str">
        <v>00000210</v>
      </c>
      <c r="G16" s="2" t="str"/>
      <c r="H16" s="19" t="n">
        <v>59058001</v>
      </c>
      <c r="I16" s="20" t="str">
        <v>Điều chỉnh giảm hàng hoá HĐ 35</v>
      </c>
      <c r="J16" s="20" t="str">
        <v>Chuẩn hóa VND; gốc 59057999.532; phần lẻ 1.468000000000 đ</v>
      </c>
      <c r="K16" s="20" t="str">
        <v>2.xlsx | 订单!98-105</v>
      </c>
      <c r="L16" s="21" t="str">
        <v>Ngày 2026-10-07 sau mốc của khối nhập tay (≤ 2026-08-15) → đảo ngày/tháng thành 2026-07-10</v>
      </c>
    </row>
    <row r="17" ht="48" customHeight="1">
      <c r="A17" s="2" t="str">
        <v>S2-00106-TH</v>
      </c>
      <c r="B17" s="2" t="str">
        <v>KH001</v>
      </c>
      <c r="C17" s="2" t="str">
        <v>2026-07-10</v>
      </c>
      <c r="D17" s="2" t="str">
        <v>TRA_HANG</v>
      </c>
      <c r="E17" s="2" t="str"/>
      <c r="F17" s="2" t="str">
        <v>00000211</v>
      </c>
      <c r="G17" s="2" t="str"/>
      <c r="H17" s="19" t="n">
        <v>10980000</v>
      </c>
      <c r="I17" s="20" t="str">
        <v>Điều chỉnh giảm hàng hoá HĐ 172</v>
      </c>
      <c r="J17" s="20" t="str">
        <v>Chuẩn hóa VND; gốc 10979999.9712; phần lẻ 0.028800000000 đ</v>
      </c>
      <c r="K17" s="20" t="str">
        <v>2.xlsx | 订单!106</v>
      </c>
      <c r="L17" s="21" t="str">
        <v>Ngày 2026-10-07 sau mốc của khối nhập tay (≤ 2026-08-15) → đảo ngày/tháng thành 2026-07-10</v>
      </c>
    </row>
    <row r="18" ht="48" customHeight="1">
      <c r="A18" s="2" t="str">
        <v>S2-00107-BH</v>
      </c>
      <c r="B18" s="2" t="str">
        <v>KH001</v>
      </c>
      <c r="C18" s="2" t="str">
        <v>2026-07-21</v>
      </c>
      <c r="D18" s="2" t="str">
        <v>BAN_HANG</v>
      </c>
      <c r="E18" s="2" t="str"/>
      <c r="F18" s="2" t="str"/>
      <c r="G18" s="2" t="str"/>
      <c r="H18" s="19" t="n">
        <v>31740000</v>
      </c>
      <c r="I18" s="20" t="str">
        <v>xuất bán cho CÔNG TY TNHH THƯƠNG MẠI CẢNH CƯỜNG 销售给景强贸易有限责任公司</v>
      </c>
      <c r="J18" s="20" t="str">
        <v>Chuẩn hóa VND; gốc 31740000.0552; phần lẻ -0.055200000000 đ</v>
      </c>
      <c r="K18" s="20" t="str">
        <v>2.xlsx | 订单!107-108</v>
      </c>
      <c r="L18" s="20" t="str"/>
    </row>
    <row r="19" ht="48" customHeight="1">
      <c r="A19" s="2" t="str">
        <v>S2-00110-BH</v>
      </c>
      <c r="B19" s="2" t="str">
        <v>KH001</v>
      </c>
      <c r="C19" s="2" t="str">
        <v>2026-07-29</v>
      </c>
      <c r="D19" s="2" t="str">
        <v>BAN_HANG</v>
      </c>
      <c r="E19" s="2" t="str"/>
      <c r="F19" s="2" t="str"/>
      <c r="G19" s="2" t="str"/>
      <c r="H19" s="19" t="n">
        <v>69280000</v>
      </c>
      <c r="I19" s="20" t="str">
        <v>xuất bán cho CÔNG TY TNHH THƯƠNG MẠI CẢNH CƯỜNG 销售给景强贸易有限责任公司</v>
      </c>
      <c r="J19" s="20" t="str">
        <v>Chuẩn hóa VND; gốc 69279999.732; phần lẻ 0.268000000000 đ</v>
      </c>
      <c r="K19" s="20" t="str">
        <v>2.xlsx | 订单!110-113,115,117,119-120,122</v>
      </c>
      <c r="L19" s="20" t="str"/>
    </row>
    <row r="20" ht="48" customHeight="1">
      <c r="A20" s="2" t="str">
        <v>S2-00114-BH</v>
      </c>
      <c r="B20" s="2" t="str">
        <v>KH001</v>
      </c>
      <c r="C20" s="2" t="str">
        <v>2026-07-29</v>
      </c>
      <c r="D20" s="2" t="str">
        <v>BAN_HANG</v>
      </c>
      <c r="E20" s="2" t="str">
        <v>BH335.4</v>
      </c>
      <c r="F20" s="2" t="str">
        <v>00000345</v>
      </c>
      <c r="G20" s="2" t="str"/>
      <c r="H20" s="19" t="n">
        <v>16100000</v>
      </c>
      <c r="I20" s="20" t="str">
        <v>xuất bán cho CÔNG TY TNHH THƯƠNG MẠI CẢNH CƯỜNG 销售给景强贸易有限责任公司</v>
      </c>
      <c r="J20" s="20" t="str">
        <v>Chuẩn hóa VND; gốc 16099999.938; phần lẻ 0.062000000000 đ</v>
      </c>
      <c r="K20" s="20" t="str">
        <v>2.xlsx | 订单!114,116,118,121,126</v>
      </c>
      <c r="L20" s="20" t="str"/>
    </row>
    <row r="21" ht="48" customHeight="1">
      <c r="A21" s="2" t="str">
        <v>S2-00133-TT</v>
      </c>
      <c r="B21" s="2" t="str">
        <v>KH001</v>
      </c>
      <c r="C21" s="2" t="str">
        <v>2026-07-31</v>
      </c>
      <c r="D21" s="2" t="str">
        <v>THU_TIEN</v>
      </c>
      <c r="E21" s="2" t="str"/>
      <c r="F21" s="2" t="str"/>
      <c r="G21" s="2" t="str"/>
      <c r="H21" s="19" t="n">
        <v>50000000</v>
      </c>
      <c r="I21" s="20" t="str">
        <v>Thu tiền khách hàng Chuyển khoản ngân hàng货款通过银行转账</v>
      </c>
      <c r="J21" s="20" t="str">
        <v>Chuẩn hóa VND; gốc 50000000; phần lẻ 0.000000000000 đ</v>
      </c>
      <c r="K21" s="20" t="str">
        <v>2.xlsx | 订单!133</v>
      </c>
      <c r="L21" s="20" t="str"/>
    </row>
    <row r="22" ht="48" customHeight="1">
      <c r="A22" s="2" t="str">
        <v>S2-01582-TT</v>
      </c>
      <c r="B22" s="2" t="str">
        <v>KH001</v>
      </c>
      <c r="C22" s="2" t="str">
        <v>2026-09-04</v>
      </c>
      <c r="D22" s="2" t="str">
        <v>THU_TIEN</v>
      </c>
      <c r="E22" s="2" t="str"/>
      <c r="F22" s="2" t="str"/>
      <c r="G22" s="2" t="str"/>
      <c r="H22" s="19" t="n">
        <v>50000000</v>
      </c>
      <c r="I22" s="20" t="str">
        <v>Thu tiền khách hàng Chuyển khoản ngân hàng货款通过银行转账</v>
      </c>
      <c r="J22" s="20" t="str">
        <v>Chuẩn hóa VND; gốc 50000000; phần lẻ 0.000000000000 đ</v>
      </c>
      <c r="K22" s="20" t="str">
        <v>2.xlsx | 订单!1582</v>
      </c>
      <c r="L22" s="20" t="str"/>
    </row>
    <row r="23" ht="48" customHeight="1">
      <c r="A23" s="2" t="str">
        <v>S2-01674-BH</v>
      </c>
      <c r="B23" s="2" t="str">
        <v>KH001</v>
      </c>
      <c r="C23" s="2" t="str">
        <v>2026-09-11</v>
      </c>
      <c r="D23" s="2" t="str">
        <v>BAN_HANG</v>
      </c>
      <c r="E23" s="2" t="str">
        <v>BH2026090062</v>
      </c>
      <c r="F23" s="2" t="str">
        <v>00000307</v>
      </c>
      <c r="G23" s="2" t="str"/>
      <c r="H23" s="19" t="n">
        <v>47150000</v>
      </c>
      <c r="I23" s="20" t="str">
        <v>xuất bán cho CÔNG TY TNHH THƯƠNG MẠI CẢNH CƯỜNG 销售给景强贸易有限责任公司</v>
      </c>
      <c r="J23" s="20" t="str">
        <v>Chuẩn hóa VND; gốc 47149999.7328; phần lẻ 0.267200000000 đ</v>
      </c>
      <c r="K23" s="20" t="str">
        <v>2.xlsx | 订单!1674-1682</v>
      </c>
      <c r="L23" s="20" t="str"/>
    </row>
    <row r="24" ht="48" customHeight="1">
      <c r="A24" s="2" t="str">
        <v>S2-01794-BH</v>
      </c>
      <c r="B24" s="2" t="str">
        <v>KH001</v>
      </c>
      <c r="C24" s="2" t="str">
        <v>2026-09-14</v>
      </c>
      <c r="D24" s="2" t="str">
        <v>BAN_HANG</v>
      </c>
      <c r="E24" s="2" t="str">
        <v>BH2026090068</v>
      </c>
      <c r="F24" s="2" t="str"/>
      <c r="G24" s="2" t="str"/>
      <c r="H24" s="19" t="n">
        <v>70452000</v>
      </c>
      <c r="I24" s="20" t="str">
        <v>xuất bán cho CÔNG TY TNHH THƯƠNG MẠI CẢNH CƯỜNG 销售给景强贸易有限责任公司</v>
      </c>
      <c r="J24" s="20" t="str">
        <v>Chuẩn hóa VND; gốc 70452000.2448; phần lẻ -0.244800000000 đ</v>
      </c>
      <c r="K24" s="20" t="str">
        <v>2.xlsx | 订单!1794-1801</v>
      </c>
      <c r="L24" s="20" t="str"/>
    </row>
    <row r="25" ht="48" customHeight="1">
      <c r="A25" s="2" t="str">
        <v>S2-01949-BH</v>
      </c>
      <c r="B25" s="2" t="str">
        <v>KH001</v>
      </c>
      <c r="C25" s="2" t="str">
        <v>2026-09-28</v>
      </c>
      <c r="D25" s="2" t="str">
        <v>BAN_HANG</v>
      </c>
      <c r="E25" s="2" t="str">
        <v>BH2026090102</v>
      </c>
      <c r="F25" s="2" t="str"/>
      <c r="G25" s="2" t="str"/>
      <c r="H25" s="19" t="n">
        <v>32830000</v>
      </c>
      <c r="I25" s="20" t="str">
        <v>xuất bán cho CÔNG TY TNHH THƯƠNG MẠI CẢNH CƯỜNG 销售给景强贸易有限责任公司</v>
      </c>
      <c r="J25" s="20" t="str">
        <v>Chuẩn hóa VND; gốc 32829999.732; phần lẻ 0.268000000000 đ</v>
      </c>
      <c r="K25" s="20" t="str">
        <v>2.xlsx | 订单!1949-1951</v>
      </c>
      <c r="L25" s="20" t="str"/>
    </row>
    <row r="26" ht="48" customHeight="1">
      <c r="A26" s="25" t="str">
        <v>S2-01972-BH</v>
      </c>
      <c r="B26" s="25" t="str">
        <v>KH001</v>
      </c>
      <c r="C26" s="25" t="str">
        <v>2026-09-30</v>
      </c>
      <c r="D26" s="25" t="str">
        <v>BAN_HANG</v>
      </c>
      <c r="E26" s="25" t="str">
        <v>BH2026090104</v>
      </c>
      <c r="F26" s="25" t="str"/>
      <c r="G26" s="25" t="str">
        <v>BH2026100104</v>
      </c>
      <c r="H26" s="26" t="n">
        <v>66149999.95</v>
      </c>
      <c r="I26" s="27" t="str">
        <v>xuất bán cho CÔNG TY TNHH THƯƠNG MẠI CẢNH CƯỜNG 销售给景强贸易有限责任公司</v>
      </c>
      <c r="J26" s="27" t="str">
        <v>ĐÃ CÓ ERP — bỏ qua dòng này; giữ chứng từ ERP</v>
      </c>
      <c r="K26" s="27" t="str">
        <v>2.xlsx | 订单!1972-1978</v>
      </c>
      <c r="L26" s="27" t="str"/>
    </row>
    <row r="27" ht="48" customHeight="1">
      <c r="A27" s="2" t="str">
        <v>S2-01987-TT</v>
      </c>
      <c r="B27" s="2" t="str">
        <v>KH001</v>
      </c>
      <c r="C27" s="2" t="str">
        <v>2026-10-01</v>
      </c>
      <c r="D27" s="2" t="str">
        <v>THU_TIEN</v>
      </c>
      <c r="E27" s="2" t="str"/>
      <c r="F27" s="2" t="str"/>
      <c r="G27" s="2" t="str"/>
      <c r="H27" s="19" t="n">
        <v>50000000</v>
      </c>
      <c r="I27" s="20" t="str">
        <v>Thu tiền khách hàng Chuyển khoản ngân hàng货款通过银行转账</v>
      </c>
      <c r="J27" s="20" t="str">
        <v>Chuẩn hóa VND; gốc 50000000; phần lẻ 0.000000000000 đ</v>
      </c>
      <c r="K27" s="20" t="str">
        <v>2.xlsx | 订单!1987</v>
      </c>
      <c r="L27" s="20" t="str"/>
    </row>
    <row r="28" ht="48" customHeight="1">
      <c r="A28" s="2" t="str">
        <v>S2-00919-BH</v>
      </c>
      <c r="B28" s="2" t="str">
        <v>KH002</v>
      </c>
      <c r="C28" s="2" t="str">
        <v>2026-01-22</v>
      </c>
      <c r="D28" s="2" t="str">
        <v>BAN_HANG</v>
      </c>
      <c r="E28" s="2" t="str"/>
      <c r="F28" s="2" t="str">
        <v>00000030</v>
      </c>
      <c r="G28" s="2" t="str"/>
      <c r="H28" s="19" t="n">
        <v>27700000</v>
      </c>
      <c r="I28" s="20" t="str">
        <v>xuất bán cho CÔNG TY TNHH LỘC HƯNG THÁI</v>
      </c>
      <c r="J28" s="20" t="str">
        <v>Chuẩn hóa VND; gốc 27699999.948; phần lẻ 0.052000000000 đ</v>
      </c>
      <c r="K28" s="20" t="str">
        <v>2.xlsx | 订单!919-920</v>
      </c>
      <c r="L28" s="20" t="str"/>
    </row>
    <row r="29" ht="48" customHeight="1">
      <c r="A29" s="2" t="str">
        <v>S2-00921-BH</v>
      </c>
      <c r="B29" s="2" t="str">
        <v>KH002</v>
      </c>
      <c r="C29" s="2" t="str">
        <v>2026-03-20</v>
      </c>
      <c r="D29" s="2" t="str">
        <v>BAN_HANG</v>
      </c>
      <c r="E29" s="2" t="str"/>
      <c r="F29" s="2" t="str">
        <v>00000100</v>
      </c>
      <c r="G29" s="2" t="str"/>
      <c r="H29" s="19" t="n">
        <v>25800000</v>
      </c>
      <c r="I29" s="20" t="str">
        <v>xuất bán cho CÔNG TY TNHH LỘC HƯNG THÁI</v>
      </c>
      <c r="J29" s="20" t="str">
        <v>Chuẩn hóa VND; gốc 25799999.9904; phần lẻ 0.009600000000 đ</v>
      </c>
      <c r="K29" s="20" t="str">
        <v>2.xlsx | 订单!921,923</v>
      </c>
      <c r="L29" s="20" t="str"/>
    </row>
    <row r="30" ht="48" customHeight="1">
      <c r="A30" s="2" t="str">
        <v>S2-00922-BH</v>
      </c>
      <c r="B30" s="2" t="str">
        <v>KH002</v>
      </c>
      <c r="C30" s="2" t="str">
        <v>2026-03-20</v>
      </c>
      <c r="D30" s="2" t="str">
        <v>BAN_HANG</v>
      </c>
      <c r="E30" s="2" t="str"/>
      <c r="F30" s="2" t="str"/>
      <c r="G30" s="2" t="str"/>
      <c r="H30" s="19" t="n">
        <v>14220000</v>
      </c>
      <c r="I30" s="20" t="str">
        <v>xuất bán cho CÔNG TY TNHH LỘC HƯNG THÁI</v>
      </c>
      <c r="J30" s="20" t="str">
        <v>Chuẩn hóa VND; gốc 14219999.9712; phần lẻ 0.028800000000 đ</v>
      </c>
      <c r="K30" s="20" t="str">
        <v>2.xlsx | 订单!922</v>
      </c>
      <c r="L30" s="20" t="str"/>
    </row>
    <row r="31" ht="48" customHeight="1">
      <c r="A31" s="2" t="str">
        <v>S2-00924-TT</v>
      </c>
      <c r="B31" s="2" t="str">
        <v>KH002</v>
      </c>
      <c r="C31" s="2" t="str">
        <v>2026-03-26</v>
      </c>
      <c r="D31" s="2" t="str">
        <v>THU_TIEN</v>
      </c>
      <c r="E31" s="2" t="str"/>
      <c r="F31" s="2" t="str"/>
      <c r="G31" s="2" t="str"/>
      <c r="H31" s="19" t="n">
        <v>27700000</v>
      </c>
      <c r="I31" s="20" t="str">
        <v>Thu tiền khách hàng Chuyển khoản ngân hàng货款通过银行转账</v>
      </c>
      <c r="J31" s="20" t="str">
        <v>Chuẩn hóa VND; gốc 27700000; phần lẻ 0.000000000000 đ</v>
      </c>
      <c r="K31" s="20" t="str">
        <v>2.xlsx | 订单!924</v>
      </c>
      <c r="L31" s="20" t="str"/>
    </row>
    <row r="32" ht="48" customHeight="1">
      <c r="A32" s="2" t="str">
        <v>S2-00925-BH</v>
      </c>
      <c r="B32" s="2" t="str">
        <v>KH002</v>
      </c>
      <c r="C32" s="2" t="str">
        <v>2026-06-11</v>
      </c>
      <c r="D32" s="2" t="str">
        <v>BAN_HANG</v>
      </c>
      <c r="E32" s="2" t="str">
        <v>BH289.4</v>
      </c>
      <c r="F32" s="2" t="str">
        <v>00000298</v>
      </c>
      <c r="G32" s="2" t="str"/>
      <c r="H32" s="19" t="n">
        <v>110000000</v>
      </c>
      <c r="I32" s="20" t="str">
        <v>xuất bán cho CÔNG TY TNHH LỘC HƯNG THÁI</v>
      </c>
      <c r="J32" s="20" t="str">
        <v>Chuẩn hóa VND; gốc 110000000.16; phần lẻ -0.160000000000 đ</v>
      </c>
      <c r="K32" s="20" t="str">
        <v>2.xlsx | 订单!925</v>
      </c>
      <c r="L32" s="20" t="str"/>
    </row>
    <row r="33" ht="48" customHeight="1">
      <c r="A33" s="2" t="str">
        <v>S2-01920-BH</v>
      </c>
      <c r="B33" s="2" t="str">
        <v>KH002</v>
      </c>
      <c r="C33" s="2" t="str">
        <v>2026-09-25</v>
      </c>
      <c r="D33" s="2" t="str">
        <v>BAN_HANG</v>
      </c>
      <c r="E33" s="2" t="str">
        <v>BH2026090095</v>
      </c>
      <c r="F33" s="2" t="str">
        <v>00000324</v>
      </c>
      <c r="G33" s="2" t="str"/>
      <c r="H33" s="19" t="n">
        <v>180918000</v>
      </c>
      <c r="I33" s="20" t="str">
        <v>xuất bán cho CÔNG TY TNHH LỘC HƯNG THÁI</v>
      </c>
      <c r="J33" s="20" t="str">
        <v>Chuẩn hóa VND; gốc 180917999.8092; phần lẻ 0.190800000000 đ</v>
      </c>
      <c r="K33" s="20" t="str">
        <v>2.xlsx | 订单!1920-1934</v>
      </c>
      <c r="L33" s="20" t="str"/>
    </row>
    <row r="34" ht="48" customHeight="1">
      <c r="A34" s="25" t="str">
        <v>S2-02043-BH</v>
      </c>
      <c r="B34" s="25" t="str">
        <v>KH002</v>
      </c>
      <c r="C34" s="25" t="str">
        <v>2026-10-05</v>
      </c>
      <c r="D34" s="25" t="str">
        <v>BAN_HANG</v>
      </c>
      <c r="E34" s="25" t="str">
        <v>BH2026100111</v>
      </c>
      <c r="F34" s="25" t="str"/>
      <c r="G34" s="25" t="str">
        <v>BH2026100111</v>
      </c>
      <c r="H34" s="26" t="n">
        <v>84299999.94</v>
      </c>
      <c r="I34" s="27" t="str">
        <v>xuất bán cho CÔNG TY TNHH LỘC HƯNG THÁI</v>
      </c>
      <c r="J34" s="27" t="str">
        <v>ĐÃ CÓ ERP — bỏ qua dòng này; giữ chứng từ ERP</v>
      </c>
      <c r="K34" s="27" t="str">
        <v>2.xlsx | 订单!2043-2045</v>
      </c>
      <c r="L34" s="27" t="str"/>
    </row>
    <row r="35" ht="48" customHeight="1">
      <c r="A35" s="2" t="str">
        <v>S2-02048-TT</v>
      </c>
      <c r="B35" s="2" t="str">
        <v>KH002</v>
      </c>
      <c r="C35" s="2" t="str">
        <v>2026-10-08</v>
      </c>
      <c r="D35" s="2" t="str">
        <v>THU_TIEN</v>
      </c>
      <c r="E35" s="2" t="str"/>
      <c r="F35" s="2" t="str"/>
      <c r="G35" s="2" t="str"/>
      <c r="H35" s="19" t="n">
        <v>100000000</v>
      </c>
      <c r="I35" s="20" t="str">
        <v>Thu tiền khách hàng Chuyển khoản ngân hàng货款通过银行转账</v>
      </c>
      <c r="J35" s="20" t="str">
        <v>Chuẩn hóa VND; gốc 100000000; phần lẻ 0.000000000000 đ</v>
      </c>
      <c r="K35" s="20" t="str">
        <v>2.xlsx | 订单!2048</v>
      </c>
      <c r="L35" s="20" t="str"/>
    </row>
    <row r="36" ht="48" customHeight="1">
      <c r="A36" s="25" t="str">
        <v>S2-02214-BH</v>
      </c>
      <c r="B36" s="25" t="str">
        <v>KH002</v>
      </c>
      <c r="C36" s="25" t="str">
        <v>2026-10-15</v>
      </c>
      <c r="D36" s="25" t="str">
        <v>BAN_HANG</v>
      </c>
      <c r="E36" s="25" t="str">
        <v>BH2026100133</v>
      </c>
      <c r="F36" s="25" t="str"/>
      <c r="G36" s="25" t="str">
        <v>BH2026100133</v>
      </c>
      <c r="H36" s="26" t="n">
        <v>98399999.77</v>
      </c>
      <c r="I36" s="27" t="str">
        <v>xuất bán cho CÔNG TY TNHH LỘC HƯNG THÁI</v>
      </c>
      <c r="J36" s="27" t="str">
        <v>ĐÃ CÓ ERP — bỏ qua dòng này; giữ chứng từ ERP</v>
      </c>
      <c r="K36" s="27" t="str">
        <v>2.xlsx | 订单!2214-2216</v>
      </c>
      <c r="L36" s="27" t="str"/>
    </row>
    <row r="37" ht="48" customHeight="1">
      <c r="A37" s="2" t="str">
        <v>S2-01061-TT</v>
      </c>
      <c r="B37" s="2" t="str">
        <v>KH003</v>
      </c>
      <c r="C37" s="2" t="str">
        <v>2026-08-04</v>
      </c>
      <c r="D37" s="2" t="str">
        <v>THU_TIEN</v>
      </c>
      <c r="E37" s="2" t="str">
        <v>NTTK00130</v>
      </c>
      <c r="F37" s="2" t="str"/>
      <c r="G37" s="2" t="str"/>
      <c r="H37" s="19" t="n">
        <v>7120000</v>
      </c>
      <c r="I37" s="20" t="str">
        <v>Thu tiền khách hàng Chuyển khoản ngân hàng货款通过银行转账</v>
      </c>
      <c r="J37" s="20" t="str">
        <v>Chuẩn hóa VND; gốc 7120000; phần lẻ 0.000000000000 đ</v>
      </c>
      <c r="K37" s="20" t="str">
        <v>2.xlsx | 订单!1061</v>
      </c>
      <c r="L37" s="20" t="str"/>
    </row>
    <row r="38" ht="48" customHeight="1">
      <c r="A38" s="2" t="str">
        <v>S2-01647-BH</v>
      </c>
      <c r="B38" s="2" t="str">
        <v>KH004</v>
      </c>
      <c r="C38" s="2" t="str">
        <v>2026-09-10</v>
      </c>
      <c r="D38" s="2" t="str">
        <v>BAN_HANG</v>
      </c>
      <c r="E38" s="2" t="str">
        <v>BH2026090056</v>
      </c>
      <c r="F38" s="2" t="str">
        <v>00000331</v>
      </c>
      <c r="G38" s="2" t="str"/>
      <c r="H38" s="19" t="n">
        <v>3900000</v>
      </c>
      <c r="I38" s="20" t="str">
        <v>Xuất bán cho Lê Thị ánh Nguyệt 黎氏映月销售产品</v>
      </c>
      <c r="J38" s="20" t="str">
        <v>Chuẩn hóa VND; gốc 3900000.0096; phần lẻ -0.009600000000 đ</v>
      </c>
      <c r="K38" s="20" t="str">
        <v>2.xlsx | 订单!1647-1651</v>
      </c>
      <c r="L38" s="20" t="str"/>
    </row>
    <row r="39" ht="48" customHeight="1">
      <c r="A39" s="2" t="str">
        <v>S2-01654-TH</v>
      </c>
      <c r="B39" s="2" t="str">
        <v>KH004</v>
      </c>
      <c r="C39" s="2" t="str">
        <v>2026-09-11</v>
      </c>
      <c r="D39" s="2" t="str">
        <v>TRA_HANG</v>
      </c>
      <c r="E39" s="2" t="str">
        <v>NK2026090015</v>
      </c>
      <c r="F39" s="2" t="str"/>
      <c r="G39" s="2" t="str"/>
      <c r="H39" s="19" t="n">
        <v>960000</v>
      </c>
      <c r="I39" s="20" t="str">
        <v>Trả lại hàng bán</v>
      </c>
      <c r="J39" s="20" t="str">
        <v>Chuẩn hóa VND; gốc 960000.0012; phần lẻ -0.001200000000 đ</v>
      </c>
      <c r="K39" s="20" t="str">
        <v>2.xlsx | 订单!1654-1656</v>
      </c>
      <c r="L39" s="20" t="str"/>
    </row>
    <row r="40" ht="48" customHeight="1">
      <c r="A40" s="2" t="str">
        <v>S2-01657-TT</v>
      </c>
      <c r="B40" s="2" t="str">
        <v>KH004</v>
      </c>
      <c r="C40" s="2" t="str">
        <v>2026-09-11</v>
      </c>
      <c r="D40" s="2" t="str">
        <v>THU_TIEN</v>
      </c>
      <c r="E40" s="2" t="str"/>
      <c r="F40" s="2" t="str"/>
      <c r="G40" s="2" t="str"/>
      <c r="H40" s="19" t="n">
        <v>2940000</v>
      </c>
      <c r="I40" s="20" t="str">
        <v>Thu tiền mặt của khách hàng 收取客户现金</v>
      </c>
      <c r="J40" s="20" t="str">
        <v>Chuẩn hóa VND; gốc 2940000; phần lẻ 0.000000000000 đ</v>
      </c>
      <c r="K40" s="20" t="str">
        <v>2.xlsx | 订单!1657</v>
      </c>
      <c r="L40" s="20" t="str"/>
    </row>
    <row r="41" ht="48" customHeight="1">
      <c r="A41" s="2" t="str">
        <v>S2-01725-BH</v>
      </c>
      <c r="B41" s="2" t="str">
        <v>KH004</v>
      </c>
      <c r="C41" s="2" t="str">
        <v>2026-09-14</v>
      </c>
      <c r="D41" s="2" t="str">
        <v>BAN_HANG</v>
      </c>
      <c r="E41" s="2" t="str">
        <v>BH2026090065</v>
      </c>
      <c r="F41" s="2" t="str">
        <v>00000331</v>
      </c>
      <c r="G41" s="2" t="str"/>
      <c r="H41" s="19" t="n">
        <v>4706000</v>
      </c>
      <c r="I41" s="20" t="str">
        <v>Xuất bán cho Lê Thị ánh Nguyệt 黎氏映月销售产品</v>
      </c>
      <c r="J41" s="20" t="str">
        <v>Chuẩn hóa VND; gốc 4705999.9812; phần lẻ 0.018800000000 đ</v>
      </c>
      <c r="K41" s="20" t="str">
        <v>2.xlsx | 订单!1725-1731</v>
      </c>
      <c r="L41" s="20" t="str"/>
    </row>
    <row r="42" ht="48" customHeight="1">
      <c r="A42" s="2" t="str">
        <v>S2-02070-TT</v>
      </c>
      <c r="B42" s="2" t="str">
        <v>KH004</v>
      </c>
      <c r="C42" s="2" t="str">
        <v>2026-10-09</v>
      </c>
      <c r="D42" s="2" t="str">
        <v>THU_TIEN</v>
      </c>
      <c r="E42" s="2" t="str"/>
      <c r="F42" s="2" t="str"/>
      <c r="G42" s="2" t="str"/>
      <c r="H42" s="19" t="n">
        <v>4706000</v>
      </c>
      <c r="I42" s="20" t="str">
        <v>Thu tiền khách hàng Chuyển khoản ngân hàng货款通过银行转账</v>
      </c>
      <c r="J42" s="20" t="str">
        <v>Chuẩn hóa VND; gốc 4706000; phần lẻ 0.000000000000 đ</v>
      </c>
      <c r="K42" s="20" t="str">
        <v>2.xlsx | 订单!2070</v>
      </c>
      <c r="L42" s="20" t="str"/>
    </row>
    <row r="43" ht="48" customHeight="1">
      <c r="A43" s="25" t="str">
        <v>S2-02185-BH</v>
      </c>
      <c r="B43" s="25" t="str">
        <v>KH004</v>
      </c>
      <c r="C43" s="25" t="str">
        <v>2026-10-14</v>
      </c>
      <c r="D43" s="25" t="str">
        <v>BAN_HANG</v>
      </c>
      <c r="E43" s="25" t="str">
        <v>BH2026100131</v>
      </c>
      <c r="F43" s="25" t="str">
        <v>00000348</v>
      </c>
      <c r="G43" s="25" t="str">
        <v>BH2026100131</v>
      </c>
      <c r="H43" s="26" t="n">
        <v>16823999.98</v>
      </c>
      <c r="I43" s="27" t="str">
        <v>Xuất bán cho Lê Thị ánh Nguyệt 黎氏映月销售产品</v>
      </c>
      <c r="J43" s="27" t="str">
        <v>ĐÃ CÓ ERP — bỏ qua dòng này; giữ chứng từ ERP</v>
      </c>
      <c r="K43" s="27" t="str">
        <v>2.xlsx | 订单!2185-2190</v>
      </c>
      <c r="L43" s="27" t="str"/>
    </row>
    <row r="44" ht="48" customHeight="1">
      <c r="A44" s="2" t="str">
        <v>S2-00244-BH</v>
      </c>
      <c r="B44" s="2" t="str">
        <v>KH005</v>
      </c>
      <c r="C44" s="2" t="str">
        <v>2026-04-09</v>
      </c>
      <c r="D44" s="2" t="str">
        <v>BAN_HANG</v>
      </c>
      <c r="E44" s="2" t="str"/>
      <c r="F44" s="2" t="str">
        <v>00000113</v>
      </c>
      <c r="G44" s="2" t="str"/>
      <c r="H44" s="19" t="n">
        <v>102841999</v>
      </c>
      <c r="I44" s="20" t="str">
        <v>Xuất bán cho CÔNG TY TNHH THƯƠNG MẠI VÀ DỊCH VỤ ĐẠI PHÁT</v>
      </c>
      <c r="J44" s="20" t="str">
        <v>Chuẩn hóa VND; gốc 102841999; phần lẻ 0.000000000000 đ</v>
      </c>
      <c r="K44" s="20" t="str">
        <v>2.xlsx | 订单!244-264</v>
      </c>
      <c r="L44" s="20" t="str"/>
    </row>
    <row r="45" ht="48" customHeight="1">
      <c r="A45" s="2" t="str">
        <v>S2-00265-VC</v>
      </c>
      <c r="B45" s="2" t="str">
        <v>KH005</v>
      </c>
      <c r="C45" s="2" t="str">
        <v>2026-04-11</v>
      </c>
      <c r="D45" s="2" t="str">
        <v>PHI_VAN_CHUYEN</v>
      </c>
      <c r="E45" s="2" t="str"/>
      <c r="F45" s="2" t="str"/>
      <c r="G45" s="2" t="str"/>
      <c r="H45" s="19" t="n">
        <v>820000</v>
      </c>
      <c r="I45" s="20" t="str">
        <v>Tiền vận chuyển</v>
      </c>
      <c r="J45" s="20" t="str">
        <v>Chuẩn hóa VND; gốc 820000; phần lẻ 0.000000000000 đ</v>
      </c>
      <c r="K45" s="20" t="str">
        <v>2.xlsx | 订单!265</v>
      </c>
      <c r="L45" s="21" t="str">
        <v>Ngày 2026-11-04 ở tương lai → đảo ngày/tháng thành 2026-04-11</v>
      </c>
    </row>
    <row r="46" ht="48" customHeight="1">
      <c r="A46" s="2" t="str">
        <v>S2-00266-BH</v>
      </c>
      <c r="B46" s="2" t="str">
        <v>KH005</v>
      </c>
      <c r="C46" s="2" t="str">
        <v>2026-04-15</v>
      </c>
      <c r="D46" s="2" t="str">
        <v>BAN_HANG</v>
      </c>
      <c r="E46" s="2" t="str"/>
      <c r="F46" s="2" t="str">
        <v>00000121</v>
      </c>
      <c r="G46" s="2" t="str"/>
      <c r="H46" s="19" t="n">
        <v>48850001</v>
      </c>
      <c r="I46" s="20" t="str">
        <v>Xuất bán cho CÔNG TY TNHH THƯƠNG MẠI VÀ DỊCH VỤ ĐẠI PHÁT</v>
      </c>
      <c r="J46" s="20" t="str">
        <v>Chuẩn hóa VND; gốc 48850001; phần lẻ 0.000000000000 đ</v>
      </c>
      <c r="K46" s="20" t="str">
        <v>2.xlsx | 订单!266-275</v>
      </c>
      <c r="L46" s="20" t="str"/>
    </row>
    <row r="47" ht="48" customHeight="1">
      <c r="A47" s="2" t="str">
        <v>S2-00276-BH</v>
      </c>
      <c r="B47" s="2" t="str">
        <v>KH005</v>
      </c>
      <c r="C47" s="2" t="str">
        <v>2026-04-15</v>
      </c>
      <c r="D47" s="2" t="str">
        <v>BAN_HANG</v>
      </c>
      <c r="E47" s="2" t="str"/>
      <c r="F47" s="2" t="str">
        <v>00000122</v>
      </c>
      <c r="G47" s="2" t="str"/>
      <c r="H47" s="19" t="n">
        <v>840000</v>
      </c>
      <c r="I47" s="20" t="str">
        <v>Xuất bán cho CÔNG TY TNHH THƯƠNG MẠI VÀ DỊCH VỤ ĐẠI PHÁT</v>
      </c>
      <c r="J47" s="20" t="str">
        <v>Chuẩn hóa VND; gốc 840000; phần lẻ 0.000000000000 đ</v>
      </c>
      <c r="K47" s="20" t="str">
        <v>2.xlsx | 订单!276-278</v>
      </c>
      <c r="L47" s="20" t="str"/>
    </row>
    <row r="48" ht="48" customHeight="1">
      <c r="A48" s="2" t="str">
        <v>S2-00279-VC</v>
      </c>
      <c r="B48" s="2" t="str">
        <v>KH005</v>
      </c>
      <c r="C48" s="2" t="str">
        <v>2026-04-16</v>
      </c>
      <c r="D48" s="2" t="str">
        <v>PHI_VAN_CHUYEN</v>
      </c>
      <c r="E48" s="2" t="str"/>
      <c r="F48" s="2" t="str"/>
      <c r="G48" s="2" t="str"/>
      <c r="H48" s="19" t="n">
        <v>460000</v>
      </c>
      <c r="I48" s="20" t="str">
        <v>Tiền vận chuyển</v>
      </c>
      <c r="J48" s="20" t="str">
        <v>Chuẩn hóa VND; gốc 460000; phần lẻ 0.000000000000 đ</v>
      </c>
      <c r="K48" s="20" t="str">
        <v>2.xlsx | 订单!279</v>
      </c>
      <c r="L48" s="20" t="str"/>
    </row>
    <row r="49" ht="48" customHeight="1">
      <c r="A49" s="2" t="str">
        <v>S2-00280-TH</v>
      </c>
      <c r="B49" s="2" t="str">
        <v>KH005</v>
      </c>
      <c r="C49" s="2" t="str">
        <v>2026-05-20</v>
      </c>
      <c r="D49" s="2" t="str">
        <v>TRA_HANG</v>
      </c>
      <c r="E49" s="2" t="str"/>
      <c r="F49" s="2" t="str">
        <v>00000149</v>
      </c>
      <c r="G49" s="2" t="str"/>
      <c r="H49" s="19" t="n">
        <v>41428001</v>
      </c>
      <c r="I49" s="20" t="str">
        <v>Điều chỉnh giảm</v>
      </c>
      <c r="J49" s="20" t="str">
        <v>Chuẩn hóa VND; gốc 41428001; phần lẻ 0.000000000000 đ</v>
      </c>
      <c r="K49" s="20" t="str">
        <v>2.xlsx | 订单!280-285</v>
      </c>
      <c r="L49" s="20" t="str"/>
    </row>
    <row r="50" ht="48" customHeight="1">
      <c r="A50" s="2" t="str">
        <v>S2-00286-BH</v>
      </c>
      <c r="B50" s="2" t="str">
        <v>KH005</v>
      </c>
      <c r="C50" s="2" t="str">
        <v>2026-05-20</v>
      </c>
      <c r="D50" s="2" t="str">
        <v>BAN_HANG</v>
      </c>
      <c r="E50" s="2" t="str"/>
      <c r="F50" s="2" t="str">
        <v>00000152</v>
      </c>
      <c r="G50" s="2" t="str"/>
      <c r="H50" s="19" t="n">
        <v>25556000</v>
      </c>
      <c r="I50" s="20" t="str">
        <v>Xuất bán cho CÔNG TY TNHH THƯƠNG MẠI VÀ DỊCH VỤ ĐẠI PHÁT</v>
      </c>
      <c r="J50" s="20" t="str">
        <v>Chuẩn hóa VND; gốc 25556000; phần lẻ 0.000000000000 đ</v>
      </c>
      <c r="K50" s="20" t="str">
        <v>2.xlsx | 订单!286-294</v>
      </c>
      <c r="L50" s="20" t="str"/>
    </row>
    <row r="51" ht="48" customHeight="1">
      <c r="A51" s="2" t="str">
        <v>S2-00295-VC</v>
      </c>
      <c r="B51" s="2" t="str">
        <v>KH005</v>
      </c>
      <c r="C51" s="2" t="str">
        <v>2026-05-20</v>
      </c>
      <c r="D51" s="2" t="str">
        <v>PHI_VAN_CHUYEN</v>
      </c>
      <c r="E51" s="2" t="str"/>
      <c r="F51" s="2" t="str"/>
      <c r="G51" s="2" t="str"/>
      <c r="H51" s="19" t="n">
        <v>300000</v>
      </c>
      <c r="I51" s="20" t="str">
        <v>Tiền vận chuyển</v>
      </c>
      <c r="J51" s="20" t="str">
        <v>Chuẩn hóa VND; gốc 300000; phần lẻ 0.000000000000 đ</v>
      </c>
      <c r="K51" s="20" t="str">
        <v>2.xlsx | 订单!295</v>
      </c>
      <c r="L51" s="20" t="str"/>
    </row>
    <row r="52" ht="48" customHeight="1">
      <c r="A52" s="2" t="str">
        <v>S2-00296-TT</v>
      </c>
      <c r="B52" s="2" t="str">
        <v>KH005</v>
      </c>
      <c r="C52" s="2" t="str">
        <v>2026-06-16</v>
      </c>
      <c r="D52" s="2" t="str">
        <v>THU_TIEN</v>
      </c>
      <c r="E52" s="2" t="str"/>
      <c r="F52" s="2" t="str"/>
      <c r="G52" s="2" t="str"/>
      <c r="H52" s="19" t="n">
        <v>50000000</v>
      </c>
      <c r="I52" s="20" t="str">
        <v>Thu tiền khách hàng Chuyển khoản ngân hàng货款通过银行转账</v>
      </c>
      <c r="J52" s="20" t="str">
        <v>Chuẩn hóa VND; gốc 50000000; phần lẻ 0.000000000000 đ</v>
      </c>
      <c r="K52" s="20" t="str">
        <v>2.xlsx | 订单!296</v>
      </c>
      <c r="L52" s="20" t="str"/>
    </row>
    <row r="53" ht="48" customHeight="1">
      <c r="A53" s="2" t="str">
        <v>S2-00297-BH</v>
      </c>
      <c r="B53" s="2" t="str">
        <v>KH005</v>
      </c>
      <c r="C53" s="2" t="str">
        <v>2026-06-23</v>
      </c>
      <c r="D53" s="2" t="str">
        <v>BAN_HANG</v>
      </c>
      <c r="E53" s="2" t="str"/>
      <c r="F53" s="2" t="str">
        <v>00000193</v>
      </c>
      <c r="G53" s="2" t="str"/>
      <c r="H53" s="19" t="n">
        <v>31328000</v>
      </c>
      <c r="I53" s="20" t="str">
        <v>Xuất bán cho CÔNG TY TNHH THƯƠNG MẠI VÀ DỊCH VỤ ĐẠI PHÁT</v>
      </c>
      <c r="J53" s="20" t="str">
        <v>Chuẩn hóa VND; gốc 31328000; phần lẻ 0.000000000000 đ</v>
      </c>
      <c r="K53" s="20" t="str">
        <v>2.xlsx | 订单!297-305</v>
      </c>
      <c r="L53" s="20" t="str"/>
    </row>
    <row r="54" ht="48" customHeight="1">
      <c r="A54" s="2" t="str">
        <v>S2-00306-BH</v>
      </c>
      <c r="B54" s="2" t="str">
        <v>KH005</v>
      </c>
      <c r="C54" s="2" t="str">
        <v>2026-06-23</v>
      </c>
      <c r="D54" s="2" t="str">
        <v>BAN_HANG</v>
      </c>
      <c r="E54" s="2" t="str"/>
      <c r="F54" s="2" t="str">
        <v>00000241</v>
      </c>
      <c r="G54" s="2" t="str"/>
      <c r="H54" s="19" t="n">
        <v>8220001</v>
      </c>
      <c r="I54" s="20" t="str">
        <v>Xuất bán cho CÔNG TY TNHH THƯƠNG MẠI VÀ DỊCH VỤ ĐẠI PHÁT</v>
      </c>
      <c r="J54" s="20" t="str">
        <v>Chuẩn hóa VND; gốc 8220001; phần lẻ 0.000000000000 đ</v>
      </c>
      <c r="K54" s="20" t="str">
        <v>2.xlsx | 订单!306-308</v>
      </c>
      <c r="L54" s="20" t="str"/>
    </row>
    <row r="55" ht="48" customHeight="1">
      <c r="A55" s="2" t="str">
        <v>S2-00309-BH</v>
      </c>
      <c r="B55" s="2" t="str">
        <v>KH005</v>
      </c>
      <c r="C55" s="2" t="str">
        <v>2026-07-21</v>
      </c>
      <c r="D55" s="2" t="str">
        <v>BAN_HANG</v>
      </c>
      <c r="E55" s="2" t="str"/>
      <c r="F55" s="2" t="str">
        <v>00000241</v>
      </c>
      <c r="G55" s="2" t="str"/>
      <c r="H55" s="19" t="n">
        <v>44200000</v>
      </c>
      <c r="I55" s="20" t="str">
        <v>Xuất bán cho CÔNG TY TNHH THƯƠNG MẠI VÀ DỊCH VỤ ĐẠI PHÁT</v>
      </c>
      <c r="J55" s="20" t="str">
        <v>Chuẩn hóa VND; gốc 44199999.9288; phần lẻ 0.071200000000 đ</v>
      </c>
      <c r="K55" s="20" t="str">
        <v>2.xlsx | 订单!309-315</v>
      </c>
      <c r="L55" s="20" t="str"/>
    </row>
    <row r="56" ht="48" customHeight="1">
      <c r="A56" s="2" t="str">
        <v>S2-01145-BH</v>
      </c>
      <c r="B56" s="2" t="str">
        <v>KH005</v>
      </c>
      <c r="C56" s="2" t="str">
        <v>2026-08-10</v>
      </c>
      <c r="D56" s="2" t="str">
        <v>BAN_HANG</v>
      </c>
      <c r="E56" s="2" t="str">
        <v>BH014/0826</v>
      </c>
      <c r="F56" s="2" t="str">
        <v>00000265</v>
      </c>
      <c r="G56" s="2" t="str"/>
      <c r="H56" s="19" t="n">
        <v>7029000</v>
      </c>
      <c r="I56" s="20" t="str">
        <v>Xuất bán CÔNG TY TNHH THƯƠNG MẠI VÀ DỊCH VỤ ĐẠI PHÁT向大华贸易与服务有限责任公司销售产品</v>
      </c>
      <c r="J56" s="20" t="str">
        <v>Chuẩn hóa VND; gốc 7028999.9748; phần lẻ 0.025200000000 đ</v>
      </c>
      <c r="K56" s="20" t="str">
        <v>2.xlsx | 订单!1145-1148</v>
      </c>
      <c r="L56" s="20" t="str"/>
    </row>
    <row r="57" ht="48" customHeight="1">
      <c r="A57" s="2" t="str">
        <v>S2-00002-BH</v>
      </c>
      <c r="B57" s="2" t="str">
        <v>KH006</v>
      </c>
      <c r="C57" s="2" t="str">
        <v>2026-07-10</v>
      </c>
      <c r="D57" s="2" t="str">
        <v>BAN_HANG</v>
      </c>
      <c r="E57" s="2" t="str"/>
      <c r="F57" s="2" t="str">
        <v>00000242</v>
      </c>
      <c r="G57" s="2" t="str"/>
      <c r="H57" s="19" t="n">
        <v>1447000</v>
      </c>
      <c r="I57" s="20" t="str">
        <v>xuất bán cho CÔNG TY CỔ PHẦN GIA DỤNG CHÂU ÂU EUROHI销售给欧洲EUROHI家居用品股份公司</v>
      </c>
      <c r="J57" s="20" t="str">
        <v>Chuẩn hóa VND; gốc 1446999.984; phần lẻ 0.016000000000 đ</v>
      </c>
      <c r="K57" s="20" t="str">
        <v>2.xlsx | 订单!2-5</v>
      </c>
      <c r="L57" s="20" t="str"/>
    </row>
    <row r="58" ht="48" customHeight="1">
      <c r="A58" s="2" t="str">
        <v>S2-00006-BH</v>
      </c>
      <c r="B58" s="2" t="str">
        <v>KH006</v>
      </c>
      <c r="C58" s="2" t="str">
        <v>2026-07-13</v>
      </c>
      <c r="D58" s="2" t="str">
        <v>BAN_HANG</v>
      </c>
      <c r="E58" s="2" t="str"/>
      <c r="F58" s="2" t="str">
        <v>00000215</v>
      </c>
      <c r="G58" s="2" t="str"/>
      <c r="H58" s="19" t="n">
        <v>3785000</v>
      </c>
      <c r="I58" s="20" t="str">
        <v>xuất bán cho CÔNG TY CỔ PHẦN GIA DỤNG CHÂU ÂU EUROHI销售给欧洲EUROHI家居用品股份公司</v>
      </c>
      <c r="J58" s="20" t="str">
        <v>Chuẩn hóa VND; gốc 3784999.968; phần lẻ 0.032000000000 đ</v>
      </c>
      <c r="K58" s="20" t="str">
        <v>2.xlsx | 订单!6-7</v>
      </c>
      <c r="L58" s="20" t="str"/>
    </row>
    <row r="59" ht="48" customHeight="1">
      <c r="A59" s="2" t="str">
        <v>S2-00008-BH</v>
      </c>
      <c r="B59" s="2" t="str">
        <v>KH006</v>
      </c>
      <c r="C59" s="2" t="str">
        <v>2026-07-13</v>
      </c>
      <c r="D59" s="2" t="str">
        <v>BAN_HANG</v>
      </c>
      <c r="E59" s="2" t="str"/>
      <c r="F59" s="2" t="str">
        <v>00000240</v>
      </c>
      <c r="G59" s="2" t="str"/>
      <c r="H59" s="19" t="n">
        <v>10976000</v>
      </c>
      <c r="I59" s="20" t="str">
        <v>xuất bán cho CÔNG TY CỔ PHẦN GIA DỤNG CHÂU ÂU EUROHI销售给欧洲EUROHI家居用品股份公司</v>
      </c>
      <c r="J59" s="20" t="str">
        <v>Chuẩn hóa VND; gốc 10975999.8672; phần lẻ 0.132800000000 đ</v>
      </c>
      <c r="K59" s="20" t="str">
        <v>2.xlsx | 订单!8-10</v>
      </c>
      <c r="L59" s="20" t="str"/>
    </row>
    <row r="60" ht="48" customHeight="1">
      <c r="A60" s="2" t="str">
        <v>S2-00011-BH</v>
      </c>
      <c r="B60" s="2" t="str">
        <v>KH006</v>
      </c>
      <c r="C60" s="2" t="str">
        <v>2026-07-20</v>
      </c>
      <c r="D60" s="2" t="str">
        <v>BAN_HANG</v>
      </c>
      <c r="E60" s="2" t="str"/>
      <c r="F60" s="2" t="str">
        <v>00000240</v>
      </c>
      <c r="G60" s="2" t="str"/>
      <c r="H60" s="19" t="n">
        <v>7936000</v>
      </c>
      <c r="I60" s="20" t="str">
        <v>xuất bán cho CÔNG TY CỔ PHẦN GIA DỤNG CHÂU ÂU EUROHI销售给欧洲EUROHI家居用品股份公司</v>
      </c>
      <c r="J60" s="20" t="str">
        <v>Chuẩn hóa VND; gốc 7935999.9264; phần lẻ 0.073600000000 đ</v>
      </c>
      <c r="K60" s="20" t="str">
        <v>2.xlsx | 订单!11-13</v>
      </c>
      <c r="L60" s="20" t="str"/>
    </row>
    <row r="61" ht="48" customHeight="1">
      <c r="A61" s="2" t="str">
        <v>S2-00014-BH</v>
      </c>
      <c r="B61" s="2" t="str">
        <v>KH006</v>
      </c>
      <c r="C61" s="2" t="str">
        <v>2026-07-31</v>
      </c>
      <c r="D61" s="2" t="str">
        <v>BAN_HANG</v>
      </c>
      <c r="E61" s="2" t="str"/>
      <c r="F61" s="2" t="str">
        <v>00000257</v>
      </c>
      <c r="G61" s="2" t="str"/>
      <c r="H61" s="19" t="n">
        <v>7604000</v>
      </c>
      <c r="I61" s="20" t="str">
        <v>xuất bán cho CÔNG TY CỔ PHẦN GIA DỤNG CHÂU ÂU EUROHI销售给欧洲EUROHI家居用品股份公司</v>
      </c>
      <c r="J61" s="20" t="str">
        <v>Chuẩn hóa VND; gốc 7603999.9344; phần lẻ 0.065600000000 đ</v>
      </c>
      <c r="K61" s="20" t="str">
        <v>2.xlsx | 订单!14-15</v>
      </c>
      <c r="L61" s="20" t="str"/>
    </row>
    <row r="62" ht="48" customHeight="1">
      <c r="A62" s="2" t="str">
        <v>S2-01149-TT</v>
      </c>
      <c r="B62" s="2" t="str">
        <v>KH006</v>
      </c>
      <c r="C62" s="2" t="str">
        <v>2026-08-11</v>
      </c>
      <c r="D62" s="2" t="str">
        <v>THU_TIEN</v>
      </c>
      <c r="E62" s="2" t="str"/>
      <c r="F62" s="2" t="str"/>
      <c r="G62" s="2" t="str"/>
      <c r="H62" s="19" t="n">
        <v>31748000</v>
      </c>
      <c r="I62" s="20" t="str">
        <v>Thu tiền khách hàng Chuyển khoản ngân hàng货款通过银行转账</v>
      </c>
      <c r="J62" s="20" t="str">
        <v>Chuẩn hóa VND; gốc 31748000; phần lẻ 0.000000000000 đ</v>
      </c>
      <c r="K62" s="20" t="str">
        <v>2.xlsx | 订单!1149</v>
      </c>
      <c r="L62" s="20" t="str"/>
    </row>
    <row r="63" ht="48" customHeight="1">
      <c r="A63" s="2" t="str">
        <v>S2-01058-BH</v>
      </c>
      <c r="B63" s="2" t="str">
        <v>KH007</v>
      </c>
      <c r="C63" s="2" t="str">
        <v>2026-08-04</v>
      </c>
      <c r="D63" s="2" t="str">
        <v>BAN_HANG</v>
      </c>
      <c r="E63" s="2" t="str">
        <v>BH005/0826</v>
      </c>
      <c r="F63" s="2" t="str">
        <v>00000258</v>
      </c>
      <c r="G63" s="2" t="str"/>
      <c r="H63" s="19" t="n">
        <v>800000</v>
      </c>
      <c r="I63" s="20" t="str">
        <v>Xuất bán CÔNG TY TNHH ĐẦU TƯ THƯƠNG MẠI QUỐC TẾ VIỆT LỢI越利购买赠品</v>
      </c>
      <c r="J63" s="20" t="str">
        <v>Chuẩn hóa VND; gốc 799999.9992; phần lẻ 0.000800000000 đ</v>
      </c>
      <c r="K63" s="20" t="str">
        <v>2.xlsx | 订单!1058</v>
      </c>
      <c r="L63" s="20" t="str"/>
    </row>
    <row r="64" ht="48" customHeight="1">
      <c r="A64" s="2" t="str">
        <v>S2-01060-TT</v>
      </c>
      <c r="B64" s="2" t="str">
        <v>KH007</v>
      </c>
      <c r="C64" s="2" t="str">
        <v>2026-08-04</v>
      </c>
      <c r="D64" s="2" t="str">
        <v>THU_TIEN</v>
      </c>
      <c r="E64" s="2" t="str">
        <v>NTTK00129</v>
      </c>
      <c r="F64" s="2" t="str"/>
      <c r="G64" s="2" t="str"/>
      <c r="H64" s="19" t="n">
        <v>800000</v>
      </c>
      <c r="I64" s="20" t="str">
        <v>Thu tiền khách hàng Chuyển khoản ngân hàng货款通过银行转账</v>
      </c>
      <c r="J64" s="20" t="str">
        <v>Chuẩn hóa VND; gốc 800000; phần lẻ 0.000000000000 đ</v>
      </c>
      <c r="K64" s="20" t="str">
        <v>2.xlsx | 订单!1060</v>
      </c>
      <c r="L64" s="20" t="str"/>
    </row>
    <row r="65" ht="48" customHeight="1">
      <c r="A65" s="2" t="str">
        <v>S2-01063-BH</v>
      </c>
      <c r="B65" s="2" t="str">
        <v>KH007</v>
      </c>
      <c r="C65" s="2" t="str">
        <v>2026-08-05</v>
      </c>
      <c r="D65" s="2" t="str">
        <v>BAN_HANG</v>
      </c>
      <c r="E65" s="2" t="str">
        <v>BH007/0826</v>
      </c>
      <c r="F65" s="2" t="str">
        <v>00000319</v>
      </c>
      <c r="G65" s="2" t="str"/>
      <c r="H65" s="19" t="n">
        <v>2344000</v>
      </c>
      <c r="I65" s="20" t="str">
        <v>Xuất bán CÔNG TY TNHH ĐẦU TƯ THƯƠNG MẠI QUỐC TẾ VIỆT LỢI越利购买赠品</v>
      </c>
      <c r="J65" s="20" t="str">
        <v>Chuẩn hóa VND; gốc 2343999.9888; phần lẻ 0.011200000000 đ</v>
      </c>
      <c r="K65" s="20" t="str">
        <v>2.xlsx | 订单!1063-1064</v>
      </c>
      <c r="L65" s="20" t="str"/>
    </row>
    <row r="66" ht="48" customHeight="1">
      <c r="A66" s="2" t="str">
        <v>S2-01652-BH</v>
      </c>
      <c r="B66" s="2" t="str">
        <v>KH007</v>
      </c>
      <c r="C66" s="2" t="str">
        <v>2026-09-10</v>
      </c>
      <c r="D66" s="2" t="str">
        <v>BAN_HANG</v>
      </c>
      <c r="E66" s="2" t="str">
        <v>BH2026090053</v>
      </c>
      <c r="F66" s="2" t="str"/>
      <c r="G66" s="2" t="str"/>
      <c r="H66" s="19" t="n">
        <v>2962963</v>
      </c>
      <c r="I66" s="20" t="str">
        <v>Xuất bán CÔNG TY TNHH ĐẦU TƯ THƯƠNG MẠI QUỐC TẾ VIỆT LỢI越利购买赠品</v>
      </c>
      <c r="J66" s="20" t="str">
        <v>Chuẩn hóa VND; gốc 2962962.96; phần lẻ 0.040000000000 đ</v>
      </c>
      <c r="K66" s="20" t="str">
        <v>2.xlsx | 订单!1652</v>
      </c>
      <c r="L66" s="20" t="str"/>
    </row>
    <row r="67" ht="48" customHeight="1">
      <c r="A67" s="2" t="str">
        <v>S2-01653-TT</v>
      </c>
      <c r="B67" s="2" t="str">
        <v>KH007</v>
      </c>
      <c r="C67" s="2" t="str">
        <v>2026-09-11</v>
      </c>
      <c r="D67" s="2" t="str">
        <v>THU_TIEN</v>
      </c>
      <c r="E67" s="2" t="str"/>
      <c r="F67" s="2" t="str"/>
      <c r="G67" s="2" t="str"/>
      <c r="H67" s="19" t="n">
        <v>2962963</v>
      </c>
      <c r="I67" s="20" t="str">
        <v>Thu tiền mặt của khách hàng 收取客户现金</v>
      </c>
      <c r="J67" s="20" t="str">
        <v>Chuẩn hóa VND; gốc 2962963; phần lẻ 0.000000000000 đ</v>
      </c>
      <c r="K67" s="20" t="str">
        <v>2.xlsx | 订单!1653</v>
      </c>
      <c r="L67" s="20" t="str"/>
    </row>
    <row r="68" ht="48" customHeight="1">
      <c r="A68" s="2" t="str">
        <v>S2-01757-BH</v>
      </c>
      <c r="B68" s="2" t="str">
        <v>KH007</v>
      </c>
      <c r="C68" s="2" t="str">
        <v>2026-09-16</v>
      </c>
      <c r="D68" s="2" t="str">
        <v>BAN_HANG</v>
      </c>
      <c r="E68" s="2" t="str">
        <v>BH2026090074</v>
      </c>
      <c r="F68" s="2" t="str">
        <v>00000319</v>
      </c>
      <c r="G68" s="2" t="str"/>
      <c r="H68" s="19" t="n">
        <v>3456000</v>
      </c>
      <c r="I68" s="20" t="str">
        <v>Xuất bán CÔNG TY TNHH ĐẦU TƯ THƯƠNG MẠI QUỐC TẾ VIỆT LỢI越利购买赠品</v>
      </c>
      <c r="J68" s="20" t="str">
        <v>Chuẩn hóa VND; gốc 3456000; phần lẻ 0.000000000000 đ</v>
      </c>
      <c r="K68" s="20" t="str">
        <v>2.xlsx | 订单!1757-1758</v>
      </c>
      <c r="L68" s="20" t="str"/>
    </row>
    <row r="69" ht="48" customHeight="1">
      <c r="A69" s="2" t="str">
        <v>S2-01764-BH</v>
      </c>
      <c r="B69" s="2" t="str">
        <v>KH007</v>
      </c>
      <c r="C69" s="2" t="str">
        <v>2026-09-16</v>
      </c>
      <c r="D69" s="2" t="str">
        <v>BAN_HANG</v>
      </c>
      <c r="E69" s="2" t="str">
        <v>BH2026090073</v>
      </c>
      <c r="F69" s="2" t="str">
        <v>00000319</v>
      </c>
      <c r="G69" s="2" t="str"/>
      <c r="H69" s="19" t="n">
        <v>64636000</v>
      </c>
      <c r="I69" s="20" t="str">
        <v>Xuất bán CÔNG TY TNHH ĐẦU TƯ THƯƠNG MẠI QUỐC TẾ VIỆT LỢI越利购买赠品</v>
      </c>
      <c r="J69" s="20" t="str">
        <v>Chuẩn hóa VND; gốc 64635999.8184; phần lẻ 0.181600000000 đ</v>
      </c>
      <c r="K69" s="20" t="str">
        <v>2.xlsx | 订单!1764-1769</v>
      </c>
      <c r="L69" s="20" t="str"/>
    </row>
    <row r="70" ht="48" customHeight="1">
      <c r="A70" s="2" t="str">
        <v>S2-01760-TT</v>
      </c>
      <c r="B70" s="2" t="str">
        <v>KH007</v>
      </c>
      <c r="C70" s="2" t="str">
        <v>2026-09-18</v>
      </c>
      <c r="D70" s="2" t="str">
        <v>THU_TIEN</v>
      </c>
      <c r="E70" s="2" t="str">
        <v>BH2026090074</v>
      </c>
      <c r="F70" s="2" t="str"/>
      <c r="G70" s="2" t="str"/>
      <c r="H70" s="19" t="n">
        <v>1280000</v>
      </c>
      <c r="I70" s="20" t="str">
        <v>Thu tiền mặt của khách hàng 收取客户现金</v>
      </c>
      <c r="J70" s="20" t="str">
        <v>Chuẩn hóa VND; gốc 1280000; phần lẻ 0.000000000000 đ</v>
      </c>
      <c r="K70" s="20" t="str">
        <v>2.xlsx | 订单!1760</v>
      </c>
      <c r="L70" s="20" t="str"/>
    </row>
    <row r="71" ht="48" customHeight="1">
      <c r="A71" s="2" t="str">
        <v>S2-01828-BH</v>
      </c>
      <c r="B71" s="2" t="str">
        <v>KH007</v>
      </c>
      <c r="C71" s="2" t="str">
        <v>2026-09-22</v>
      </c>
      <c r="D71" s="2" t="str">
        <v>BAN_HANG</v>
      </c>
      <c r="E71" s="2" t="str">
        <v>BH2026090084</v>
      </c>
      <c r="F71" s="2" t="str">
        <v>00000351</v>
      </c>
      <c r="G71" s="2" t="str"/>
      <c r="H71" s="19" t="n">
        <v>2008000</v>
      </c>
      <c r="I71" s="20" t="str">
        <v>Xuất bán CÔNG TY TNHH ĐẦU TƯ THƯƠNG MẠI QUỐC TẾ VIỆT LỢI越利购买赠品</v>
      </c>
      <c r="J71" s="20" t="str">
        <v>Chuẩn hóa VND; gốc 2008000.0008; phần lẻ -0.000800000000 đ</v>
      </c>
      <c r="K71" s="20" t="str">
        <v>2.xlsx | 订单!1828-1829</v>
      </c>
      <c r="L71" s="20" t="str"/>
    </row>
    <row r="72" ht="48" customHeight="1">
      <c r="A72" s="2" t="str">
        <v>S2-01911-BH</v>
      </c>
      <c r="B72" s="2" t="str">
        <v>KH007</v>
      </c>
      <c r="C72" s="2" t="str">
        <v>2026-09-23</v>
      </c>
      <c r="D72" s="2" t="str">
        <v>BAN_HANG</v>
      </c>
      <c r="E72" s="2" t="str">
        <v>BH2026090087</v>
      </c>
      <c r="F72" s="2" t="str"/>
      <c r="G72" s="2" t="str"/>
      <c r="H72" s="19" t="n">
        <v>2396296</v>
      </c>
      <c r="I72" s="20" t="str">
        <v>Xuất bán CÔNG TY TNHH ĐẦU TƯ THƯƠNG MẠI QUỐC TẾ VIỆT LỢI越利购买赠品</v>
      </c>
      <c r="J72" s="20" t="str">
        <v>Chuẩn hóa VND; gốc 2396296.29; phần lẻ -0.290000000000 đ</v>
      </c>
      <c r="K72" s="20" t="str">
        <v>2.xlsx | 订单!1911-1912</v>
      </c>
      <c r="L72" s="20" t="str"/>
    </row>
    <row r="73" ht="48" customHeight="1">
      <c r="A73" s="2" t="str">
        <v>S2-01914-TT</v>
      </c>
      <c r="B73" s="2" t="str">
        <v>KH007</v>
      </c>
      <c r="C73" s="2" t="str">
        <v>2026-09-28</v>
      </c>
      <c r="D73" s="2" t="str">
        <v>THU_TIEN</v>
      </c>
      <c r="E73" s="2" t="str"/>
      <c r="F73" s="2" t="str"/>
      <c r="G73" s="2" t="str"/>
      <c r="H73" s="19" t="n">
        <v>2400000</v>
      </c>
      <c r="I73" s="20" t="str">
        <v>Thu tiền mặt của khách hàng 收取客户现金</v>
      </c>
      <c r="J73" s="20" t="str">
        <v>Chuẩn hóa VND; gốc 2400000; phần lẻ 0.000000000000 đ</v>
      </c>
      <c r="K73" s="20" t="str">
        <v>2.xlsx | 订单!1914</v>
      </c>
      <c r="L73" s="20" t="str"/>
    </row>
    <row r="74" ht="48" customHeight="1">
      <c r="A74" s="2" t="str">
        <v>S2-01917-TH</v>
      </c>
      <c r="B74" s="2" t="str">
        <v>KH007</v>
      </c>
      <c r="C74" s="2" t="str">
        <v>2026-09-28</v>
      </c>
      <c r="D74" s="2" t="str">
        <v>TRA_HANG</v>
      </c>
      <c r="E74" s="2" t="str">
        <v>NK2026090023</v>
      </c>
      <c r="F74" s="2" t="str"/>
      <c r="G74" s="2" t="str"/>
      <c r="H74" s="19" t="n">
        <v>13000000</v>
      </c>
      <c r="I74" s="20" t="str">
        <v>Trả lại hàng bán</v>
      </c>
      <c r="J74" s="20" t="str">
        <v>Chuẩn hóa VND; gốc 12999999.96; phần lẻ 0.040000000000 đ</v>
      </c>
      <c r="K74" s="20" t="str">
        <v>2.xlsx | 订单!1917</v>
      </c>
      <c r="L74" s="20" t="str"/>
    </row>
    <row r="75" ht="48" customHeight="1">
      <c r="A75" s="2" t="str">
        <v>S2-01150-BH</v>
      </c>
      <c r="B75" s="2" t="str">
        <v>KH011</v>
      </c>
      <c r="C75" s="2" t="str">
        <v>2026-08-11</v>
      </c>
      <c r="D75" s="2" t="str">
        <v>BAN_HANG</v>
      </c>
      <c r="E75" s="2" t="str">
        <v>BH015/0826</v>
      </c>
      <c r="F75" s="2" t="str">
        <v>00000266</v>
      </c>
      <c r="G75" s="2" t="str"/>
      <c r="H75" s="19" t="n">
        <v>129245680</v>
      </c>
      <c r="I75" s="20" t="str">
        <v>xuất bán Hợp Tác Xã Tân Sơn Quảng Ninh向广宁省新山合作社销售产品</v>
      </c>
      <c r="J75" s="20" t="str">
        <v>Chuẩn hóa VND; gốc 129245679.9504; phần lẻ 0.049600000000 đ</v>
      </c>
      <c r="K75" s="20" t="str">
        <v>2.xlsx | 订单!1150-1180,1184-1188</v>
      </c>
      <c r="L75" s="20" t="str"/>
    </row>
    <row r="76" ht="48" customHeight="1">
      <c r="A76" s="2" t="str">
        <v>S2-01181-BH</v>
      </c>
      <c r="B76" s="2" t="str">
        <v>KH011</v>
      </c>
      <c r="C76" s="2" t="str">
        <v>2026-08-11</v>
      </c>
      <c r="D76" s="2" t="str">
        <v>BAN_HANG</v>
      </c>
      <c r="E76" s="2" t="str">
        <v>BH015/0826</v>
      </c>
      <c r="F76" s="2" t="str">
        <v>00000341</v>
      </c>
      <c r="G76" s="2" t="str"/>
      <c r="H76" s="19" t="n">
        <v>22470000</v>
      </c>
      <c r="I76" s="20" t="str">
        <v>xuất bán Hợp Tác Xã Tân Sơn Quảng Ninh向广宁省新山合作社销售产品</v>
      </c>
      <c r="J76" s="20" t="str">
        <v>Chuẩn hóa VND; gốc 22470000.0372; phần lẻ -0.037200000000 đ</v>
      </c>
      <c r="K76" s="20" t="str">
        <v>2.xlsx | 订单!1181-1183</v>
      </c>
      <c r="L76" s="20" t="str"/>
    </row>
    <row r="77" ht="48" customHeight="1">
      <c r="A77" s="2" t="str">
        <v>S2-01351-TT</v>
      </c>
      <c r="B77" s="2" t="str">
        <v>KH011</v>
      </c>
      <c r="C77" s="2" t="str">
        <v>2026-08-24</v>
      </c>
      <c r="D77" s="2" t="str">
        <v>THU_TIEN</v>
      </c>
      <c r="E77" s="2" t="str"/>
      <c r="F77" s="2" t="str"/>
      <c r="G77" s="2" t="str"/>
      <c r="H77" s="19" t="n">
        <v>52000000</v>
      </c>
      <c r="I77" s="20" t="str">
        <v>Thu tiền khách hàng Chuyển khoản ngân hàng</v>
      </c>
      <c r="J77" s="20" t="str">
        <v>Chuẩn hóa VND; gốc 52000000; phần lẻ 0.000000000000 đ</v>
      </c>
      <c r="K77" s="20" t="str">
        <v>2.xlsx | 订单!1351</v>
      </c>
      <c r="L77" s="20" t="str"/>
    </row>
    <row r="78" ht="48" customHeight="1">
      <c r="A78" s="2" t="str">
        <v>S2-01399-BH</v>
      </c>
      <c r="B78" s="2" t="str">
        <v>KH011</v>
      </c>
      <c r="C78" s="2" t="str">
        <v>2026-08-27</v>
      </c>
      <c r="D78" s="2" t="str">
        <v>BAN_HANG</v>
      </c>
      <c r="E78" s="2" t="str">
        <v>BH2026080028</v>
      </c>
      <c r="F78" s="2" t="str">
        <v>00000341, 00000291</v>
      </c>
      <c r="G78" s="2" t="str"/>
      <c r="H78" s="19" t="n">
        <v>53908000</v>
      </c>
      <c r="I78" s="20" t="str">
        <v>xuất bán Hợp Tác Xã Tân Sơn Quảng Ninh向广宁省新山合作社销售产品</v>
      </c>
      <c r="J78" s="20" t="str">
        <v>Chuẩn hóa VND; gốc 53907999.9084; phần lẻ 0.091600000000 đ</v>
      </c>
      <c r="K78" s="20" t="str">
        <v>2.xlsx | 订单!1399-1413</v>
      </c>
      <c r="L78" s="20" t="str"/>
    </row>
    <row r="79" ht="48" customHeight="1">
      <c r="A79" s="2" t="str">
        <v>S2-01878-BH</v>
      </c>
      <c r="B79" s="2" t="str">
        <v>KH011</v>
      </c>
      <c r="C79" s="2" t="str">
        <v>2026-09-24</v>
      </c>
      <c r="D79" s="2" t="str">
        <v>BAN_HANG</v>
      </c>
      <c r="E79" s="2" t="str">
        <v>BH2026090091</v>
      </c>
      <c r="F79" s="2" t="str">
        <v>00000334</v>
      </c>
      <c r="G79" s="2" t="str"/>
      <c r="H79" s="19" t="n">
        <v>67702000</v>
      </c>
      <c r="I79" s="20" t="str">
        <v>xuất bán Hợp Tác Xã Tân Sơn Quảng Ninh向广宁省新山合作社销售产品</v>
      </c>
      <c r="J79" s="20" t="str">
        <v>Chuẩn hóa VND; gốc 67702000.014; phần lẻ -0.014000000000 đ</v>
      </c>
      <c r="K79" s="20" t="str">
        <v>2.xlsx | 订单!1878-1896</v>
      </c>
      <c r="L79" s="20" t="str"/>
    </row>
    <row r="80" ht="48" customHeight="1">
      <c r="A80" s="2" t="str">
        <v>S2-01910-TT</v>
      </c>
      <c r="B80" s="2" t="str">
        <v>KH011</v>
      </c>
      <c r="C80" s="2" t="str">
        <v>2026-09-25</v>
      </c>
      <c r="D80" s="2" t="str">
        <v>THU_TIEN</v>
      </c>
      <c r="E80" s="2" t="str"/>
      <c r="F80" s="2" t="str"/>
      <c r="G80" s="2" t="str"/>
      <c r="H80" s="19" t="n">
        <v>50000000</v>
      </c>
      <c r="I80" s="20" t="str">
        <v>Thu tiền khách hàng Chuyển khoản ngân hàng货款通过银行转账</v>
      </c>
      <c r="J80" s="20" t="str">
        <v>Chuẩn hóa VND; gốc 50000000; phần lẻ 0.000000000000 đ</v>
      </c>
      <c r="K80" s="20" t="str">
        <v>2.xlsx | 订单!1910</v>
      </c>
      <c r="L80" s="20" t="str"/>
    </row>
    <row r="81" ht="48" customHeight="1">
      <c r="A81" s="2" t="str">
        <v>S2-01103-BH</v>
      </c>
      <c r="B81" s="2" t="str">
        <v>KH012</v>
      </c>
      <c r="C81" s="2" t="str">
        <v>2026-08-10</v>
      </c>
      <c r="D81" s="2" t="str">
        <v>BAN_HANG</v>
      </c>
      <c r="E81" s="2" t="str">
        <v>BH011/0826</v>
      </c>
      <c r="F81" s="2" t="str">
        <v>00000270</v>
      </c>
      <c r="G81" s="2" t="str"/>
      <c r="H81" s="19" t="n">
        <v>54732000</v>
      </c>
      <c r="I81" s="20" t="str">
        <v>Xuất bán CÔNG TY TNHH TM GIANG CHÂU 向江洲贸易有限公司销售产品</v>
      </c>
      <c r="J81" s="20" t="str">
        <v>Chuẩn hóa VND; gốc 54731999.8296; phần lẻ 0.170400000000 đ</v>
      </c>
      <c r="K81" s="20" t="str">
        <v>2.xlsx | 订单!1103-1111,1122-1124,1126</v>
      </c>
      <c r="L81" s="20" t="str"/>
    </row>
    <row r="82" ht="48" customHeight="1">
      <c r="A82" s="2" t="str">
        <v>S2-01112-BH</v>
      </c>
      <c r="B82" s="2" t="str">
        <v>KH012</v>
      </c>
      <c r="C82" s="2" t="str">
        <v>2026-08-10</v>
      </c>
      <c r="D82" s="2" t="str">
        <v>BAN_HANG</v>
      </c>
      <c r="E82" s="2" t="str">
        <v>BH011/0826</v>
      </c>
      <c r="F82" s="2" t="str"/>
      <c r="G82" s="2" t="str"/>
      <c r="H82" s="19" t="n">
        <v>7380000</v>
      </c>
      <c r="I82" s="20" t="str">
        <v>Xuất bán CÔNG TY TNHH TM GIANG CHÂU 向江洲贸易有限公司销售产品</v>
      </c>
      <c r="J82" s="20" t="str">
        <v>Chuẩn hóa VND; gốc 7380000.0504; phần lẻ -0.050400000000 đ</v>
      </c>
      <c r="K82" s="20" t="str">
        <v>2.xlsx | 订单!1112,1125</v>
      </c>
      <c r="L82" s="20" t="str"/>
    </row>
    <row r="83" ht="48" customHeight="1">
      <c r="A83" s="2" t="str">
        <v>S2-01113-BH</v>
      </c>
      <c r="B83" s="2" t="str">
        <v>KH012</v>
      </c>
      <c r="C83" s="2" t="str">
        <v>2026-08-10</v>
      </c>
      <c r="D83" s="2" t="str">
        <v>BAN_HANG</v>
      </c>
      <c r="E83" s="2" t="str">
        <v>BH011/0826</v>
      </c>
      <c r="F83" s="2" t="str">
        <v>00000328</v>
      </c>
      <c r="G83" s="2" t="str"/>
      <c r="H83" s="19" t="n">
        <v>74790000</v>
      </c>
      <c r="I83" s="20" t="str">
        <v>Xuất bán CÔNG TY TNHH TM GIANG CHÂU 向江洲贸易有限公司销售产品</v>
      </c>
      <c r="J83" s="20" t="str">
        <v>Chuẩn hóa VND; gốc 74789999.8272; phần lẻ 0.172800000000 đ</v>
      </c>
      <c r="K83" s="20" t="str">
        <v>2.xlsx | 订单!1113-1120</v>
      </c>
      <c r="L83" s="20" t="str"/>
    </row>
    <row r="84" ht="48" customHeight="1">
      <c r="A84" s="2" t="str">
        <v>S2-01121-BH</v>
      </c>
      <c r="B84" s="2" t="str">
        <v>KH012</v>
      </c>
      <c r="C84" s="2" t="str">
        <v>2026-08-10</v>
      </c>
      <c r="D84" s="2" t="str">
        <v>BAN_HANG</v>
      </c>
      <c r="E84" s="2" t="str">
        <v>BH011/0826</v>
      </c>
      <c r="F84" s="2" t="str">
        <v>00000314</v>
      </c>
      <c r="G84" s="2" t="str"/>
      <c r="H84" s="19" t="n">
        <v>5580000</v>
      </c>
      <c r="I84" s="20" t="str">
        <v>Xuất bán CÔNG TY TNHH TM GIANG CHÂU 向江洲贸易有限公司销售产品</v>
      </c>
      <c r="J84" s="20" t="str">
        <v>Chuẩn hóa VND; gốc 5579999.9928; phần lẻ 0.007200000000 đ</v>
      </c>
      <c r="K84" s="20" t="str">
        <v>2.xlsx | 订单!1121</v>
      </c>
      <c r="L84" s="20" t="str"/>
    </row>
    <row r="85" ht="48" customHeight="1">
      <c r="A85" s="2" t="str">
        <v>S2-01267-TT</v>
      </c>
      <c r="B85" s="2" t="str">
        <v>KH012</v>
      </c>
      <c r="C85" s="2" t="str">
        <v>2026-08-14</v>
      </c>
      <c r="D85" s="2" t="str">
        <v>THU_TIEN</v>
      </c>
      <c r="E85" s="2" t="str"/>
      <c r="F85" s="2" t="str"/>
      <c r="G85" s="2" t="str"/>
      <c r="H85" s="19" t="n">
        <v>61652000</v>
      </c>
      <c r="I85" s="20" t="str">
        <v>Thu tiền khách hàng Chuyển khoản ngân hàng货款通过银行转账</v>
      </c>
      <c r="J85" s="20" t="str">
        <v>Chuẩn hóa VND; gốc 61652000; phần lẻ 0.000000000000 đ</v>
      </c>
      <c r="K85" s="20" t="str">
        <v>2.xlsx | 订单!1267</v>
      </c>
      <c r="L85" s="20" t="str"/>
    </row>
    <row r="86" ht="48" customHeight="1">
      <c r="A86" s="2" t="str">
        <v>S2-01273-BH</v>
      </c>
      <c r="B86" s="2" t="str">
        <v>KH012</v>
      </c>
      <c r="C86" s="2" t="str">
        <v>2026-08-17</v>
      </c>
      <c r="D86" s="2" t="str">
        <v>BAN_HANG</v>
      </c>
      <c r="E86" s="2" t="str">
        <v>BH2026080008</v>
      </c>
      <c r="F86" s="2" t="str">
        <v>00000328</v>
      </c>
      <c r="G86" s="2" t="str"/>
      <c r="H86" s="19" t="n">
        <v>53778000</v>
      </c>
      <c r="I86" s="20" t="str">
        <v>Xuất bán CÔNG TY TNHH TM GIANG CHÂU向江洲贸易有限公司销售产品</v>
      </c>
      <c r="J86" s="20" t="str">
        <v>Chuẩn hóa VND; gốc 53778000.0168; phần lẻ -0.016800000000 đ</v>
      </c>
      <c r="K86" s="20" t="str">
        <v>2.xlsx | 订单!1273-1277</v>
      </c>
      <c r="L86" s="20" t="str"/>
    </row>
    <row r="87" ht="48" customHeight="1">
      <c r="A87" s="2" t="str">
        <v>S2-01562-BH</v>
      </c>
      <c r="B87" s="2" t="str">
        <v>KH012</v>
      </c>
      <c r="C87" s="2" t="str">
        <v>2026-09-04</v>
      </c>
      <c r="D87" s="2" t="str">
        <v>BAN_HANG</v>
      </c>
      <c r="E87" s="2" t="str">
        <v>BH2026090040</v>
      </c>
      <c r="F87" s="2" t="str">
        <v>00000314, 00000328</v>
      </c>
      <c r="G87" s="2" t="str"/>
      <c r="H87" s="19" t="n">
        <v>90182000</v>
      </c>
      <c r="I87" s="20" t="str">
        <v>Xuất bán CÔNG TY TNHH TM GIANG CHÂU向江洲贸易有限公司销售产品</v>
      </c>
      <c r="J87" s="20" t="str">
        <v>Chuẩn hóa VND; gốc 90181999.998; phần lẻ 0.002000000000 đ</v>
      </c>
      <c r="K87" s="20" t="str">
        <v>2.xlsx | 订单!1562-1574</v>
      </c>
      <c r="L87" s="20" t="str"/>
    </row>
    <row r="88" ht="48" customHeight="1">
      <c r="A88" s="2" t="str">
        <v>S2-01941-BH</v>
      </c>
      <c r="B88" s="2" t="str">
        <v>KH012</v>
      </c>
      <c r="C88" s="2" t="str">
        <v>2026-09-28</v>
      </c>
      <c r="D88" s="2" t="str">
        <v>BAN_HANG</v>
      </c>
      <c r="E88" s="2" t="str">
        <v>BH2026090098</v>
      </c>
      <c r="F88" s="2" t="str">
        <v>00000328</v>
      </c>
      <c r="G88" s="2" t="str"/>
      <c r="H88" s="19" t="n">
        <v>33100000</v>
      </c>
      <c r="I88" s="20" t="str">
        <v>Xuất bán CÔNG TY TNHH TM GIANG CHÂU向江洲贸易有限公司销售产品</v>
      </c>
      <c r="J88" s="20" t="str">
        <v>Chuẩn hóa VND; gốc 33100000.056; phần lẻ -0.056000000000 đ</v>
      </c>
      <c r="K88" s="20" t="str">
        <v>2.xlsx | 订单!1941-1945</v>
      </c>
      <c r="L88" s="20" t="str"/>
    </row>
    <row r="89" ht="48" customHeight="1">
      <c r="A89" s="2" t="str">
        <v>S2-01969-TT</v>
      </c>
      <c r="B89" s="2" t="str">
        <v>KH012</v>
      </c>
      <c r="C89" s="2" t="str">
        <v>2026-09-30</v>
      </c>
      <c r="D89" s="2" t="str">
        <v>THU_TIEN</v>
      </c>
      <c r="E89" s="2" t="str"/>
      <c r="F89" s="2" t="str"/>
      <c r="G89" s="2" t="str"/>
      <c r="H89" s="19" t="n">
        <v>50000000</v>
      </c>
      <c r="I89" s="20" t="str">
        <v>Thu tiền khách hàng Chuyển khoản ngân hàng货款通过银行转账</v>
      </c>
      <c r="J89" s="20" t="str">
        <v>Chuẩn hóa VND; gốc 50000000; phần lẻ 0.000000000000 đ</v>
      </c>
      <c r="K89" s="20" t="str">
        <v>2.xlsx | 订单!1969</v>
      </c>
      <c r="L89" s="20" t="str"/>
    </row>
    <row r="90" ht="48" customHeight="1">
      <c r="A90" s="25" t="str">
        <v>S2-02208-BH</v>
      </c>
      <c r="B90" s="25" t="str">
        <v>KH012</v>
      </c>
      <c r="C90" s="25" t="str">
        <v>2026-10-16</v>
      </c>
      <c r="D90" s="25" t="str">
        <v>BAN_HANG</v>
      </c>
      <c r="E90" s="25" t="str">
        <v>BH2026100136</v>
      </c>
      <c r="F90" s="25" t="str">
        <v>00000347</v>
      </c>
      <c r="G90" s="25" t="str">
        <v>BH2026100136</v>
      </c>
      <c r="H90" s="26" t="n">
        <v>4319999.96</v>
      </c>
      <c r="I90" s="27" t="str">
        <v>Xuất bán CÔNG TY TNHH TM GIANG CHÂU向江洲贸易有限公司销售产品</v>
      </c>
      <c r="J90" s="27" t="str">
        <v>ĐÃ CÓ ERP — bỏ qua dòng này; giữ chứng từ ERP</v>
      </c>
      <c r="K90" s="27" t="str">
        <v>2.xlsx | 订单!2208</v>
      </c>
      <c r="L90" s="27" t="str"/>
    </row>
    <row r="91" ht="48" customHeight="1">
      <c r="A91" s="2" t="str">
        <v>S2-00961-BH</v>
      </c>
      <c r="B91" s="2" t="str">
        <v>KH015</v>
      </c>
      <c r="C91" s="2" t="str">
        <v>2026-06-08</v>
      </c>
      <c r="D91" s="2" t="str">
        <v>BAN_HANG</v>
      </c>
      <c r="E91" s="2" t="str">
        <v>BH00209</v>
      </c>
      <c r="F91" s="2" t="str"/>
      <c r="G91" s="2" t="str"/>
      <c r="H91" s="19" t="n">
        <v>620000</v>
      </c>
      <c r="I91" s="20" t="str">
        <v>Xuất mẫu cho CÔNG TY TNHH MARSERRI VIỆT NAM</v>
      </c>
      <c r="J91" s="20" t="str">
        <v>Chuẩn hóa VND; gốc 619999.9956; phần lẻ 0.004400000000 đ</v>
      </c>
      <c r="K91" s="20" t="str">
        <v>2.xlsx | 订单!961</v>
      </c>
      <c r="L91" s="20" t="str"/>
    </row>
    <row r="92" ht="48" customHeight="1">
      <c r="A92" s="2" t="str">
        <v>S2-00962-BH</v>
      </c>
      <c r="B92" s="2" t="str">
        <v>KH015</v>
      </c>
      <c r="C92" s="2" t="str">
        <v>2026-06-08</v>
      </c>
      <c r="D92" s="2" t="str">
        <v>BAN_HANG</v>
      </c>
      <c r="E92" s="2" t="str"/>
      <c r="F92" s="2" t="str"/>
      <c r="G92" s="2" t="str"/>
      <c r="H92" s="19" t="n">
        <v>3740000</v>
      </c>
      <c r="I92" s="20" t="str">
        <v>Xuất mẫu cho CÔNG TY TNHH MARSERRI VIỆT NAM</v>
      </c>
      <c r="J92" s="20" t="str">
        <v>Chuẩn hóa VND; gốc 3739999.9644; phần lẻ 0.035600000000 đ</v>
      </c>
      <c r="K92" s="20" t="str">
        <v>2.xlsx | 订单!962-969</v>
      </c>
      <c r="L92" s="20" t="str"/>
    </row>
    <row r="93" ht="48" customHeight="1">
      <c r="A93" s="2" t="str">
        <v>S2-00970-BH</v>
      </c>
      <c r="B93" s="2" t="str">
        <v>KH015</v>
      </c>
      <c r="C93" s="2" t="str">
        <v>2026-06-15</v>
      </c>
      <c r="D93" s="2" t="str">
        <v>BAN_HANG</v>
      </c>
      <c r="E93" s="2" t="str"/>
      <c r="F93" s="2" t="str"/>
      <c r="G93" s="2" t="str"/>
      <c r="H93" s="19" t="n">
        <v>7831000</v>
      </c>
      <c r="I93" s="20" t="str">
        <v>Xuất mẫu cho CÔNG TY TNHH MARSERRI VIỆT NAM</v>
      </c>
      <c r="J93" s="20" t="str">
        <v>Chuẩn hóa VND; gốc 7831000.0044; phần lẻ -0.004400000000 đ</v>
      </c>
      <c r="K93" s="20" t="str">
        <v>2.xlsx | 订单!970-984</v>
      </c>
      <c r="L93" s="20" t="str"/>
    </row>
    <row r="94" ht="48" customHeight="1">
      <c r="A94" s="2" t="str">
        <v>S2-00988-BH</v>
      </c>
      <c r="B94" s="2" t="str">
        <v>KH015</v>
      </c>
      <c r="C94" s="2" t="str">
        <v>2026-06-15</v>
      </c>
      <c r="D94" s="2" t="str">
        <v>BAN_HANG</v>
      </c>
      <c r="E94" s="2" t="str"/>
      <c r="F94" s="2" t="str">
        <v>00000178</v>
      </c>
      <c r="G94" s="2" t="str"/>
      <c r="H94" s="19" t="n">
        <v>3320000</v>
      </c>
      <c r="I94" s="20" t="str">
        <v>Xuất bán cho CÔNG TY TNHH MARSERRI VIỆT NAM</v>
      </c>
      <c r="J94" s="20" t="str">
        <v>Chuẩn hóa VND; gốc 3320000.0064; phần lẻ -0.006400000000 đ</v>
      </c>
      <c r="K94" s="20" t="str">
        <v>2.xlsx | 订单!988</v>
      </c>
      <c r="L94" s="20" t="str"/>
    </row>
    <row r="95" ht="48" customHeight="1">
      <c r="A95" s="2" t="str">
        <v>S2-00989-BH</v>
      </c>
      <c r="B95" s="2" t="str">
        <v>KH015</v>
      </c>
      <c r="C95" s="2" t="str">
        <v>2026-06-17</v>
      </c>
      <c r="D95" s="2" t="str">
        <v>BAN_HANG</v>
      </c>
      <c r="E95" s="2" t="str"/>
      <c r="F95" s="2" t="str">
        <v>00000178</v>
      </c>
      <c r="G95" s="2" t="str"/>
      <c r="H95" s="19" t="n">
        <v>3900000</v>
      </c>
      <c r="I95" s="20" t="str">
        <v>Xuất bán cho CÔNG TY TNHH MARSERRI VIỆT NAM</v>
      </c>
      <c r="J95" s="20" t="str">
        <v>Chuẩn hóa VND; gốc 3899999.988; phần lẻ 0.012000000000 đ</v>
      </c>
      <c r="K95" s="20" t="str">
        <v>2.xlsx | 订单!989</v>
      </c>
      <c r="L95" s="20" t="str"/>
    </row>
    <row r="96" ht="48" customHeight="1">
      <c r="A96" s="2" t="str">
        <v>S2-00990-BH</v>
      </c>
      <c r="B96" s="2" t="str">
        <v>KH015</v>
      </c>
      <c r="C96" s="2" t="str">
        <v>2026-06-19</v>
      </c>
      <c r="D96" s="2" t="str">
        <v>BAN_HANG</v>
      </c>
      <c r="E96" s="2" t="str"/>
      <c r="F96" s="2" t="str">
        <v>00000178</v>
      </c>
      <c r="G96" s="2" t="str"/>
      <c r="H96" s="19" t="n">
        <v>25160000</v>
      </c>
      <c r="I96" s="20" t="str">
        <v>Xuất bán cho CÔNG TY TNHH MARSERRI VIỆT NAM</v>
      </c>
      <c r="J96" s="20" t="str">
        <v>Chuẩn hóa VND; gốc 25160000.0364; phần lẻ -0.036400000000 đ</v>
      </c>
      <c r="K96" s="20" t="str">
        <v>2.xlsx | 订单!990-992</v>
      </c>
      <c r="L96" s="20" t="str"/>
    </row>
    <row r="97" ht="48" customHeight="1">
      <c r="A97" s="2" t="str">
        <v>S2-00993-BH</v>
      </c>
      <c r="B97" s="2" t="str">
        <v>KH015</v>
      </c>
      <c r="C97" s="2" t="str">
        <v>2026-06-22</v>
      </c>
      <c r="D97" s="2" t="str">
        <v>BAN_HANG</v>
      </c>
      <c r="E97" s="2" t="str"/>
      <c r="F97" s="2" t="str">
        <v>00000185</v>
      </c>
      <c r="G97" s="2" t="str"/>
      <c r="H97" s="19" t="n">
        <v>10290000</v>
      </c>
      <c r="I97" s="20" t="str">
        <v>Xuất bán cho CÔNG TY TNHH MARSERRI VIỆT NAM</v>
      </c>
      <c r="J97" s="20" t="str">
        <v>Chuẩn hóa VND; gốc 10289999.9916; phần lẻ 0.008400000000 đ</v>
      </c>
      <c r="K97" s="20" t="str">
        <v>2.xlsx | 订单!993</v>
      </c>
      <c r="L97" s="20" t="str"/>
    </row>
    <row r="98" ht="48" customHeight="1">
      <c r="A98" s="2" t="str">
        <v>S2-00994-BH</v>
      </c>
      <c r="B98" s="2" t="str">
        <v>KH015</v>
      </c>
      <c r="C98" s="2" t="str">
        <v>2026-06-25</v>
      </c>
      <c r="D98" s="2" t="str">
        <v>BAN_HANG</v>
      </c>
      <c r="E98" s="2" t="str"/>
      <c r="F98" s="2" t="str">
        <v>00000192</v>
      </c>
      <c r="G98" s="2" t="str"/>
      <c r="H98" s="19" t="n">
        <v>8310000</v>
      </c>
      <c r="I98" s="20" t="str">
        <v>Xuất bán cho CÔNG TY TNHH MARSERRI VIỆT NAM</v>
      </c>
      <c r="J98" s="20" t="str">
        <v>Chuẩn hóa VND; gốc 8309999.9844; phần lẻ 0.015600000000 đ</v>
      </c>
      <c r="K98" s="20" t="str">
        <v>2.xlsx | 订单!994-995</v>
      </c>
      <c r="L98" s="20" t="str"/>
    </row>
    <row r="99" ht="48" customHeight="1">
      <c r="A99" s="2" t="str">
        <v>S2-00996-BH</v>
      </c>
      <c r="B99" s="2" t="str">
        <v>KH015</v>
      </c>
      <c r="C99" s="2" t="str">
        <v>2026-07-10</v>
      </c>
      <c r="D99" s="2" t="str">
        <v>BAN_HANG</v>
      </c>
      <c r="E99" s="2" t="str"/>
      <c r="F99" s="2" t="str">
        <v>00000212</v>
      </c>
      <c r="G99" s="2" t="str"/>
      <c r="H99" s="19" t="n">
        <v>13320000</v>
      </c>
      <c r="I99" s="20" t="str">
        <v>Xuất bán cho CÔNG TY TNHH MARSERRI VIỆT NAM</v>
      </c>
      <c r="J99" s="20" t="str">
        <v>Chuẩn hóa VND; gốc 13319999.9748; phần lẻ 0.025200000000 đ</v>
      </c>
      <c r="K99" s="20" t="str">
        <v>2.xlsx | 订单!996-1001</v>
      </c>
      <c r="L99" s="21" t="str">
        <v>Ngày 2026-10-07 sau mốc của khối nhập tay (≤ 2026-08-15) → đảo ngày/tháng thành 2026-07-10</v>
      </c>
    </row>
    <row r="100" ht="48" customHeight="1">
      <c r="A100" s="2" t="str">
        <v>S2-01002-BH</v>
      </c>
      <c r="B100" s="2" t="str">
        <v>KH015</v>
      </c>
      <c r="C100" s="2" t="str">
        <v>2026-07-13</v>
      </c>
      <c r="D100" s="2" t="str">
        <v>BAN_HANG</v>
      </c>
      <c r="E100" s="2" t="str"/>
      <c r="F100" s="2" t="str">
        <v>00000225</v>
      </c>
      <c r="G100" s="2" t="str"/>
      <c r="H100" s="19" t="n">
        <v>10870000</v>
      </c>
      <c r="I100" s="20" t="str">
        <v>Xuất bán cho CÔNG TY TNHH MARSERRI VIỆT NAM</v>
      </c>
      <c r="J100" s="20" t="str">
        <v>Chuẩn hóa VND; gốc 10869999.9948; phần lẻ 0.005200000000 đ</v>
      </c>
      <c r="K100" s="20" t="str">
        <v>2.xlsx | 订单!1002-1007</v>
      </c>
      <c r="L100" s="20" t="str"/>
    </row>
    <row r="101" ht="48" customHeight="1">
      <c r="A101" s="2" t="str">
        <v>S2-01008-BH</v>
      </c>
      <c r="B101" s="2" t="str">
        <v>KH015</v>
      </c>
      <c r="C101" s="2" t="str">
        <v>2026-07-21</v>
      </c>
      <c r="D101" s="2" t="str">
        <v>BAN_HANG</v>
      </c>
      <c r="E101" s="2" t="str"/>
      <c r="F101" s="2" t="str">
        <v>00000224</v>
      </c>
      <c r="G101" s="2" t="str"/>
      <c r="H101" s="19" t="n">
        <v>6290000</v>
      </c>
      <c r="I101" s="20" t="str">
        <v>Xuất bán cho CÔNG TY TNHH MARSERRI VIỆT NAM</v>
      </c>
      <c r="J101" s="20" t="str">
        <v>Chuẩn hóa VND; gốc 6289999.9956; phần lẻ 0.004400000000 đ</v>
      </c>
      <c r="K101" s="20" t="str">
        <v>2.xlsx | 订单!1008-1010</v>
      </c>
      <c r="L101" s="20" t="str"/>
    </row>
    <row r="102" ht="48" customHeight="1">
      <c r="A102" s="2" t="str">
        <v>S2-01011-TT</v>
      </c>
      <c r="B102" s="2" t="str">
        <v>KH015</v>
      </c>
      <c r="C102" s="2" t="str">
        <v>2026-07-22</v>
      </c>
      <c r="D102" s="2" t="str">
        <v>THU_TIEN</v>
      </c>
      <c r="E102" s="2" t="str"/>
      <c r="F102" s="2" t="str"/>
      <c r="G102" s="2" t="str"/>
      <c r="H102" s="19" t="n">
        <v>40000000</v>
      </c>
      <c r="I102" s="20" t="str">
        <v>Thu tiền khách hàng Chuyển khoản ngân hàng货款通过银行转账</v>
      </c>
      <c r="J102" s="20" t="str">
        <v>Chuẩn hóa VND; gốc 40000000; phần lẻ 0.000000000000 đ</v>
      </c>
      <c r="K102" s="20" t="str">
        <v>2.xlsx | 订单!1011</v>
      </c>
      <c r="L102" s="20" t="str"/>
    </row>
    <row r="103" ht="48" customHeight="1">
      <c r="A103" s="2" t="str">
        <v>S2-01135-BH</v>
      </c>
      <c r="B103" s="2" t="str">
        <v>KH015</v>
      </c>
      <c r="C103" s="2" t="str">
        <v>2026-08-10</v>
      </c>
      <c r="D103" s="2" t="str">
        <v>BAN_HANG</v>
      </c>
      <c r="E103" s="2" t="str">
        <v>BH012/0826</v>
      </c>
      <c r="F103" s="2" t="str">
        <v>272</v>
      </c>
      <c r="G103" s="2" t="str"/>
      <c r="H103" s="19" t="n">
        <v>7040000</v>
      </c>
      <c r="I103" s="20" t="str">
        <v>Xuất bán CÔNG TY TNHH MARSERRI VIỆT NAM向马赛瑞越南有限公司销售产品</v>
      </c>
      <c r="J103" s="20" t="str">
        <v>Chuẩn hóa VND; gốc 7040000.0448; phần lẻ -0.044800000000 đ</v>
      </c>
      <c r="K103" s="20" t="str">
        <v>2.xlsx | 订单!1135</v>
      </c>
      <c r="L103" s="20" t="str"/>
    </row>
    <row r="104" ht="48" customHeight="1">
      <c r="A104" s="2" t="str">
        <v>S2-01136-BH</v>
      </c>
      <c r="B104" s="2" t="str">
        <v>KH015</v>
      </c>
      <c r="C104" s="2" t="str">
        <v>2026-08-10</v>
      </c>
      <c r="D104" s="2" t="str">
        <v>BAN_HANG</v>
      </c>
      <c r="E104" s="2" t="str">
        <v>BH012/0826</v>
      </c>
      <c r="F104" s="2" t="str">
        <v>00000264</v>
      </c>
      <c r="G104" s="2" t="str"/>
      <c r="H104" s="19" t="n">
        <v>16400000</v>
      </c>
      <c r="I104" s="20" t="str">
        <v>Xuất bán CÔNG TY TNHH MARSERRI VIỆT NAM向马赛瑞越南有限公司销售产品</v>
      </c>
      <c r="J104" s="20" t="str">
        <v>Chuẩn hóa VND; gốc 16399999.9944; phần lẻ 0.005600000000 đ</v>
      </c>
      <c r="K104" s="20" t="str">
        <v>2.xlsx | 订单!1136-1142</v>
      </c>
      <c r="L104" s="20" t="str"/>
    </row>
    <row r="105" ht="48" customHeight="1">
      <c r="A105" s="2" t="str">
        <v>S2-01291-BH</v>
      </c>
      <c r="B105" s="2" t="str">
        <v>KH015</v>
      </c>
      <c r="C105" s="2" t="str">
        <v>2026-08-17</v>
      </c>
      <c r="D105" s="2" t="str">
        <v>BAN_HANG</v>
      </c>
      <c r="E105" s="2" t="str">
        <v>BH2026080014</v>
      </c>
      <c r="F105" s="2" t="str">
        <v>00000278</v>
      </c>
      <c r="G105" s="2" t="str"/>
      <c r="H105" s="19" t="n">
        <v>7600000</v>
      </c>
      <c r="I105" s="20" t="str">
        <v>Xuất bán CÔNG TY TNHH MARSERRI VIỆT NAM向马赛瑞越南有限公司销售产品</v>
      </c>
      <c r="J105" s="20" t="str">
        <v>Chuẩn hóa VND; gốc 7600000.0464; phần lẻ -0.046400000000 đ</v>
      </c>
      <c r="K105" s="20" t="str">
        <v>2.xlsx | 订单!1291-1292</v>
      </c>
      <c r="L105" s="20" t="str"/>
    </row>
    <row r="106" ht="48" customHeight="1">
      <c r="A106" s="2" t="str">
        <v>S2-01325-BH</v>
      </c>
      <c r="B106" s="2" t="str">
        <v>KH015</v>
      </c>
      <c r="C106" s="2" t="str">
        <v>2026-08-21</v>
      </c>
      <c r="D106" s="2" t="str">
        <v>BAN_HANG</v>
      </c>
      <c r="E106" s="2" t="str">
        <v>BH2026080019</v>
      </c>
      <c r="F106" s="2" t="str">
        <v>00000278</v>
      </c>
      <c r="G106" s="2" t="str"/>
      <c r="H106" s="19" t="n">
        <v>43000000</v>
      </c>
      <c r="I106" s="20" t="str">
        <v>Xuất bán CÔNG TY TNHH MARSERRI VIỆT NAM向马赛瑞越南有限公司销售产品</v>
      </c>
      <c r="J106" s="20" t="str">
        <v>Chuẩn hóa VND; gốc 42999999.9624; phần lẻ 0.037600000000 đ</v>
      </c>
      <c r="K106" s="20" t="str">
        <v>2.xlsx | 订单!1325-1329</v>
      </c>
      <c r="L106" s="20" t="str"/>
    </row>
    <row r="107" ht="48" customHeight="1">
      <c r="A107" s="2" t="str">
        <v>S2-01346-BH</v>
      </c>
      <c r="B107" s="2" t="str">
        <v>KH015</v>
      </c>
      <c r="C107" s="2" t="str">
        <v>2026-08-24</v>
      </c>
      <c r="D107" s="2" t="str">
        <v>BAN_HANG</v>
      </c>
      <c r="E107" s="2" t="str">
        <v>BH2026080021</v>
      </c>
      <c r="F107" s="2" t="str">
        <v>00000280</v>
      </c>
      <c r="G107" s="2" t="str"/>
      <c r="H107" s="19" t="n">
        <v>21280000</v>
      </c>
      <c r="I107" s="20" t="str">
        <v>Xuất bán CÔNG TY TNHH MARSERRI VIỆT NAM向马赛瑞越南有限公司销售产品</v>
      </c>
      <c r="J107" s="20" t="str">
        <v>Chuẩn hóa VND; gốc 21279999.888; phần lẻ 0.112000000000 đ</v>
      </c>
      <c r="K107" s="20" t="str">
        <v>2.xlsx | 订单!1346-1348</v>
      </c>
      <c r="L107" s="20" t="str"/>
    </row>
    <row r="108" ht="48" customHeight="1">
      <c r="A108" s="2" t="str">
        <v>S2-01389-BH</v>
      </c>
      <c r="B108" s="2" t="str">
        <v>KH015</v>
      </c>
      <c r="C108" s="2" t="str">
        <v>2026-08-25</v>
      </c>
      <c r="D108" s="2" t="str">
        <v>BAN_HANG</v>
      </c>
      <c r="E108" s="2" t="str">
        <v>BH2026080024</v>
      </c>
      <c r="F108" s="2" t="str">
        <v>00000285</v>
      </c>
      <c r="G108" s="2" t="str"/>
      <c r="H108" s="19" t="n">
        <v>23280000</v>
      </c>
      <c r="I108" s="20" t="str">
        <v>Xuất bán CÔNG TY TNHH MARSERRI VIỆT NAM向马赛瑞越南有限公司销售产品</v>
      </c>
      <c r="J108" s="20" t="str">
        <v>Chuẩn hóa VND; gốc 23280000.0048; phần lẻ -0.004800000000 đ</v>
      </c>
      <c r="K108" s="20" t="str">
        <v>2.xlsx | 订单!1389-1392</v>
      </c>
      <c r="L108" s="20" t="str"/>
    </row>
    <row r="109" ht="48" customHeight="1">
      <c r="A109" s="2" t="str">
        <v>S2-01397-TT</v>
      </c>
      <c r="B109" s="2" t="str">
        <v>KH015</v>
      </c>
      <c r="C109" s="2" t="str">
        <v>2026-08-26</v>
      </c>
      <c r="D109" s="2" t="str">
        <v>THU_TIEN</v>
      </c>
      <c r="E109" s="2" t="str"/>
      <c r="F109" s="2" t="str"/>
      <c r="G109" s="2" t="str"/>
      <c r="H109" s="19" t="n">
        <v>41460000</v>
      </c>
      <c r="I109" s="20" t="str">
        <v>Thu tiền khách hàng Chuyển khoản ngân hàng货款通过银行转账</v>
      </c>
      <c r="J109" s="20" t="str">
        <v>Chuẩn hóa VND; gốc 41460000; phần lẻ 0.000000000000 đ</v>
      </c>
      <c r="K109" s="20" t="str">
        <v>2.xlsx | 订单!1397</v>
      </c>
      <c r="L109" s="20" t="str"/>
    </row>
    <row r="110" ht="48" customHeight="1">
      <c r="A110" s="2" t="str">
        <v>S2-01544-BH</v>
      </c>
      <c r="B110" s="2" t="str">
        <v>KH015</v>
      </c>
      <c r="C110" s="2" t="str">
        <v>2026-09-03</v>
      </c>
      <c r="D110" s="2" t="str">
        <v>BAN_HANG</v>
      </c>
      <c r="E110" s="2" t="str">
        <v>BH2026090038</v>
      </c>
      <c r="F110" s="2" t="str">
        <v>00000299</v>
      </c>
      <c r="G110" s="2" t="str"/>
      <c r="H110" s="19" t="n">
        <v>29580000</v>
      </c>
      <c r="I110" s="20" t="str">
        <v>Xuất bán CÔNG TY TNHH MARSERRI VIỆT NAM向马赛瑞越南有限公司销售产品</v>
      </c>
      <c r="J110" s="20" t="str">
        <v>Chuẩn hóa VND; gốc 29580000.0768; phần lẻ -0.076800000000 đ</v>
      </c>
      <c r="K110" s="20" t="str">
        <v>2.xlsx | 订单!1544-1551</v>
      </c>
      <c r="L110" s="20" t="str"/>
    </row>
    <row r="111" ht="48" customHeight="1">
      <c r="A111" s="2" t="str">
        <v>S2-01586-BH</v>
      </c>
      <c r="B111" s="2" t="str">
        <v>KH015</v>
      </c>
      <c r="C111" s="2" t="str">
        <v>2026-09-05</v>
      </c>
      <c r="D111" s="2" t="str">
        <v>BAN_HANG</v>
      </c>
      <c r="E111" s="2" t="str">
        <v>BH2026090044</v>
      </c>
      <c r="F111" s="2" t="str">
        <v>00000299</v>
      </c>
      <c r="G111" s="2" t="str"/>
      <c r="H111" s="19" t="n">
        <v>21240000</v>
      </c>
      <c r="I111" s="20" t="str">
        <v>Xuất bán CÔNG TY TNHH MARSERRI VIỆT NAM向马赛瑞越南有限公司销售产品</v>
      </c>
      <c r="J111" s="20" t="str">
        <v>Chuẩn hóa VND; gốc 21240000.0144; phần lẻ -0.014400000000 đ</v>
      </c>
      <c r="K111" s="20" t="str">
        <v>2.xlsx | 订单!1586-1592</v>
      </c>
      <c r="L111" s="20" t="str"/>
    </row>
    <row r="112" ht="48" customHeight="1">
      <c r="A112" s="2" t="str">
        <v>S2-01603-BH</v>
      </c>
      <c r="B112" s="2" t="str">
        <v>KH015</v>
      </c>
      <c r="C112" s="2" t="str">
        <v>2026-09-08</v>
      </c>
      <c r="D112" s="2" t="str">
        <v>BAN_HANG</v>
      </c>
      <c r="E112" s="2" t="str">
        <v>BH2026090046</v>
      </c>
      <c r="F112" s="2" t="str">
        <v>00000299</v>
      </c>
      <c r="G112" s="2" t="str"/>
      <c r="H112" s="19" t="n">
        <v>10580000</v>
      </c>
      <c r="I112" s="20" t="str">
        <v>Xuất bán CÔNG TY TNHH MARSERRI VIỆT NAM向马赛瑞越南有限公司销售产品</v>
      </c>
      <c r="J112" s="20" t="str">
        <v>Chuẩn hóa VND; gốc 10579999.9608; phần lẻ 0.039200000000 đ</v>
      </c>
      <c r="K112" s="20" t="str">
        <v>2.xlsx | 订单!1603-1607</v>
      </c>
      <c r="L112" s="20" t="str"/>
    </row>
    <row r="113" ht="48" customHeight="1">
      <c r="A113" s="2" t="str">
        <v>S2-02001-TT</v>
      </c>
      <c r="B113" s="2" t="str">
        <v>KH015</v>
      </c>
      <c r="C113" s="2" t="str">
        <v>2026-10-03</v>
      </c>
      <c r="D113" s="2" t="str">
        <v>THU_TIEN</v>
      </c>
      <c r="E113" s="2" t="str"/>
      <c r="F113" s="2" t="str"/>
      <c r="G113" s="2" t="str"/>
      <c r="H113" s="19" t="n">
        <v>59300000</v>
      </c>
      <c r="I113" s="20" t="str">
        <v>Thu tiền khách hàng Chuyển khoản ngân hàng货款通过银行转账</v>
      </c>
      <c r="J113" s="20" t="str">
        <v>Chuẩn hóa VND; gốc 59300000; phần lẻ 0.000000000000 đ</v>
      </c>
      <c r="K113" s="20" t="str">
        <v>2.xlsx | 订单!2001</v>
      </c>
      <c r="L113" s="20" t="str"/>
    </row>
    <row r="114" ht="48" customHeight="1">
      <c r="A114" s="2" t="str">
        <v>S2-01286-BH</v>
      </c>
      <c r="B114" s="2" t="str">
        <v>KH017</v>
      </c>
      <c r="C114" s="2" t="str">
        <v>2026-08-17</v>
      </c>
      <c r="D114" s="2" t="str">
        <v>BAN_HANG</v>
      </c>
      <c r="E114" s="2" t="str">
        <v>BH2026080010</v>
      </c>
      <c r="F114" s="2" t="str">
        <v>00000275</v>
      </c>
      <c r="G114" s="2" t="str"/>
      <c r="H114" s="19" t="n">
        <v>1600000</v>
      </c>
      <c r="I114" s="20" t="str">
        <v>xuất bán Nguyễn Thị Thanh Hương 向阮氏清香销售产品</v>
      </c>
      <c r="J114" s="20" t="str">
        <v>Chuẩn hóa VND; gốc 1599999.9984; phần lẻ 0.001600000000 đ</v>
      </c>
      <c r="K114" s="20" t="str">
        <v>2.xlsx | 订单!1286</v>
      </c>
      <c r="L114" s="20" t="str"/>
    </row>
    <row r="115" ht="48" customHeight="1">
      <c r="A115" s="2" t="str">
        <v>S2-01294-TT</v>
      </c>
      <c r="B115" s="2" t="str">
        <v>KH017</v>
      </c>
      <c r="C115" s="2" t="str">
        <v>2026-08-17</v>
      </c>
      <c r="D115" s="2" t="str">
        <v>THU_TIEN</v>
      </c>
      <c r="E115" s="2" t="str"/>
      <c r="F115" s="2" t="str"/>
      <c r="G115" s="2" t="str"/>
      <c r="H115" s="19" t="n">
        <v>1600000</v>
      </c>
      <c r="I115" s="20" t="str">
        <v>Thu tiền mặt của khách hàng 收取客户现金</v>
      </c>
      <c r="J115" s="20" t="str">
        <v>Chuẩn hóa VND; gốc 1600000; phần lẻ 0.000000000000 đ</v>
      </c>
      <c r="K115" s="20" t="str">
        <v>2.xlsx | 订单!1294</v>
      </c>
      <c r="L115" s="20" t="str"/>
    </row>
    <row r="116" ht="48" customHeight="1">
      <c r="A116" s="2" t="str">
        <v>S2-01837-BH</v>
      </c>
      <c r="B116" s="2" t="str">
        <v>KH021</v>
      </c>
      <c r="C116" s="2" t="str">
        <v>2026-09-22</v>
      </c>
      <c r="D116" s="2" t="str">
        <v>BAN_HANG</v>
      </c>
      <c r="E116" s="2" t="str">
        <v>BH2026090086</v>
      </c>
      <c r="F116" s="2" t="str">
        <v>00000320</v>
      </c>
      <c r="G116" s="2" t="str"/>
      <c r="H116" s="19" t="n">
        <v>3720000</v>
      </c>
      <c r="I116" s="20" t="str">
        <v>Xuất bán cho Hộ Kinh Doanh Đào Thị Quỳnh Hoa陶氏琼花个体工商户销售产品</v>
      </c>
      <c r="J116" s="20" t="str">
        <v>Chuẩn hóa VND; gốc 3720000.0384; phần lẻ -0.038400000000 đ</v>
      </c>
      <c r="K116" s="20" t="str">
        <v>2.xlsx | 订单!1837-1838</v>
      </c>
      <c r="L116" s="20" t="str"/>
    </row>
    <row r="117" ht="48" customHeight="1">
      <c r="A117" s="2" t="str">
        <v>S2-01839-TT</v>
      </c>
      <c r="B117" s="2" t="str">
        <v>KH021</v>
      </c>
      <c r="C117" s="2" t="str">
        <v>2026-09-22</v>
      </c>
      <c r="D117" s="2" t="str">
        <v>THU_TIEN</v>
      </c>
      <c r="E117" s="2" t="str"/>
      <c r="F117" s="2" t="str"/>
      <c r="G117" s="2" t="str"/>
      <c r="H117" s="19" t="n">
        <v>3720000</v>
      </c>
      <c r="I117" s="20" t="str">
        <v>Thu tiền mặt của khách hàng 收取客户现金</v>
      </c>
      <c r="J117" s="20" t="str">
        <v>Chuẩn hóa VND; gốc 3720000; phần lẻ 0.000000000000 đ</v>
      </c>
      <c r="K117" s="20" t="str">
        <v>2.xlsx | 订单!1839</v>
      </c>
      <c r="L117" s="20" t="str"/>
    </row>
    <row r="118" ht="48" customHeight="1">
      <c r="A118" s="2" t="str">
        <v>S2-01915-TT</v>
      </c>
      <c r="B118" s="2" t="str">
        <v>KH021</v>
      </c>
      <c r="C118" s="2" t="str">
        <v>2026-09-28</v>
      </c>
      <c r="D118" s="2" t="str">
        <v>THU_TIEN</v>
      </c>
      <c r="E118" s="2" t="str"/>
      <c r="F118" s="2" t="str"/>
      <c r="G118" s="2" t="str"/>
      <c r="H118" s="19" t="n">
        <v>3720001</v>
      </c>
      <c r="I118" s="20" t="str">
        <v>Thu tiền khách hàng Chuyển khoản ngân hàng货款通过银行转账</v>
      </c>
      <c r="J118" s="20" t="str">
        <v>Chuẩn hóa VND; gốc 3720001; phần lẻ 0.000000000000 đ</v>
      </c>
      <c r="K118" s="20" t="str">
        <v>2.xlsx | 订单!1915</v>
      </c>
      <c r="L118" s="20" t="str"/>
    </row>
    <row r="119" ht="48" customHeight="1">
      <c r="A119" s="2" t="str">
        <v>S2-01916-HT</v>
      </c>
      <c r="B119" s="2" t="str">
        <v>KH021</v>
      </c>
      <c r="C119" s="2" t="str">
        <v>2026-09-28</v>
      </c>
      <c r="D119" s="2" t="str">
        <v>HOAN_TIEN</v>
      </c>
      <c r="E119" s="2" t="str"/>
      <c r="F119" s="2" t="str"/>
      <c r="G119" s="2" t="str"/>
      <c r="H119" s="19" t="n">
        <v>3720000</v>
      </c>
      <c r="I119" s="20" t="str">
        <v>Trả lại khách tiền mặt</v>
      </c>
      <c r="J119" s="20" t="str">
        <v>Chuẩn hóa VND; gốc 3720000; phần lẻ 0.000000000000 đ</v>
      </c>
      <c r="K119" s="20" t="str">
        <v>2.xlsx | 订单!1916</v>
      </c>
      <c r="L119" s="20" t="str"/>
    </row>
    <row r="120" ht="48" customHeight="1">
      <c r="A120" s="2" t="str">
        <v>S2-01954-BH</v>
      </c>
      <c r="B120" s="2" t="str">
        <v>KH021</v>
      </c>
      <c r="C120" s="2" t="str">
        <v>2026-09-29</v>
      </c>
      <c r="D120" s="2" t="str">
        <v>BAN_HANG</v>
      </c>
      <c r="E120" s="2" t="str">
        <v>BH2026090103</v>
      </c>
      <c r="F120" s="2" t="str"/>
      <c r="G120" s="2" t="str"/>
      <c r="H120" s="19" t="n">
        <v>1920000</v>
      </c>
      <c r="I120" s="20" t="str">
        <v>Xuất bán cho Hộ Kinh Doanh Đào Thị Quỳnh Hoa陶氏琼花个体工商户销售产品</v>
      </c>
      <c r="J120" s="20" t="str">
        <v>Chuẩn hóa VND; gốc 1920000.024; phần lẻ -0.024000000000 đ</v>
      </c>
      <c r="K120" s="20" t="str">
        <v>2.xlsx | 订单!1954</v>
      </c>
      <c r="L120" s="20" t="str"/>
    </row>
    <row r="121" ht="48" customHeight="1">
      <c r="A121" s="2" t="str">
        <v>S2-01999-TT</v>
      </c>
      <c r="B121" s="2" t="str">
        <v>KH021</v>
      </c>
      <c r="C121" s="2" t="str">
        <v>2026-10-02</v>
      </c>
      <c r="D121" s="2" t="str">
        <v>THU_TIEN</v>
      </c>
      <c r="E121" s="2" t="str"/>
      <c r="F121" s="2" t="str"/>
      <c r="G121" s="2" t="str"/>
      <c r="H121" s="19" t="n">
        <v>1920000</v>
      </c>
      <c r="I121" s="20" t="str">
        <v>Thu tiền mặt của khách hàng 收取客户现金</v>
      </c>
      <c r="J121" s="20" t="str">
        <v>Chuẩn hóa VND; gốc 1920000; phần lẻ 0.000000000000 đ</v>
      </c>
      <c r="K121" s="20" t="str">
        <v>2.xlsx | 订单!1999</v>
      </c>
      <c r="L121" s="21" t="str">
        <v>Ngày ghi sổ trống — dùng ngày có căn cứ: 2.xlsx | 订单!D1999 có ngày; C1999 trống</v>
      </c>
    </row>
    <row r="122" ht="48" customHeight="1">
      <c r="A122" s="25" t="str">
        <v>S2-02074-BH</v>
      </c>
      <c r="B122" s="25" t="str">
        <v>KH021</v>
      </c>
      <c r="C122" s="25" t="str">
        <v>2026-10-09</v>
      </c>
      <c r="D122" s="25" t="str">
        <v>BAN_HANG</v>
      </c>
      <c r="E122" s="25" t="str">
        <v>BH2026100123</v>
      </c>
      <c r="F122" s="25" t="str"/>
      <c r="G122" s="25" t="str">
        <v>BH2026100123</v>
      </c>
      <c r="H122" s="26" t="n">
        <v>5400000.04</v>
      </c>
      <c r="I122" s="27" t="str">
        <v>Xuất bán cho Hộ Kinh Doanh Đào Thị Quỳnh Hoa陶氏琼花个体工商户销售产品</v>
      </c>
      <c r="J122" s="27" t="str">
        <v>ĐÃ CÓ ERP — bỏ qua dòng này; giữ chứng từ ERP</v>
      </c>
      <c r="K122" s="27" t="str">
        <v>2.xlsx | 订单!2074-2076</v>
      </c>
      <c r="L122" s="27" t="str"/>
    </row>
    <row r="123" ht="48" customHeight="1">
      <c r="A123" s="2" t="str">
        <v>S2-02077-TT</v>
      </c>
      <c r="B123" s="2" t="str">
        <v>KH021</v>
      </c>
      <c r="C123" s="2" t="str">
        <v>2026-10-09</v>
      </c>
      <c r="D123" s="2" t="str">
        <v>THU_TIEN</v>
      </c>
      <c r="E123" s="2" t="str"/>
      <c r="F123" s="2" t="str"/>
      <c r="G123" s="2" t="str"/>
      <c r="H123" s="19" t="n">
        <v>5400000</v>
      </c>
      <c r="I123" s="20" t="str">
        <v>Thu tiền mặt của khách hàng 收取客户现金</v>
      </c>
      <c r="J123" s="20" t="str">
        <v>Chuẩn hóa VND; gốc 5400000; phần lẻ 0.000000000000 đ</v>
      </c>
      <c r="K123" s="20" t="str">
        <v>2.xlsx | 订单!2077</v>
      </c>
      <c r="L123" s="20" t="str"/>
    </row>
    <row r="124" ht="48" customHeight="1">
      <c r="A124" s="2" t="str">
        <v>S2-00494-BH</v>
      </c>
      <c r="B124" s="2" t="str">
        <v>KH024</v>
      </c>
      <c r="C124" s="2" t="str">
        <v>2026-02-02</v>
      </c>
      <c r="D124" s="2" t="str">
        <v>BAN_HANG</v>
      </c>
      <c r="E124" s="2" t="str"/>
      <c r="F124" s="2" t="str">
        <v>00000046</v>
      </c>
      <c r="G124" s="2" t="str"/>
      <c r="H124" s="19" t="n">
        <v>21818000</v>
      </c>
      <c r="I124" s="20" t="str">
        <v>Xuất bán Công ty TNHH Đồ Gia Dụng Minh Trí</v>
      </c>
      <c r="J124" s="20" t="str">
        <v>Chuẩn hóa VND; gốc 21817999.9656; phần lẻ 0.034400000000 đ</v>
      </c>
      <c r="K124" s="20" t="str">
        <v>2.xlsx | 订单!494-504</v>
      </c>
      <c r="L124" s="20" t="str"/>
    </row>
    <row r="125" ht="48" customHeight="1">
      <c r="A125" s="2" t="str">
        <v>S2-00505-BH</v>
      </c>
      <c r="B125" s="2" t="str">
        <v>KH024</v>
      </c>
      <c r="C125" s="2" t="str">
        <v>2026-02-02</v>
      </c>
      <c r="D125" s="2" t="str">
        <v>BAN_HANG</v>
      </c>
      <c r="E125" s="2" t="str"/>
      <c r="F125" s="2" t="str">
        <v>'00000060</v>
      </c>
      <c r="G125" s="2" t="str"/>
      <c r="H125" s="19" t="n">
        <v>4920000</v>
      </c>
      <c r="I125" s="20" t="str">
        <v>Xuất bán Công ty TNHH Đồ Gia Dụng Minh Trí</v>
      </c>
      <c r="J125" s="20" t="str">
        <v>Chuẩn hóa VND; gốc 4920000.0048; phần lẻ -0.004800000000 đ</v>
      </c>
      <c r="K125" s="20" t="str">
        <v>2.xlsx | 订单!505</v>
      </c>
      <c r="L125" s="20" t="str"/>
    </row>
    <row r="126" ht="48" customHeight="1">
      <c r="A126" s="2" t="str">
        <v>S2-00506-BH</v>
      </c>
      <c r="B126" s="2" t="str">
        <v>KH024</v>
      </c>
      <c r="C126" s="2" t="str">
        <v>2026-02-02</v>
      </c>
      <c r="D126" s="2" t="str">
        <v>BAN_HANG</v>
      </c>
      <c r="E126" s="2" t="str"/>
      <c r="F126" s="2" t="str"/>
      <c r="G126" s="2" t="str"/>
      <c r="H126" s="19" t="n">
        <v>4740000</v>
      </c>
      <c r="I126" s="20" t="str">
        <v>Xuất bán Công ty TNHH Đồ Gia Dụng Minh Trí</v>
      </c>
      <c r="J126" s="20" t="str">
        <v>Chuẩn hóa VND; gốc 4739999.9904; phần lẻ 0.009600000000 đ</v>
      </c>
      <c r="K126" s="20" t="str">
        <v>2.xlsx | 订单!506</v>
      </c>
      <c r="L126" s="20" t="str"/>
    </row>
    <row r="127" ht="48" customHeight="1">
      <c r="A127" s="2" t="str">
        <v>S2-00507-BH</v>
      </c>
      <c r="B127" s="2" t="str">
        <v>KH024</v>
      </c>
      <c r="C127" s="2" t="str">
        <v>2026-02-02</v>
      </c>
      <c r="D127" s="2" t="str">
        <v>BAN_HANG</v>
      </c>
      <c r="E127" s="2" t="str"/>
      <c r="F127" s="2" t="str">
        <v>00000060</v>
      </c>
      <c r="G127" s="2" t="str"/>
      <c r="H127" s="19" t="n">
        <v>3680000</v>
      </c>
      <c r="I127" s="20" t="str">
        <v>Xuất bán Công ty TNHH Đồ Gia Dụng Minh Trí</v>
      </c>
      <c r="J127" s="20" t="str">
        <v>Chuẩn hóa VND; gốc 3679999.992; phần lẻ 0.008000000000 đ</v>
      </c>
      <c r="K127" s="20" t="str">
        <v>2.xlsx | 订单!507</v>
      </c>
      <c r="L127" s="20" t="str"/>
    </row>
    <row r="128" ht="48" customHeight="1">
      <c r="A128" s="2" t="str">
        <v>S2-00508-BH</v>
      </c>
      <c r="B128" s="2" t="str">
        <v>KH024</v>
      </c>
      <c r="C128" s="2" t="str">
        <v>2026-02-02</v>
      </c>
      <c r="D128" s="2" t="str">
        <v>BAN_HANG</v>
      </c>
      <c r="E128" s="2" t="str"/>
      <c r="F128" s="2" t="str">
        <v>00000079</v>
      </c>
      <c r="G128" s="2" t="str"/>
      <c r="H128" s="19" t="n">
        <v>7908000</v>
      </c>
      <c r="I128" s="20" t="str">
        <v>Xuất bán Công ty TNHH Đồ Gia Dụng Minh Trí</v>
      </c>
      <c r="J128" s="20" t="str">
        <v>Chuẩn hóa VND; gốc 7908000.0624; phần lẻ -0.062400000000 đ</v>
      </c>
      <c r="K128" s="20" t="str">
        <v>2.xlsx | 订单!508-509</v>
      </c>
      <c r="L128" s="20" t="str"/>
    </row>
    <row r="129" ht="48" customHeight="1">
      <c r="A129" s="2" t="str">
        <v>S2-00510-BH</v>
      </c>
      <c r="B129" s="2" t="str">
        <v>KH024</v>
      </c>
      <c r="C129" s="2" t="str">
        <v>2026-02-02</v>
      </c>
      <c r="D129" s="2" t="str">
        <v>BAN_HANG</v>
      </c>
      <c r="E129" s="2" t="str"/>
      <c r="F129" s="2" t="str">
        <v>00000091</v>
      </c>
      <c r="G129" s="2" t="str"/>
      <c r="H129" s="19" t="n">
        <v>3900000</v>
      </c>
      <c r="I129" s="20" t="str">
        <v>Xuất bán Công ty TNHH Đồ Gia Dụng Minh Trí</v>
      </c>
      <c r="J129" s="20" t="str">
        <v>Chuẩn hóa VND; gốc 3899999.988; phần lẻ 0.012000000000 đ</v>
      </c>
      <c r="K129" s="20" t="str">
        <v>2.xlsx | 订单!510</v>
      </c>
      <c r="L129" s="20" t="str"/>
    </row>
    <row r="130" ht="48" customHeight="1">
      <c r="A130" s="2" t="str">
        <v>S2-00512-TT</v>
      </c>
      <c r="B130" s="2" t="str">
        <v>KH024</v>
      </c>
      <c r="C130" s="2" t="str">
        <v>2026-02-06</v>
      </c>
      <c r="D130" s="2" t="str">
        <v>THU_TIEN</v>
      </c>
      <c r="E130" s="2" t="str"/>
      <c r="F130" s="2" t="str"/>
      <c r="G130" s="2" t="str"/>
      <c r="H130" s="19" t="n">
        <v>25178000</v>
      </c>
      <c r="I130" s="20" t="str">
        <v>Thu tiền Công ty TNHH Đồ Gia Dụng Minh Trí bằng TK CÁ NHÂN</v>
      </c>
      <c r="J130" s="20" t="str">
        <v>Chuẩn hóa VND; gốc 25178000; phần lẻ 0.000000000000 đ</v>
      </c>
      <c r="K130" s="20" t="str">
        <v>2.xlsx | 订单!512</v>
      </c>
      <c r="L130" s="20" t="str"/>
    </row>
    <row r="131" ht="48" customHeight="1">
      <c r="A131" s="2" t="str">
        <v>S2-00513-BH</v>
      </c>
      <c r="B131" s="2" t="str">
        <v>KH024</v>
      </c>
      <c r="C131" s="2" t="str">
        <v>2026-02-09</v>
      </c>
      <c r="D131" s="2" t="str">
        <v>BAN_HANG</v>
      </c>
      <c r="E131" s="2" t="str"/>
      <c r="F131" s="2" t="str">
        <v>00000060</v>
      </c>
      <c r="G131" s="2" t="str"/>
      <c r="H131" s="19" t="n">
        <v>10758000</v>
      </c>
      <c r="I131" s="20" t="str">
        <v>Xuất bán Công ty TNHH Đồ Gia Dụng Minh Trí</v>
      </c>
      <c r="J131" s="20" t="str">
        <v>Chuẩn hóa VND; gốc 10757999.9664; phần lẻ 0.033600000000 đ</v>
      </c>
      <c r="K131" s="20" t="str">
        <v>2.xlsx | 订单!513-516</v>
      </c>
      <c r="L131" s="20" t="str"/>
    </row>
    <row r="132" ht="48" customHeight="1">
      <c r="A132" s="2" t="str">
        <v>S2-00517-BH</v>
      </c>
      <c r="B132" s="2" t="str">
        <v>KH024</v>
      </c>
      <c r="C132" s="2" t="str">
        <v>2026-02-09</v>
      </c>
      <c r="D132" s="2" t="str">
        <v>BAN_HANG</v>
      </c>
      <c r="E132" s="2" t="str"/>
      <c r="F132" s="2" t="str">
        <v>00000091</v>
      </c>
      <c r="G132" s="2" t="str"/>
      <c r="H132" s="19" t="n">
        <v>7800000</v>
      </c>
      <c r="I132" s="20" t="str">
        <v>Xuất bán Công ty TNHH Đồ Gia Dụng Minh Trí</v>
      </c>
      <c r="J132" s="20" t="str">
        <v>Chuẩn hóa VND; gốc 7799999.976; phần lẻ 0.024000000000 đ</v>
      </c>
      <c r="K132" s="20" t="str">
        <v>2.xlsx | 订单!517</v>
      </c>
      <c r="L132" s="20" t="str"/>
    </row>
    <row r="133" ht="48" customHeight="1">
      <c r="A133" s="2" t="str">
        <v>S2-00518-BH</v>
      </c>
      <c r="B133" s="2" t="str">
        <v>KH024</v>
      </c>
      <c r="C133" s="2" t="str">
        <v>2026-02-09</v>
      </c>
      <c r="D133" s="2" t="str">
        <v>BAN_HANG</v>
      </c>
      <c r="E133" s="2" t="str"/>
      <c r="F133" s="2" t="str">
        <v>chưa xuất HĐ</v>
      </c>
      <c r="G133" s="2" t="str"/>
      <c r="H133" s="19" t="n">
        <v>1700000</v>
      </c>
      <c r="I133" s="20" t="str">
        <v>Xuất bán Công ty TNHH Đồ Gia Dụng Minh Trí</v>
      </c>
      <c r="J133" s="20" t="str">
        <v>Chuẩn hóa VND; gốc 1699999.92; phần lẻ 0.080000000000 đ</v>
      </c>
      <c r="K133" s="20" t="str">
        <v>2.xlsx | 订单!518</v>
      </c>
      <c r="L133" s="20" t="str"/>
    </row>
    <row r="134" ht="48" customHeight="1">
      <c r="A134" s="2" t="str">
        <v>S2-00520-TT</v>
      </c>
      <c r="B134" s="2" t="str">
        <v>KH024</v>
      </c>
      <c r="C134" s="2" t="str">
        <v>2026-02-10</v>
      </c>
      <c r="D134" s="2" t="str">
        <v>THU_TIEN</v>
      </c>
      <c r="E134" s="2" t="str"/>
      <c r="F134" s="2" t="str"/>
      <c r="G134" s="2" t="str"/>
      <c r="H134" s="19" t="n">
        <v>41176000</v>
      </c>
      <c r="I134" s="20" t="str">
        <v>Thu tiền khách hàng Chuyển khoản ngân hàng货款通过银行转账</v>
      </c>
      <c r="J134" s="20" t="str">
        <v>Chuẩn hóa VND; gốc 41176000; phần lẻ 0.000000000000 đ</v>
      </c>
      <c r="K134" s="20" t="str">
        <v>2.xlsx | 订单!520</v>
      </c>
      <c r="L134" s="20" t="str"/>
    </row>
    <row r="135" ht="48" customHeight="1">
      <c r="A135" s="2" t="str">
        <v>S2-00521-VC</v>
      </c>
      <c r="B135" s="2" t="str">
        <v>KH024</v>
      </c>
      <c r="C135" s="2" t="str">
        <v>2026-02-10</v>
      </c>
      <c r="D135" s="2" t="str">
        <v>PHI_VAN_CHUYEN</v>
      </c>
      <c r="E135" s="2" t="str"/>
      <c r="F135" s="2" t="str"/>
      <c r="G135" s="2" t="str"/>
      <c r="H135" s="19" t="n">
        <v>600000</v>
      </c>
      <c r="I135" s="20" t="str">
        <v>Tiền vận chuyển</v>
      </c>
      <c r="J135" s="20" t="str">
        <v>Chuẩn hóa VND; gốc 600000; phần lẻ 0.000000000000 đ</v>
      </c>
      <c r="K135" s="20" t="str">
        <v>2.xlsx | 订单!521</v>
      </c>
      <c r="L135" s="20" t="str"/>
    </row>
    <row r="136" ht="48" customHeight="1">
      <c r="A136" s="2" t="str">
        <v>S2-00522-TT</v>
      </c>
      <c r="B136" s="2" t="str">
        <v>KH024</v>
      </c>
      <c r="C136" s="2" t="str">
        <v>2026-02-10</v>
      </c>
      <c r="D136" s="2" t="str">
        <v>THU_TIEN</v>
      </c>
      <c r="E136" s="2" t="str"/>
      <c r="F136" s="2" t="str"/>
      <c r="G136" s="2" t="str"/>
      <c r="H136" s="19" t="n">
        <v>270000</v>
      </c>
      <c r="I136" s="20" t="str">
        <v>Thu tiền mặt của khách hàng 收取客户现金</v>
      </c>
      <c r="J136" s="20" t="str">
        <v>Chuẩn hóa VND; gốc 270000; phần lẻ 0.000000000000 đ</v>
      </c>
      <c r="K136" s="20" t="str">
        <v>2.xlsx | 订单!522</v>
      </c>
      <c r="L136" s="20" t="str"/>
    </row>
    <row r="137" ht="48" customHeight="1">
      <c r="A137" s="2" t="str">
        <v>S2-00523-BH</v>
      </c>
      <c r="B137" s="2" t="str">
        <v>KH024</v>
      </c>
      <c r="C137" s="2" t="str">
        <v>2026-02-24</v>
      </c>
      <c r="D137" s="2" t="str">
        <v>BAN_HANG</v>
      </c>
      <c r="E137" s="2" t="str"/>
      <c r="F137" s="2" t="str">
        <v>chưa xuất HĐ</v>
      </c>
      <c r="G137" s="2" t="str"/>
      <c r="H137" s="19" t="n">
        <v>1700000</v>
      </c>
      <c r="I137" s="20" t="str">
        <v>Xuất bán Công ty TNHH Đồ Gia Dụng Minh Trí</v>
      </c>
      <c r="J137" s="20" t="str">
        <v>Chuẩn hóa VND; gốc 1699999.92; phần lẻ 0.080000000000 đ</v>
      </c>
      <c r="K137" s="20" t="str">
        <v>2.xlsx | 订单!523</v>
      </c>
      <c r="L137" s="20" t="str"/>
    </row>
    <row r="138" ht="48" customHeight="1">
      <c r="A138" s="2" t="str">
        <v>S2-00524-BH</v>
      </c>
      <c r="B138" s="2" t="str">
        <v>KH024</v>
      </c>
      <c r="C138" s="2" t="str">
        <v>2026-02-24</v>
      </c>
      <c r="D138" s="2" t="str">
        <v>BAN_HANG</v>
      </c>
      <c r="E138" s="2" t="str"/>
      <c r="F138" s="2" t="str">
        <v>00000075</v>
      </c>
      <c r="G138" s="2" t="str"/>
      <c r="H138" s="19" t="n">
        <v>11200000</v>
      </c>
      <c r="I138" s="20" t="str">
        <v>Xuất bán Công ty TNHH Đồ Gia Dụng Minh Trí</v>
      </c>
      <c r="J138" s="20" t="str">
        <v>Chuẩn hóa VND; gốc 11199999.9888; phần lẻ 0.011200000000 đ</v>
      </c>
      <c r="K138" s="20" t="str">
        <v>2.xlsx | 订单!524-526</v>
      </c>
      <c r="L138" s="20" t="str"/>
    </row>
    <row r="139" ht="48" customHeight="1">
      <c r="A139" s="2" t="str">
        <v>S2-00527-BH</v>
      </c>
      <c r="B139" s="2" t="str">
        <v>KH024</v>
      </c>
      <c r="C139" s="2" t="str">
        <v>2026-02-24</v>
      </c>
      <c r="D139" s="2" t="str">
        <v>BAN_HANG</v>
      </c>
      <c r="E139" s="2" t="str"/>
      <c r="F139" s="2" t="str">
        <v>00000079</v>
      </c>
      <c r="G139" s="2" t="str"/>
      <c r="H139" s="19" t="n">
        <v>8448000</v>
      </c>
      <c r="I139" s="20" t="str">
        <v>Xuất bán Công ty TNHH Đồ Gia Dụng Minh Trí</v>
      </c>
      <c r="J139" s="20" t="str">
        <v>Chuẩn hóa VND; gốc 8448000.1056; phần lẻ -0.105600000000 đ</v>
      </c>
      <c r="K139" s="20" t="str">
        <v>2.xlsx | 订单!527</v>
      </c>
      <c r="L139" s="20" t="str"/>
    </row>
    <row r="140" ht="48" customHeight="1">
      <c r="A140" s="2" t="str">
        <v>S2-00528-BH</v>
      </c>
      <c r="B140" s="2" t="str">
        <v>KH024</v>
      </c>
      <c r="C140" s="2" t="str">
        <v>2026-02-24</v>
      </c>
      <c r="D140" s="2" t="str">
        <v>BAN_HANG</v>
      </c>
      <c r="E140" s="2" t="str"/>
      <c r="F140" s="2" t="str">
        <v>00000091</v>
      </c>
      <c r="G140" s="2" t="str"/>
      <c r="H140" s="19" t="n">
        <v>7040000</v>
      </c>
      <c r="I140" s="20" t="str">
        <v>Xuất bán Công ty TNHH Đồ Gia Dụng Minh Trí</v>
      </c>
      <c r="J140" s="20" t="str">
        <v>Chuẩn hóa VND; gốc 7040000.088; phần lẻ -0.088000000000 đ</v>
      </c>
      <c r="K140" s="20" t="str">
        <v>2.xlsx | 订单!528</v>
      </c>
      <c r="L140" s="20" t="str"/>
    </row>
    <row r="141" ht="48" customHeight="1">
      <c r="A141" s="2" t="str">
        <v>S2-00529-TT</v>
      </c>
      <c r="B141" s="2" t="str">
        <v>KH024</v>
      </c>
      <c r="C141" s="2" t="str">
        <v>2026-02-27</v>
      </c>
      <c r="D141" s="2" t="str">
        <v>THU_TIEN</v>
      </c>
      <c r="E141" s="2" t="str"/>
      <c r="F141" s="2" t="str"/>
      <c r="G141" s="2" t="str"/>
      <c r="H141" s="19" t="n">
        <v>27556000</v>
      </c>
      <c r="I141" s="20" t="str">
        <v>Thu tiền khách hàng Chuyển khoản ngân hàng货款通过银行转账</v>
      </c>
      <c r="J141" s="20" t="str">
        <v>Chuẩn hóa VND; gốc 27556000; phần lẻ 0.000000000000 đ</v>
      </c>
      <c r="K141" s="20" t="str">
        <v>2.xlsx | 订单!529</v>
      </c>
      <c r="L141" s="20" t="str"/>
    </row>
    <row r="142" ht="48" customHeight="1">
      <c r="A142" s="2" t="str">
        <v>S2-00530-VC</v>
      </c>
      <c r="B142" s="2" t="str">
        <v>KH024</v>
      </c>
      <c r="C142" s="2" t="str">
        <v>2026-03-02</v>
      </c>
      <c r="D142" s="2" t="str">
        <v>PHI_VAN_CHUYEN</v>
      </c>
      <c r="E142" s="2" t="str"/>
      <c r="F142" s="2" t="str"/>
      <c r="G142" s="2" t="str"/>
      <c r="H142" s="19" t="n">
        <v>832000</v>
      </c>
      <c r="I142" s="20" t="str">
        <v>Tiền lì xì, vận chuyển</v>
      </c>
      <c r="J142" s="20" t="str">
        <v>Chuẩn hóa VND; gốc 832000; phần lẻ 0.000000000000 đ</v>
      </c>
      <c r="K142" s="20" t="str">
        <v>2.xlsx | 订单!530</v>
      </c>
      <c r="L142" s="20" t="str"/>
    </row>
    <row r="143" ht="48" customHeight="1">
      <c r="A143" s="2" t="str">
        <v>S2-00531-BH</v>
      </c>
      <c r="B143" s="2" t="str">
        <v>KH024</v>
      </c>
      <c r="C143" s="2" t="str">
        <v>2026-04-05</v>
      </c>
      <c r="D143" s="2" t="str">
        <v>BAN_HANG</v>
      </c>
      <c r="E143" s="2" t="str"/>
      <c r="F143" s="2" t="str">
        <v>00000159</v>
      </c>
      <c r="G143" s="2" t="str"/>
      <c r="H143" s="19" t="n">
        <v>19188000</v>
      </c>
      <c r="I143" s="20" t="str">
        <v>Xuất bán Công ty TNHH Đồ Gia Dụng Minh Trí</v>
      </c>
      <c r="J143" s="20" t="str">
        <v>Chuẩn hóa VND; gốc 19187999.9928; phần lẻ 0.007200000000 đ</v>
      </c>
      <c r="K143" s="20" t="str">
        <v>2.xlsx | 订单!531-535</v>
      </c>
      <c r="L143" s="20" t="str"/>
    </row>
    <row r="144" ht="48" customHeight="1">
      <c r="A144" s="2" t="str">
        <v>S2-00536-HT</v>
      </c>
      <c r="B144" s="2" t="str">
        <v>KH024</v>
      </c>
      <c r="C144" s="2" t="str">
        <v>2026-04-05</v>
      </c>
      <c r="D144" s="2" t="str">
        <v>HOAN_TIEN</v>
      </c>
      <c r="E144" s="2" t="str"/>
      <c r="F144" s="2" t="str"/>
      <c r="G144" s="2" t="str"/>
      <c r="H144" s="19" t="n">
        <v>18740000</v>
      </c>
      <c r="I144" s="20" t="str">
        <v>Trả lại khách tiền mặt</v>
      </c>
      <c r="J144" s="20" t="str">
        <v>Chuẩn hóa VND; gốc 18740000; phần lẻ 0.000000000000 đ</v>
      </c>
      <c r="K144" s="20" t="str">
        <v>2.xlsx | 订单!536</v>
      </c>
      <c r="L144" s="21" t="str">
        <v>Dòng không có ngày ghi sổ — tạm lấy ngày dòng trước 2026-04-05</v>
      </c>
    </row>
    <row r="145" ht="48" customHeight="1">
      <c r="A145" s="2" t="str">
        <v>S2-00537-TT</v>
      </c>
      <c r="B145" s="2" t="str">
        <v>KH024</v>
      </c>
      <c r="C145" s="2" t="str">
        <v>2026-05-29</v>
      </c>
      <c r="D145" s="2" t="str">
        <v>THU_TIEN</v>
      </c>
      <c r="E145" s="2" t="str"/>
      <c r="F145" s="2" t="str"/>
      <c r="G145" s="2" t="str"/>
      <c r="H145" s="19" t="n">
        <v>37928000</v>
      </c>
      <c r="I145" s="20" t="str">
        <v>Thu tiền khách hàng Chuyển khoản ngân hàng货款通过银行转账</v>
      </c>
      <c r="J145" s="20" t="str">
        <v>Chuẩn hóa VND; gốc 37928000; phần lẻ 0.000000000000 đ</v>
      </c>
      <c r="K145" s="20" t="str">
        <v>2.xlsx | 订单!537</v>
      </c>
      <c r="L145" s="20" t="str"/>
    </row>
    <row r="146" ht="48" customHeight="1">
      <c r="A146" s="2" t="str">
        <v>S2-00538-BH</v>
      </c>
      <c r="B146" s="2" t="str">
        <v>KH024</v>
      </c>
      <c r="C146" s="2" t="str">
        <v>2026-07-07</v>
      </c>
      <c r="D146" s="2" t="str">
        <v>BAN_HANG</v>
      </c>
      <c r="E146" s="2" t="str"/>
      <c r="F146" s="2" t="str">
        <v>00000208</v>
      </c>
      <c r="G146" s="2" t="str"/>
      <c r="H146" s="19" t="n">
        <v>6260000</v>
      </c>
      <c r="I146" s="20" t="str">
        <v>Xuất bán Công ty TNHH Đồ Gia Dụng Minh Trí</v>
      </c>
      <c r="J146" s="20" t="str">
        <v>Chuẩn hóa VND; gốc 6260000.004; phần lẻ -0.004000000000 đ</v>
      </c>
      <c r="K146" s="20" t="str">
        <v>2.xlsx | 订单!538-539</v>
      </c>
      <c r="L146" s="20" t="str"/>
    </row>
    <row r="147" ht="48" customHeight="1">
      <c r="A147" s="2" t="str">
        <v>S2-00540-BH</v>
      </c>
      <c r="B147" s="2" t="str">
        <v>KH024</v>
      </c>
      <c r="C147" s="2" t="str">
        <v>2026-07-07</v>
      </c>
      <c r="D147" s="2" t="str">
        <v>BAN_HANG</v>
      </c>
      <c r="E147" s="2" t="str"/>
      <c r="F147" s="2" t="str">
        <v>00000245</v>
      </c>
      <c r="G147" s="2" t="str"/>
      <c r="H147" s="19" t="n">
        <v>8800000</v>
      </c>
      <c r="I147" s="20" t="str">
        <v>Xuất bán Công ty TNHH Đồ Gia Dụng Minh Trí</v>
      </c>
      <c r="J147" s="20" t="str">
        <v>Chuẩn hóa VND; gốc 8799999.948; phần lẻ 0.052000000000 đ</v>
      </c>
      <c r="K147" s="20" t="str">
        <v>2.xlsx | 订单!540</v>
      </c>
      <c r="L147" s="20" t="str"/>
    </row>
    <row r="148" ht="48" customHeight="1">
      <c r="A148" s="2" t="str">
        <v>S2-00542-BH</v>
      </c>
      <c r="B148" s="2" t="str">
        <v>KH024</v>
      </c>
      <c r="C148" s="2" t="str">
        <v>2026-07-22</v>
      </c>
      <c r="D148" s="2" t="str">
        <v>BAN_HANG</v>
      </c>
      <c r="E148" s="2" t="str"/>
      <c r="F148" s="2" t="str">
        <v>00000232</v>
      </c>
      <c r="G148" s="2" t="str"/>
      <c r="H148" s="19" t="n">
        <v>15460000</v>
      </c>
      <c r="I148" s="20" t="str">
        <v>Xuất bán Công ty TNHH Đồ Gia Dụng Minh Trí</v>
      </c>
      <c r="J148" s="20" t="str">
        <v>Chuẩn hóa VND; gốc 15460000.092; phần lẻ -0.092000000000 đ</v>
      </c>
      <c r="K148" s="20" t="str">
        <v>2.xlsx | 订单!542-544</v>
      </c>
      <c r="L148" s="20" t="str"/>
    </row>
    <row r="149" ht="48" customHeight="1">
      <c r="A149" s="2" t="str">
        <v>S2-00545-VC</v>
      </c>
      <c r="B149" s="2" t="str">
        <v>KH024</v>
      </c>
      <c r="C149" s="2" t="str">
        <v>2026-07-23</v>
      </c>
      <c r="D149" s="2" t="str">
        <v>PHI_VAN_CHUYEN</v>
      </c>
      <c r="E149" s="2" t="str"/>
      <c r="F149" s="2" t="str"/>
      <c r="G149" s="2" t="str"/>
      <c r="H149" s="19" t="n">
        <v>150000</v>
      </c>
      <c r="I149" s="20" t="str">
        <v>Tiền vận chuyển</v>
      </c>
      <c r="J149" s="20" t="str">
        <v>Chuẩn hóa VND; gốc 150000; phần lẻ 0.000000000000 đ</v>
      </c>
      <c r="K149" s="20" t="str">
        <v>2.xlsx | 订单!545</v>
      </c>
      <c r="L149" s="20" t="str"/>
    </row>
    <row r="150" ht="48" customHeight="1">
      <c r="A150" s="2" t="str">
        <v>S2-01033-BH</v>
      </c>
      <c r="B150" s="2" t="str">
        <v>KH024</v>
      </c>
      <c r="C150" s="2" t="str">
        <v>2026-08-04</v>
      </c>
      <c r="D150" s="2" t="str">
        <v>BAN_HANG</v>
      </c>
      <c r="E150" s="2" t="str">
        <v>BH003/0826</v>
      </c>
      <c r="F150" s="2" t="str">
        <v>00000336</v>
      </c>
      <c r="G150" s="2" t="str"/>
      <c r="H150" s="19" t="n">
        <v>13110000</v>
      </c>
      <c r="I150" s="20" t="str">
        <v>xuất bán CÔNG TY TNHH ĐỒ GIA DỤNG MINH TRÍ-向明智家居用品有限责任公司销售产品</v>
      </c>
      <c r="J150" s="20" t="str">
        <v>Chuẩn hóa VND; gốc 13110000.0552; phần lẻ -0.055200000000 đ</v>
      </c>
      <c r="K150" s="20" t="str">
        <v>2.xlsx | 订单!1033</v>
      </c>
      <c r="L150" s="20" t="str"/>
    </row>
    <row r="151" ht="48" customHeight="1">
      <c r="A151" s="2" t="str">
        <v>S2-01034-BH</v>
      </c>
      <c r="B151" s="2" t="str">
        <v>KH024</v>
      </c>
      <c r="C151" s="2" t="str">
        <v>2026-08-04</v>
      </c>
      <c r="D151" s="2" t="str">
        <v>BAN_HANG</v>
      </c>
      <c r="E151" s="2" t="str">
        <v>BH003/0826</v>
      </c>
      <c r="F151" s="2" t="str"/>
      <c r="G151" s="2" t="str"/>
      <c r="H151" s="19" t="n">
        <v>29900000</v>
      </c>
      <c r="I151" s="20" t="str">
        <v>xuất bán CÔNG TY TNHH ĐỒ GIA DỤNG MINH TRÍ-向明智家居用品有限责任公司销售产品</v>
      </c>
      <c r="J151" s="20" t="str">
        <v>Chuẩn hóa VND; gốc 29899999.9728; phần lẻ 0.027200000000 đ</v>
      </c>
      <c r="K151" s="20" t="str">
        <v>2.xlsx | 订单!1034-1036</v>
      </c>
      <c r="L151" s="20" t="str"/>
    </row>
    <row r="152" ht="48" customHeight="1">
      <c r="A152" s="2" t="str">
        <v>S2-01062-VC</v>
      </c>
      <c r="B152" s="2" t="str">
        <v>KH024</v>
      </c>
      <c r="C152" s="2" t="str">
        <v>2026-08-04</v>
      </c>
      <c r="D152" s="2" t="str">
        <v>PHI_VAN_CHUYEN</v>
      </c>
      <c r="E152" s="2" t="str"/>
      <c r="F152" s="2" t="str"/>
      <c r="G152" s="2" t="str"/>
      <c r="H152" s="19" t="n">
        <v>600000</v>
      </c>
      <c r="I152" s="20" t="str">
        <v>khách hàng tự  trả tiền vận chuyển客户自行支付运输费</v>
      </c>
      <c r="J152" s="20" t="str">
        <v>Chuẩn hóa VND; gốc 600000; phần lẻ 0.000000000000 đ</v>
      </c>
      <c r="K152" s="20" t="str">
        <v>2.xlsx | 订单!1062</v>
      </c>
      <c r="L152" s="21" t="str">
        <v>Dòng không có ngày ghi sổ — tạm lấy ngày dòng trước 2026-08-04</v>
      </c>
    </row>
    <row r="153" ht="48" customHeight="1">
      <c r="A153" s="2" t="str">
        <v>S2-00541-VC</v>
      </c>
      <c r="B153" s="2" t="str">
        <v>KH024</v>
      </c>
      <c r="C153" s="2" t="str">
        <v>2026-08-07</v>
      </c>
      <c r="D153" s="2" t="str">
        <v>PHI_VAN_CHUYEN</v>
      </c>
      <c r="E153" s="2" t="str"/>
      <c r="F153" s="2" t="str"/>
      <c r="G153" s="2" t="str"/>
      <c r="H153" s="19" t="n">
        <v>200000</v>
      </c>
      <c r="I153" s="20" t="str">
        <v>Tiền vận chuyển</v>
      </c>
      <c r="J153" s="20" t="str">
        <v>Chuẩn hóa VND; gốc 200000; phần lẻ 0.000000000000 đ</v>
      </c>
      <c r="K153" s="20" t="str">
        <v>2.xlsx | 订单!541</v>
      </c>
      <c r="L153" s="20" t="str"/>
    </row>
    <row r="154" ht="48" customHeight="1">
      <c r="A154" s="2" t="str">
        <v>S2-01209-BH</v>
      </c>
      <c r="B154" s="2" t="str">
        <v>KH024</v>
      </c>
      <c r="C154" s="2" t="str">
        <v>2026-08-12</v>
      </c>
      <c r="D154" s="2" t="str">
        <v>BAN_HANG</v>
      </c>
      <c r="E154" s="2" t="str">
        <v>BH020/0826</v>
      </c>
      <c r="F154" s="2" t="str"/>
      <c r="G154" s="2" t="str"/>
      <c r="H154" s="19" t="n">
        <v>58248000</v>
      </c>
      <c r="I154" s="20" t="str">
        <v>xuất bán CÔNG TY TNHH ĐỒ GIA DỤNG MINH TRÍ-向明智家居用品有限责任公司销售产品</v>
      </c>
      <c r="J154" s="20" t="str">
        <v>Chuẩn hóa VND; gốc 58247999.9748; phần lẻ 0.025200000000 đ</v>
      </c>
      <c r="K154" s="20" t="str">
        <v>2.xlsx | 订单!1209-1212,1217</v>
      </c>
      <c r="L154" s="20" t="str"/>
    </row>
    <row r="155" ht="48" customHeight="1">
      <c r="A155" s="2" t="str">
        <v>S2-01224-TT</v>
      </c>
      <c r="B155" s="2" t="str">
        <v>KH024</v>
      </c>
      <c r="C155" s="2" t="str">
        <v>2026-08-12</v>
      </c>
      <c r="D155" s="2" t="str">
        <v>THU_TIEN</v>
      </c>
      <c r="E155" s="2" t="str"/>
      <c r="F155" s="2" t="str"/>
      <c r="G155" s="2" t="str"/>
      <c r="H155" s="19" t="n">
        <v>60000000</v>
      </c>
      <c r="I155" s="20" t="str">
        <v>Thu tiền khách hàng Chuyển khoản ngân hàng货款通过银行转账</v>
      </c>
      <c r="J155" s="20" t="str">
        <v>Chuẩn hóa VND; gốc 60000000; phần lẻ 0.000000000000 đ</v>
      </c>
      <c r="K155" s="20" t="str">
        <v>2.xlsx | 订单!1224</v>
      </c>
      <c r="L155" s="20" t="str"/>
    </row>
    <row r="156" ht="48" customHeight="1">
      <c r="A156" s="2" t="str">
        <v>S2-01225-VC</v>
      </c>
      <c r="B156" s="2" t="str">
        <v>KH024</v>
      </c>
      <c r="C156" s="2" t="str">
        <v>2026-08-12</v>
      </c>
      <c r="D156" s="2" t="str">
        <v>PHI_VAN_CHUYEN</v>
      </c>
      <c r="E156" s="2" t="str"/>
      <c r="F156" s="2" t="str"/>
      <c r="G156" s="2" t="str"/>
      <c r="H156" s="19" t="n">
        <v>750000</v>
      </c>
      <c r="I156" s="20" t="str">
        <v>khách hàng tự  trả tiền vận chuyển客户自行支付运输费</v>
      </c>
      <c r="J156" s="20" t="str">
        <v>Chuẩn hóa VND; gốc 750000; phần lẻ 0.000000000000 đ</v>
      </c>
      <c r="K156" s="20" t="str">
        <v>2.xlsx | 订单!1225</v>
      </c>
      <c r="L156" s="20" t="str"/>
    </row>
    <row r="157" ht="48" customHeight="1">
      <c r="A157" s="2" t="str">
        <v>S2-01381-BH</v>
      </c>
      <c r="B157" s="2" t="str">
        <v>KH024</v>
      </c>
      <c r="C157" s="2" t="str">
        <v>2026-08-25</v>
      </c>
      <c r="D157" s="2" t="str">
        <v>BAN_HANG</v>
      </c>
      <c r="E157" s="2" t="str">
        <v>BH2026080022</v>
      </c>
      <c r="F157" s="2" t="str">
        <v>00000287</v>
      </c>
      <c r="G157" s="2" t="str"/>
      <c r="H157" s="19" t="n">
        <v>28318000</v>
      </c>
      <c r="I157" s="20" t="str">
        <v>xuất bán CÔNG TY TNHH ĐỒ GIA DỤNG MINH TRÍ-向明智家居用品有限责任公司销售产品</v>
      </c>
      <c r="J157" s="20" t="str">
        <v>Chuẩn hóa VND; gốc 28318000.0104; phần lẻ -0.010400000000 đ</v>
      </c>
      <c r="K157" s="20" t="str">
        <v>2.xlsx | 订单!1381-1385</v>
      </c>
      <c r="L157" s="20" t="str"/>
    </row>
    <row r="158" ht="48" customHeight="1">
      <c r="A158" s="2" t="str">
        <v>S2-01398-VC</v>
      </c>
      <c r="B158" s="2" t="str">
        <v>KH024</v>
      </c>
      <c r="C158" s="2" t="str">
        <v>2026-08-27</v>
      </c>
      <c r="D158" s="2" t="str">
        <v>PHI_VAN_CHUYEN</v>
      </c>
      <c r="E158" s="2" t="str"/>
      <c r="F158" s="2" t="str"/>
      <c r="G158" s="2" t="str"/>
      <c r="H158" s="19" t="n">
        <v>400000</v>
      </c>
      <c r="I158" s="20" t="str">
        <v>khách hàng tự  trả tiền vận chuyển客户自行支付运输费</v>
      </c>
      <c r="J158" s="20" t="str">
        <v>Chuẩn hóa VND; gốc 400000; phần lẻ 0.000000000000 đ</v>
      </c>
      <c r="K158" s="20" t="str">
        <v>2.xlsx | 订单!1398</v>
      </c>
      <c r="L158" s="20" t="str"/>
    </row>
    <row r="159" ht="48" customHeight="1">
      <c r="A159" s="2" t="str">
        <v>S2-01473-BH</v>
      </c>
      <c r="B159" s="2" t="str">
        <v>KH024</v>
      </c>
      <c r="C159" s="2" t="str">
        <v>2026-08-28</v>
      </c>
      <c r="D159" s="2" t="str">
        <v>BAN_HANG</v>
      </c>
      <c r="E159" s="2" t="str">
        <v>BH2026080035</v>
      </c>
      <c r="F159" s="2" t="str">
        <v>00000304</v>
      </c>
      <c r="G159" s="2" t="str"/>
      <c r="H159" s="19" t="n">
        <v>12000000</v>
      </c>
      <c r="I159" s="20" t="str">
        <v>xuất bán CÔNG TY TNHH ĐỒ GIA DỤNG MINH TRÍ-向明智家居用品有限责任公司销售产品</v>
      </c>
      <c r="J159" s="20" t="str">
        <v>Chuẩn hóa VND; gốc 11999999.88; phần lẻ 0.120000000000 đ</v>
      </c>
      <c r="K159" s="20" t="str">
        <v>2.xlsx | 订单!1473</v>
      </c>
      <c r="L159" s="20" t="str"/>
    </row>
    <row r="160" ht="48" customHeight="1">
      <c r="A160" s="2" t="str">
        <v>S2-01660-BH</v>
      </c>
      <c r="B160" s="2" t="str">
        <v>KH024</v>
      </c>
      <c r="C160" s="2" t="str">
        <v>2026-09-10</v>
      </c>
      <c r="D160" s="2" t="str">
        <v>BAN_HANG</v>
      </c>
      <c r="E160" s="2" t="str">
        <v>BH2026090058</v>
      </c>
      <c r="F160" s="2" t="str">
        <v>00000304</v>
      </c>
      <c r="G160" s="2" t="str"/>
      <c r="H160" s="19" t="n">
        <v>14550000</v>
      </c>
      <c r="I160" s="20" t="str">
        <v>xuất bán CÔNG TY TNHH ĐỒ GIA DỤNG MINH TRÍ-向明智家居用品有限责任公司销售产品</v>
      </c>
      <c r="J160" s="20" t="str">
        <v>Chuẩn hóa VND; gốc 14549999.976; phần lẻ 0.024000000000 đ</v>
      </c>
      <c r="K160" s="20" t="str">
        <v>2.xlsx | 订单!1660-1661</v>
      </c>
      <c r="L160" s="20" t="str"/>
    </row>
    <row r="161" ht="48" customHeight="1">
      <c r="A161" s="2" t="str">
        <v>S2-01692-VC</v>
      </c>
      <c r="B161" s="2" t="str">
        <v>KH024</v>
      </c>
      <c r="C161" s="2" t="str">
        <v>2026-09-14</v>
      </c>
      <c r="D161" s="2" t="str">
        <v>PHI_VAN_CHUYEN</v>
      </c>
      <c r="E161" s="2" t="str"/>
      <c r="F161" s="2" t="str"/>
      <c r="G161" s="2" t="str"/>
      <c r="H161" s="19" t="n">
        <v>300000</v>
      </c>
      <c r="I161" s="20" t="str">
        <v>khách hàng tự  trả tiền vận chuyển客户自行支付运输费</v>
      </c>
      <c r="J161" s="20" t="str">
        <v>Chuẩn hóa VND; gốc 300000; phần lẻ 0.000000000000 đ</v>
      </c>
      <c r="K161" s="20" t="str">
        <v>2.xlsx | 订单!1692</v>
      </c>
      <c r="L161" s="21" t="str">
        <v>Ngày ghi sổ trống — dùng ngày có căn cứ: 2.xlsx | Minh Trí!C85: dòng cước duy nhất cùng số tiền</v>
      </c>
    </row>
    <row r="162" ht="48" customHeight="1">
      <c r="A162" s="2" t="str">
        <v>S2-01721-BH</v>
      </c>
      <c r="B162" s="2" t="str">
        <v>KH024</v>
      </c>
      <c r="C162" s="2" t="str">
        <v>2026-09-14</v>
      </c>
      <c r="D162" s="2" t="str">
        <v>BAN_HANG</v>
      </c>
      <c r="E162" s="2" t="str">
        <v>BH2026090069</v>
      </c>
      <c r="F162" s="2" t="str">
        <v>00000296</v>
      </c>
      <c r="G162" s="2" t="str"/>
      <c r="H162" s="19" t="n">
        <v>20760000</v>
      </c>
      <c r="I162" s="20" t="str">
        <v>xuất bán CÔNG TY TNHH ĐỒ GIA DỤNG MINH TRÍ-向明智家居用品有限责任公司销售产品</v>
      </c>
      <c r="J162" s="20" t="str">
        <v>Chuẩn hóa VND; gốc 20759999.9328; phần lẻ 0.067200000000 đ</v>
      </c>
      <c r="K162" s="20" t="str">
        <v>2.xlsx | 订单!1721-1722</v>
      </c>
      <c r="L162" s="20" t="str"/>
    </row>
    <row r="163" ht="48" customHeight="1">
      <c r="A163" s="2" t="str">
        <v>S2-01724-VC</v>
      </c>
      <c r="B163" s="2" t="str">
        <v>KH024</v>
      </c>
      <c r="C163" s="2" t="str">
        <v>2026-09-14</v>
      </c>
      <c r="D163" s="2" t="str">
        <v>PHI_VAN_CHUYEN</v>
      </c>
      <c r="E163" s="2" t="str"/>
      <c r="F163" s="2" t="str"/>
      <c r="G163" s="2" t="str"/>
      <c r="H163" s="19" t="n">
        <v>350000</v>
      </c>
      <c r="I163" s="20" t="str">
        <v>khách hàng tự  trả tiền vận chuyển客户自行支付运输费</v>
      </c>
      <c r="J163" s="20" t="str">
        <v>Chuẩn hóa VND; gốc 350000; phần lẻ 0.000000000000 đ</v>
      </c>
      <c r="K163" s="20" t="str">
        <v>2.xlsx | 订单!1724</v>
      </c>
      <c r="L163" s="20" t="str"/>
    </row>
    <row r="164" ht="48" customHeight="1">
      <c r="A164" s="2" t="str">
        <v>S2-01804-BH</v>
      </c>
      <c r="B164" s="2" t="str">
        <v>KH024</v>
      </c>
      <c r="C164" s="2" t="str">
        <v>2026-09-17</v>
      </c>
      <c r="D164" s="2" t="str">
        <v>BAN_HANG</v>
      </c>
      <c r="E164" s="2" t="str">
        <v>BH2026090076</v>
      </c>
      <c r="F164" s="2" t="str"/>
      <c r="G164" s="2" t="str"/>
      <c r="H164" s="19" t="n">
        <v>37750000</v>
      </c>
      <c r="I164" s="20" t="str">
        <v>xuất bán CÔNG TY TNHH ĐỒ GIA DỤNG MINH TRÍ-向明智家居用品有限责任公司销售产品</v>
      </c>
      <c r="J164" s="20" t="str">
        <v>Chuẩn hóa VND; gốc 37749999.996; phần lẻ 0.004000000000 đ</v>
      </c>
      <c r="K164" s="20" t="str">
        <v>2.xlsx | 订单!1804-1806</v>
      </c>
      <c r="L164" s="20" t="str"/>
    </row>
    <row r="165" ht="48" customHeight="1">
      <c r="A165" s="2" t="str">
        <v>S2-01823-TT</v>
      </c>
      <c r="B165" s="2" t="str">
        <v>KH024</v>
      </c>
      <c r="C165" s="2" t="str">
        <v>2026-09-21</v>
      </c>
      <c r="D165" s="2" t="str">
        <v>THU_TIEN</v>
      </c>
      <c r="E165" s="2" t="str"/>
      <c r="F165" s="2" t="str"/>
      <c r="G165" s="2" t="str"/>
      <c r="H165" s="19" t="n">
        <v>50000000</v>
      </c>
      <c r="I165" s="20" t="str">
        <v>Thu tiền khách hàng Chuyển khoản ngân hàng货款通过银行转账</v>
      </c>
      <c r="J165" s="20" t="str">
        <v>Chuẩn hóa VND; gốc 50000000; phần lẻ 0.000000000000 đ</v>
      </c>
      <c r="K165" s="20" t="str">
        <v>2.xlsx | 订单!1823</v>
      </c>
      <c r="L165" s="20" t="str"/>
    </row>
    <row r="166" ht="48" customHeight="1">
      <c r="A166" s="2" t="str">
        <v>S2-01824-VC</v>
      </c>
      <c r="B166" s="2" t="str">
        <v>KH024</v>
      </c>
      <c r="C166" s="2" t="str">
        <v>2026-09-21</v>
      </c>
      <c r="D166" s="2" t="str">
        <v>PHI_VAN_CHUYEN</v>
      </c>
      <c r="E166" s="2" t="str"/>
      <c r="F166" s="2" t="str"/>
      <c r="G166" s="2" t="str"/>
      <c r="H166" s="19" t="n">
        <v>500000</v>
      </c>
      <c r="I166" s="20" t="str">
        <v>khách hàng tự  trả tiền vận chuyển客户自行支付运输费</v>
      </c>
      <c r="J166" s="20" t="str">
        <v>Chuẩn hóa VND; gốc 500000; phần lẻ 0.000000000000 đ</v>
      </c>
      <c r="K166" s="20" t="str">
        <v>2.xlsx | 订单!1824</v>
      </c>
      <c r="L166" s="20" t="str"/>
    </row>
    <row r="167" ht="48" customHeight="1">
      <c r="A167" s="25" t="str">
        <v>S2-02122-BH</v>
      </c>
      <c r="B167" s="25" t="str">
        <v>KH024</v>
      </c>
      <c r="C167" s="25" t="str">
        <v>2026-10-14</v>
      </c>
      <c r="D167" s="25" t="str">
        <v>BAN_HANG</v>
      </c>
      <c r="E167" s="25" t="str">
        <v>BH2026100130</v>
      </c>
      <c r="F167" s="25" t="str">
        <v>00000346</v>
      </c>
      <c r="G167" s="25" t="str">
        <v>BH2026100130</v>
      </c>
      <c r="H167" s="26" t="n">
        <v>34449999.89</v>
      </c>
      <c r="I167" s="27" t="str">
        <v>xuất bán CÔNG TY TNHH ĐỒ GIA DỤNG MINH TRÍ-向明智家居用品有限责任公司销售产品</v>
      </c>
      <c r="J167" s="27" t="str">
        <v>ĐÃ CÓ ERP — bỏ qua dòng này; giữ chứng từ ERP</v>
      </c>
      <c r="K167" s="27" t="str">
        <v>2.xlsx | 订单!2122-2125</v>
      </c>
      <c r="L167" s="27" t="str"/>
    </row>
    <row r="168" ht="48" customHeight="1">
      <c r="A168" s="2" t="str">
        <v>S2-02211-VC</v>
      </c>
      <c r="B168" s="2" t="str">
        <v>KH024</v>
      </c>
      <c r="C168" s="2" t="str">
        <v>2026-10-16</v>
      </c>
      <c r="D168" s="2" t="str">
        <v>PHI_VAN_CHUYEN</v>
      </c>
      <c r="E168" s="2" t="str"/>
      <c r="F168" s="2" t="str"/>
      <c r="G168" s="2" t="str"/>
      <c r="H168" s="19" t="n">
        <v>500000</v>
      </c>
      <c r="I168" s="20" t="str">
        <v>khách hàng tự  trả tiền vận chuyển客户自行支付运输费</v>
      </c>
      <c r="J168" s="20" t="str">
        <v>Chuẩn hóa VND; gốc 500000; phần lẻ 0.000000000000 đ</v>
      </c>
      <c r="K168" s="20" t="str">
        <v>2.xlsx | 订单!2211</v>
      </c>
      <c r="L168" s="20" t="str"/>
    </row>
    <row r="169" ht="48" customHeight="1">
      <c r="A169" s="2" t="str">
        <v>S2-02213-TT</v>
      </c>
      <c r="B169" s="2" t="str">
        <v>KH024</v>
      </c>
      <c r="C169" s="2" t="str">
        <v>2026-10-16</v>
      </c>
      <c r="D169" s="2" t="str">
        <v>THU_TIEN</v>
      </c>
      <c r="E169" s="2" t="str"/>
      <c r="F169" s="2" t="str"/>
      <c r="G169" s="2" t="str"/>
      <c r="H169" s="19" t="n">
        <v>90000000</v>
      </c>
      <c r="I169" s="20" t="str">
        <v>Thu tiền khách hàng Chuyển khoản ngân hàng货款通过银行转账</v>
      </c>
      <c r="J169" s="20" t="str">
        <v>Chuẩn hóa VND; gốc 90000000; phần lẻ 0.000000000000 đ</v>
      </c>
      <c r="K169" s="20" t="str">
        <v>2.xlsx | 订单!2213</v>
      </c>
      <c r="L169" s="20" t="str"/>
    </row>
    <row r="170" ht="48" customHeight="1">
      <c r="A170" s="2" t="str">
        <v>S2-01736-BH</v>
      </c>
      <c r="B170" s="2" t="str">
        <v>KH025</v>
      </c>
      <c r="C170" s="2" t="str">
        <v>2026-09-14</v>
      </c>
      <c r="D170" s="2" t="str">
        <v>BAN_HANG</v>
      </c>
      <c r="E170" s="2" t="str">
        <v>BH2026090072</v>
      </c>
      <c r="F170" s="2" t="str">
        <v>00000310</v>
      </c>
      <c r="G170" s="2" t="str"/>
      <c r="H170" s="19" t="n">
        <v>4680000</v>
      </c>
      <c r="I170" s="20" t="str">
        <v>xuất bán cho CÔNG TY TNHH GIA DỤNG YẾN NGUYỄN</v>
      </c>
      <c r="J170" s="20" t="str">
        <v>Chuẩn hóa VND; gốc 4679999.9856; phần lẻ 0.014400000000 đ</v>
      </c>
      <c r="K170" s="20" t="str">
        <v>2.xlsx | 订单!1736</v>
      </c>
      <c r="L170" s="20" t="str"/>
    </row>
    <row r="171" ht="48" customHeight="1">
      <c r="A171" s="2" t="str">
        <v>S2-01102-TT</v>
      </c>
      <c r="B171" s="2" t="str">
        <v>KH028</v>
      </c>
      <c r="C171" s="2" t="str">
        <v>2026-08-10</v>
      </c>
      <c r="D171" s="2" t="str">
        <v>THU_TIEN</v>
      </c>
      <c r="E171" s="2" t="str">
        <v>PT00166</v>
      </c>
      <c r="F171" s="2" t="str"/>
      <c r="G171" s="2" t="str"/>
      <c r="H171" s="19" t="n">
        <v>2520000</v>
      </c>
      <c r="I171" s="20" t="str">
        <v>Thu tiền mặt của khách hàng 收取客户现金</v>
      </c>
      <c r="J171" s="20" t="str">
        <v>Chuẩn hóa VND; gốc 2520000; phần lẻ 0.000000000000 đ</v>
      </c>
      <c r="K171" s="20" t="str">
        <v>2.xlsx | 订单!1102</v>
      </c>
      <c r="L171" s="20" t="str"/>
    </row>
    <row r="172" ht="48" customHeight="1">
      <c r="A172" s="2" t="str">
        <v>S2-01396-BH</v>
      </c>
      <c r="B172" s="2" t="str">
        <v>KH029</v>
      </c>
      <c r="C172" s="2" t="str">
        <v>2026-08-26</v>
      </c>
      <c r="D172" s="2" t="str">
        <v>BAN_HANG</v>
      </c>
      <c r="E172" s="2" t="str">
        <v>BH2026080027</v>
      </c>
      <c r="F172" s="2" t="str"/>
      <c r="G172" s="2" t="str"/>
      <c r="H172" s="19" t="n">
        <v>120000</v>
      </c>
      <c r="I172" s="20" t="str">
        <v>Xuất bán cho Hồ Thế Anh胡世英销售产品</v>
      </c>
      <c r="J172" s="20" t="str">
        <v>Chuẩn hóa VND; gốc 119999.9988; phần lẻ 0.001200000000 đ</v>
      </c>
      <c r="K172" s="20" t="str">
        <v>2.xlsx | 订单!1396</v>
      </c>
      <c r="L172" s="20" t="str"/>
    </row>
    <row r="173" ht="48" customHeight="1">
      <c r="A173" s="2" t="str">
        <v>S2-01439-TT</v>
      </c>
      <c r="B173" s="2" t="str">
        <v>KH029</v>
      </c>
      <c r="C173" s="2" t="str">
        <v>2026-08-28</v>
      </c>
      <c r="D173" s="2" t="str">
        <v>THU_TIEN</v>
      </c>
      <c r="E173" s="2" t="str"/>
      <c r="F173" s="2" t="str"/>
      <c r="G173" s="2" t="str"/>
      <c r="H173" s="19" t="n">
        <v>120000</v>
      </c>
      <c r="I173" s="20" t="str">
        <v>Thu tiền mặt của khách hàng 收取客户现金</v>
      </c>
      <c r="J173" s="20" t="str">
        <v>Chuẩn hóa VND; gốc 120000; phần lẻ 0.000000000000 đ</v>
      </c>
      <c r="K173" s="20" t="str">
        <v>2.xlsx | 订单!1439</v>
      </c>
      <c r="L173" s="20" t="str"/>
    </row>
    <row r="174" ht="48" customHeight="1">
      <c r="A174" s="2" t="str">
        <v>S2-01612-BH</v>
      </c>
      <c r="B174" s="2" t="str">
        <v>KH029</v>
      </c>
      <c r="C174" s="2" t="str">
        <v>2026-09-09</v>
      </c>
      <c r="D174" s="2" t="str">
        <v>BAN_HANG</v>
      </c>
      <c r="E174" s="2" t="str">
        <v>BH2026090051</v>
      </c>
      <c r="F174" s="2" t="str"/>
      <c r="G174" s="2" t="str"/>
      <c r="H174" s="19" t="n">
        <v>240000</v>
      </c>
      <c r="I174" s="20" t="str">
        <v>Xuất bán cho Hồ Thế Anh胡世英销售产品</v>
      </c>
      <c r="J174" s="20" t="str">
        <v>Chuẩn hóa VND; gốc 239999.9976; phần lẻ 0.002400000000 đ</v>
      </c>
      <c r="K174" s="20" t="str">
        <v>2.xlsx | 订单!1612</v>
      </c>
      <c r="L174" s="20" t="str"/>
    </row>
    <row r="175" ht="48" customHeight="1">
      <c r="A175" s="2" t="str">
        <v>S2-00160-VC</v>
      </c>
      <c r="B175" s="2" t="str">
        <v>KH034</v>
      </c>
      <c r="C175" s="2" t="str">
        <v>2026-01-11</v>
      </c>
      <c r="D175" s="2" t="str">
        <v>PHI_VAN_CHUYEN</v>
      </c>
      <c r="E175" s="2" t="str"/>
      <c r="F175" s="2" t="str"/>
      <c r="G175" s="2" t="str"/>
      <c r="H175" s="19" t="n">
        <v>1950000</v>
      </c>
      <c r="I175" s="20" t="str">
        <v>npp thanh toán cước 122 thùng hàng về ngày 11/1</v>
      </c>
      <c r="J175" s="20" t="str">
        <v>Chuẩn hóa VND; gốc 1950000; phần lẻ 0.000000000000 đ</v>
      </c>
      <c r="K175" s="20" t="str">
        <v>2.xlsx | 订单!160</v>
      </c>
      <c r="L175" s="20" t="str"/>
    </row>
    <row r="176" ht="48" customHeight="1">
      <c r="A176" s="2" t="str">
        <v>S2-00161-BH</v>
      </c>
      <c r="B176" s="2" t="str">
        <v>KH034</v>
      </c>
      <c r="C176" s="2" t="str">
        <v>2026-01-13</v>
      </c>
      <c r="D176" s="2" t="str">
        <v>BAN_HANG</v>
      </c>
      <c r="E176" s="2" t="str"/>
      <c r="F176" s="2" t="str">
        <v>00000015</v>
      </c>
      <c r="G176" s="2" t="str"/>
      <c r="H176" s="19" t="n">
        <v>144523997</v>
      </c>
      <c r="I176" s="20" t="str">
        <v>xuất bán CÔNG TY TNHH THƯƠNG MẠI 319 ĐÔNG ANH向东英319贸易有限责任公司销售产品</v>
      </c>
      <c r="J176" s="20" t="str">
        <v>Chuẩn hóa VND; gốc 144524000.9088; phần lẻ -3.908800000000 đ</v>
      </c>
      <c r="K176" s="20" t="str">
        <v>2.xlsx | 订单!161-182</v>
      </c>
      <c r="L176" s="20" t="str"/>
    </row>
    <row r="177" ht="48" customHeight="1">
      <c r="A177" s="2" t="str">
        <v>S2-00183-BH</v>
      </c>
      <c r="B177" s="2" t="str">
        <v>KH034</v>
      </c>
      <c r="C177" s="2" t="str">
        <v>2026-01-13</v>
      </c>
      <c r="D177" s="2" t="str">
        <v>BAN_HANG</v>
      </c>
      <c r="E177" s="2" t="str"/>
      <c r="F177" s="2" t="str">
        <v>00000026</v>
      </c>
      <c r="G177" s="2" t="str"/>
      <c r="H177" s="19" t="n">
        <v>32380000</v>
      </c>
      <c r="I177" s="20" t="str">
        <v>xuất bán CÔNG TY TNHH THƯƠNG MẠI 319 ĐÔNG ANH向东英319贸易有限责任公司销售产品</v>
      </c>
      <c r="J177" s="20" t="str">
        <v>Chuẩn hóa VND; gốc 32379999.4368; phần lẻ 0.563200000000 đ</v>
      </c>
      <c r="K177" s="20" t="str">
        <v>2.xlsx | 订单!183-187</v>
      </c>
      <c r="L177" s="20" t="str"/>
    </row>
    <row r="178" ht="48" customHeight="1">
      <c r="A178" s="2" t="str">
        <v>S2-00188-BH</v>
      </c>
      <c r="B178" s="2" t="str">
        <v>KH034</v>
      </c>
      <c r="C178" s="2" t="str">
        <v>2026-01-13</v>
      </c>
      <c r="D178" s="2" t="str">
        <v>BAN_HANG</v>
      </c>
      <c r="E178" s="2" t="str"/>
      <c r="F178" s="2" t="str">
        <v>00000048</v>
      </c>
      <c r="G178" s="2" t="str"/>
      <c r="H178" s="19" t="n">
        <v>42783994</v>
      </c>
      <c r="I178" s="20" t="str">
        <v>xuất bán CÔNG TY TNHH THƯƠNG MẠI 319 ĐÔNG ANH向东英319贸易有限责任公司销售产品</v>
      </c>
      <c r="J178" s="20" t="str">
        <v>Chuẩn hóa VND; gốc 42783993.3744; phần lẻ 0.625600000000 đ</v>
      </c>
      <c r="K178" s="20" t="str">
        <v>2.xlsx | 订单!188-193</v>
      </c>
      <c r="L178" s="20" t="str"/>
    </row>
    <row r="179" ht="48" customHeight="1">
      <c r="A179" s="2" t="str">
        <v>S2-00194-BH</v>
      </c>
      <c r="B179" s="2" t="str">
        <v>KH034</v>
      </c>
      <c r="C179" s="2" t="str">
        <v>2026-01-13</v>
      </c>
      <c r="D179" s="2" t="str">
        <v>BAN_HANG</v>
      </c>
      <c r="E179" s="2" t="str"/>
      <c r="F179" s="2" t="str">
        <v>00000078</v>
      </c>
      <c r="G179" s="2" t="str"/>
      <c r="H179" s="19" t="n">
        <v>23688000</v>
      </c>
      <c r="I179" s="20" t="str">
        <v>xuất bán CÔNG TY TNHH THƯƠNG MẠI 319 ĐÔNG ANH向东英319贸易有限责任公司销售产品</v>
      </c>
      <c r="J179" s="20" t="str">
        <v>Chuẩn hóa VND; gốc 23688000.6768; phần lẻ -0.676800000000 đ</v>
      </c>
      <c r="K179" s="20" t="str">
        <v>2.xlsx | 订单!194-199</v>
      </c>
      <c r="L179" s="20" t="str"/>
    </row>
    <row r="180" ht="48" customHeight="1">
      <c r="A180" s="2" t="str">
        <v>S2-00200-BH</v>
      </c>
      <c r="B180" s="2" t="str">
        <v>KH034</v>
      </c>
      <c r="C180" s="2" t="str">
        <v>2026-01-13</v>
      </c>
      <c r="D180" s="2" t="str">
        <v>BAN_HANG</v>
      </c>
      <c r="E180" s="2" t="str"/>
      <c r="F180" s="2" t="str"/>
      <c r="G180" s="2" t="str"/>
      <c r="H180" s="19" t="n">
        <v>10980000</v>
      </c>
      <c r="I180" s="20" t="str">
        <v>xuất bán CÔNG TY TNHH THƯƠNG MẠI 319 ĐÔNG ANH向东英319贸易有限责任公司销售产品</v>
      </c>
      <c r="J180" s="20" t="str">
        <v>Chuẩn hóa VND; gốc 10980000.36; phần lẻ -0.360000000000 đ</v>
      </c>
      <c r="K180" s="20" t="str">
        <v>2.xlsx | 订单!200</v>
      </c>
      <c r="L180" s="20" t="str"/>
    </row>
    <row r="181" ht="48" customHeight="1">
      <c r="A181" s="2" t="str">
        <v>S2-00201-BH</v>
      </c>
      <c r="B181" s="2" t="str">
        <v>KH034</v>
      </c>
      <c r="C181" s="2" t="str">
        <v>2026-01-13</v>
      </c>
      <c r="D181" s="2" t="str">
        <v>BAN_HANG</v>
      </c>
      <c r="E181" s="2" t="str"/>
      <c r="F181" s="2" t="str">
        <v>00000116</v>
      </c>
      <c r="G181" s="2" t="str"/>
      <c r="H181" s="19" t="n">
        <v>25583994</v>
      </c>
      <c r="I181" s="20" t="str">
        <v>xuất bán CÔNG TY TNHH THƯƠNG MẠI 319 ĐÔNG ANH向东英319贸易有限责任公司销售产品</v>
      </c>
      <c r="J181" s="20" t="str">
        <v>Chuẩn hóa VND; gốc 25583993.208; phần lẻ 0.792000000000 đ</v>
      </c>
      <c r="K181" s="20" t="str">
        <v>2.xlsx | 订单!201-204</v>
      </c>
      <c r="L181" s="20" t="str"/>
    </row>
    <row r="182" ht="48" customHeight="1">
      <c r="A182" s="2" t="str">
        <v>S2-00206-BH</v>
      </c>
      <c r="B182" s="2" t="str">
        <v>KH034</v>
      </c>
      <c r="C182" s="2" t="str">
        <v>2026-01-15</v>
      </c>
      <c r="D182" s="2" t="str">
        <v>BAN_HANG</v>
      </c>
      <c r="E182" s="2" t="str"/>
      <c r="F182" s="2" t="str">
        <v>00000018</v>
      </c>
      <c r="G182" s="2" t="str"/>
      <c r="H182" s="19" t="n">
        <v>57090000</v>
      </c>
      <c r="I182" s="20" t="str">
        <v>xuất bán CÔNG TY TNHH THƯƠNG MẠI 319 ĐÔNG ANH向东英319贸易有限责任公司销售产品</v>
      </c>
      <c r="J182" s="20" t="str">
        <v>Chuẩn hóa VND; gốc 57090000.096; phần lẻ -0.096000000000 đ</v>
      </c>
      <c r="K182" s="20" t="str">
        <v>2.xlsx | 订单!206-207</v>
      </c>
      <c r="L182" s="20" t="str"/>
    </row>
    <row r="183" ht="48" customHeight="1">
      <c r="A183" s="2" t="str">
        <v>S2-00208-VC</v>
      </c>
      <c r="B183" s="2" t="str">
        <v>KH034</v>
      </c>
      <c r="C183" s="2" t="str">
        <v>2026-01-16</v>
      </c>
      <c r="D183" s="2" t="str">
        <v>PHI_VAN_CHUYEN</v>
      </c>
      <c r="E183" s="2" t="str"/>
      <c r="F183" s="2" t="str"/>
      <c r="G183" s="2" t="str"/>
      <c r="H183" s="19" t="n">
        <v>300000</v>
      </c>
      <c r="I183" s="20" t="str">
        <v>NPP thanh toán cước 10 thùng áp suất</v>
      </c>
      <c r="J183" s="20" t="str">
        <v>Chuẩn hóa VND; gốc 300000; phần lẻ 0.000000000000 đ</v>
      </c>
      <c r="K183" s="20" t="str">
        <v>2.xlsx | 订单!208</v>
      </c>
      <c r="L183" s="20" t="str"/>
    </row>
    <row r="184" ht="48" customHeight="1">
      <c r="A184" s="2" t="str">
        <v>S2-00209-BH</v>
      </c>
      <c r="B184" s="2" t="str">
        <v>KH034</v>
      </c>
      <c r="C184" s="2" t="str">
        <v>2026-01-30</v>
      </c>
      <c r="D184" s="2" t="str">
        <v>BAN_HANG</v>
      </c>
      <c r="E184" s="2" t="str"/>
      <c r="F184" s="2" t="str">
        <v>00000068</v>
      </c>
      <c r="G184" s="2" t="str"/>
      <c r="H184" s="19" t="n">
        <v>33600000</v>
      </c>
      <c r="I184" s="20" t="str">
        <v>xuất bán CÔNG TY TNHH THƯƠNG MẠI 319 ĐÔNG ANH向东英319贸易有限责任公司销售产品</v>
      </c>
      <c r="J184" s="20" t="str">
        <v>Chuẩn hóa VND; gốc 33599999.664; phần lẻ 0.336000000000 đ</v>
      </c>
      <c r="K184" s="20" t="str">
        <v>2.xlsx | 订单!209-210</v>
      </c>
      <c r="L184" s="20" t="str"/>
    </row>
    <row r="185" ht="48" customHeight="1">
      <c r="A185" s="2" t="str">
        <v>S2-00211-BH</v>
      </c>
      <c r="B185" s="2" t="str">
        <v>KH034</v>
      </c>
      <c r="C185" s="2" t="str">
        <v>2026-01-30</v>
      </c>
      <c r="D185" s="2" t="str">
        <v>BAN_HANG</v>
      </c>
      <c r="E185" s="2" t="str"/>
      <c r="F185" s="2" t="str">
        <v>00000101</v>
      </c>
      <c r="G185" s="2" t="str"/>
      <c r="H185" s="19" t="n">
        <v>9360000</v>
      </c>
      <c r="I185" s="20" t="str">
        <v>xuất bán CÔNG TY TNHH THƯƠNG MẠI 319 ĐÔNG ANH向东英319贸易有限责任公司销售产品</v>
      </c>
      <c r="J185" s="20" t="str">
        <v>Chuẩn hóa VND; gốc 9359999.9712; phần lẻ 0.028800000000 đ</v>
      </c>
      <c r="K185" s="20" t="str">
        <v>2.xlsx | 订单!211</v>
      </c>
      <c r="L185" s="20" t="str"/>
    </row>
    <row r="186" ht="48" customHeight="1">
      <c r="A186" s="2" t="str">
        <v>S2-00212-BH</v>
      </c>
      <c r="B186" s="2" t="str">
        <v>KH034</v>
      </c>
      <c r="C186" s="2" t="str">
        <v>2026-01-30</v>
      </c>
      <c r="D186" s="2" t="str">
        <v>BAN_HANG</v>
      </c>
      <c r="E186" s="2" t="str"/>
      <c r="F186" s="2" t="str">
        <v>00000116</v>
      </c>
      <c r="G186" s="2" t="str"/>
      <c r="H186" s="19" t="n">
        <v>41232000</v>
      </c>
      <c r="I186" s="20" t="str">
        <v>xuất bán CÔNG TY TNHH THƯƠNG MẠI 319 ĐÔNG ANH向东英319贸易有限责任公司销售产品</v>
      </c>
      <c r="J186" s="20" t="str">
        <v>Chuẩn hóa VND; gốc 41231999.8512; phần lẻ 0.148800000000 đ</v>
      </c>
      <c r="K186" s="20" t="str">
        <v>2.xlsx | 订单!212-215</v>
      </c>
      <c r="L186" s="20" t="str"/>
    </row>
    <row r="187" ht="48" customHeight="1">
      <c r="A187" s="2" t="str">
        <v>S2-00216-VC</v>
      </c>
      <c r="B187" s="2" t="str">
        <v>KH034</v>
      </c>
      <c r="C187" s="2" t="str">
        <v>2026-02-02</v>
      </c>
      <c r="D187" s="2" t="str">
        <v>PHI_VAN_CHUYEN</v>
      </c>
      <c r="E187" s="2" t="str"/>
      <c r="F187" s="2" t="str"/>
      <c r="G187" s="2" t="str"/>
      <c r="H187" s="19" t="n">
        <v>800000</v>
      </c>
      <c r="I187" s="20" t="str">
        <v>NPP thanh toán cước 28T hàng</v>
      </c>
      <c r="J187" s="20" t="str">
        <v>Chuẩn hóa VND; gốc 800000; phần lẻ 0.000000000000 đ</v>
      </c>
      <c r="K187" s="20" t="str">
        <v>2.xlsx | 订单!216</v>
      </c>
      <c r="L187" s="20" t="str"/>
    </row>
    <row r="188" ht="48" customHeight="1">
      <c r="A188" s="2" t="str">
        <v>S2-00217-TH</v>
      </c>
      <c r="B188" s="2" t="str">
        <v>KH034</v>
      </c>
      <c r="C188" s="2" t="str">
        <v>2026-02-10</v>
      </c>
      <c r="D188" s="2" t="str">
        <v>TRA_HANG</v>
      </c>
      <c r="E188" s="2" t="str"/>
      <c r="F188" s="2" t="str">
        <v>00000062</v>
      </c>
      <c r="G188" s="2" t="str"/>
      <c r="H188" s="19" t="n">
        <v>25583994</v>
      </c>
      <c r="I188" s="20" t="str">
        <v>Điều chỉnh HĐ 48</v>
      </c>
      <c r="J188" s="20" t="str">
        <v>Chuẩn hóa VND; gốc 25583993.208; phần lẻ 0.792000000000 đ</v>
      </c>
      <c r="K188" s="20" t="str">
        <v>2.xlsx | 订单!217-220</v>
      </c>
      <c r="L188" s="20" t="str"/>
    </row>
    <row r="189" ht="48" customHeight="1">
      <c r="A189" s="2" t="str">
        <v>S2-00221-TT</v>
      </c>
      <c r="B189" s="2" t="str">
        <v>KH034</v>
      </c>
      <c r="C189" s="2" t="str">
        <v>2026-02-11</v>
      </c>
      <c r="D189" s="2" t="str">
        <v>THU_TIEN</v>
      </c>
      <c r="E189" s="2" t="str"/>
      <c r="F189" s="2" t="str"/>
      <c r="G189" s="2" t="str"/>
      <c r="H189" s="19" t="n">
        <v>120000000</v>
      </c>
      <c r="I189" s="20" t="str">
        <v>Thu tiền khách hàng Chuyển khoản ngân hàng货款通过银行转账</v>
      </c>
      <c r="J189" s="20" t="str">
        <v>Chuẩn hóa VND; gốc 120000000; phần lẻ 0.000000000000 đ</v>
      </c>
      <c r="K189" s="20" t="str">
        <v>2.xlsx | 订单!221</v>
      </c>
      <c r="L189" s="20" t="str"/>
    </row>
    <row r="190" ht="48" customHeight="1">
      <c r="A190" s="2" t="str">
        <v>S2-00222-BH</v>
      </c>
      <c r="B190" s="2" t="str">
        <v>KH034</v>
      </c>
      <c r="C190" s="2" t="str">
        <v>2026-02-11</v>
      </c>
      <c r="D190" s="2" t="str">
        <v>BAN_HANG</v>
      </c>
      <c r="E190" s="2" t="str"/>
      <c r="F190" s="2" t="str">
        <v>00000074</v>
      </c>
      <c r="G190" s="2" t="str"/>
      <c r="H190" s="19" t="n">
        <v>17380001</v>
      </c>
      <c r="I190" s="20" t="str">
        <v>xuất bán CÔNG TY TNHH THƯƠNG MẠI 319 ĐÔNG ANH向东英319贸易有限责任公司销售产品</v>
      </c>
      <c r="J190" s="20" t="str">
        <v>Chuẩn hóa VND; gốc 17380000.872; phần lẻ 0.128000000000 đ</v>
      </c>
      <c r="K190" s="20" t="str">
        <v>2.xlsx | 订单!222-223</v>
      </c>
      <c r="L190" s="20" t="str"/>
    </row>
    <row r="191" ht="48" customHeight="1">
      <c r="A191" s="2" t="str">
        <v>S2-00224-VC</v>
      </c>
      <c r="B191" s="2" t="str">
        <v>KH034</v>
      </c>
      <c r="C191" s="2" t="str">
        <v>2026-02-11</v>
      </c>
      <c r="D191" s="2" t="str">
        <v>PHI_VAN_CHUYEN</v>
      </c>
      <c r="E191" s="2" t="str"/>
      <c r="F191" s="2" t="str"/>
      <c r="G191" s="2" t="str"/>
      <c r="H191" s="19" t="n">
        <v>320000</v>
      </c>
      <c r="I191" s="20" t="str">
        <v>NPP thanh toán cước xe</v>
      </c>
      <c r="J191" s="20" t="str">
        <v>Chuẩn hóa VND; gốc 320000; phần lẻ 0.000000000000 đ</v>
      </c>
      <c r="K191" s="20" t="str">
        <v>2.xlsx | 订单!224</v>
      </c>
      <c r="L191" s="20" t="str"/>
    </row>
    <row r="192" ht="48" customHeight="1">
      <c r="A192" s="2" t="str">
        <v>S2-00225-TT</v>
      </c>
      <c r="B192" s="2" t="str">
        <v>KH034</v>
      </c>
      <c r="C192" s="2" t="str">
        <v>2026-02-11</v>
      </c>
      <c r="D192" s="2" t="str">
        <v>THU_TIEN</v>
      </c>
      <c r="E192" s="2" t="str"/>
      <c r="F192" s="2" t="str"/>
      <c r="G192" s="2" t="str"/>
      <c r="H192" s="19" t="n">
        <v>80000000</v>
      </c>
      <c r="I192" s="20" t="str">
        <v>Thu tiền khách hàng Chuyển khoản ngân hàng货款通过银行转账</v>
      </c>
      <c r="J192" s="20" t="str">
        <v>Chuẩn hóa VND; gốc 80000000; phần lẻ 0.000000000000 đ</v>
      </c>
      <c r="K192" s="20" t="str">
        <v>2.xlsx | 订单!225</v>
      </c>
      <c r="L192" s="21" t="str">
        <v>Dòng không có ngày ghi sổ — tạm lấy ngày dòng trước 2026-02-11</v>
      </c>
    </row>
    <row r="193" ht="48" customHeight="1">
      <c r="A193" s="2" t="str">
        <v>S2-00226-BH</v>
      </c>
      <c r="B193" s="2" t="str">
        <v>KH034</v>
      </c>
      <c r="C193" s="2" t="str">
        <v>2026-03-16</v>
      </c>
      <c r="D193" s="2" t="str">
        <v>BAN_HANG</v>
      </c>
      <c r="E193" s="2" t="str"/>
      <c r="F193" s="2" t="str">
        <v>00000101</v>
      </c>
      <c r="G193" s="2" t="str"/>
      <c r="H193" s="19" t="n">
        <v>21840000</v>
      </c>
      <c r="I193" s="20" t="str">
        <v>xuất bán CÔNG TY TNHH THƯƠNG MẠI 319 ĐÔNG ANH向东英319贸易有限责任公司销售产品</v>
      </c>
      <c r="J193" s="20" t="str">
        <v>Chuẩn hóa VND; gốc 21839999.9328; phần lẻ 0.067200000000 đ</v>
      </c>
      <c r="K193" s="20" t="str">
        <v>2.xlsx | 订单!226</v>
      </c>
      <c r="L193" s="20" t="str"/>
    </row>
    <row r="194" ht="48" customHeight="1">
      <c r="A194" s="2" t="str">
        <v>S2-00227-VC</v>
      </c>
      <c r="B194" s="2" t="str">
        <v>KH034</v>
      </c>
      <c r="C194" s="2" t="str">
        <v>2026-03-16</v>
      </c>
      <c r="D194" s="2" t="str">
        <v>PHI_VAN_CHUYEN</v>
      </c>
      <c r="E194" s="2" t="str"/>
      <c r="F194" s="2" t="str"/>
      <c r="G194" s="2" t="str"/>
      <c r="H194" s="19" t="n">
        <v>360000</v>
      </c>
      <c r="I194" s="20" t="str">
        <v>NPP thanh toán cước 9T hàng</v>
      </c>
      <c r="J194" s="20" t="str">
        <v>Chuẩn hóa VND; gốc 360000; phần lẻ 0.000000000000 đ</v>
      </c>
      <c r="K194" s="20" t="str">
        <v>2.xlsx | 订单!227</v>
      </c>
      <c r="L194" s="20" t="str"/>
    </row>
    <row r="195" ht="48" customHeight="1">
      <c r="A195" s="2" t="str">
        <v>S2-00228-BH</v>
      </c>
      <c r="B195" s="2" t="str">
        <v>KH034</v>
      </c>
      <c r="C195" s="2" t="str">
        <v>2026-06-18</v>
      </c>
      <c r="D195" s="2" t="str">
        <v>BAN_HANG</v>
      </c>
      <c r="E195" s="2" t="str"/>
      <c r="F195" s="2" t="str"/>
      <c r="G195" s="2" t="str"/>
      <c r="H195" s="19" t="n">
        <v>54800000</v>
      </c>
      <c r="I195" s="20" t="str">
        <v>xuất bán CÔNG TY TNHH THƯƠNG MẠI 319 ĐÔNG ANH向东英319贸易有限责任公司销售产品</v>
      </c>
      <c r="J195" s="20" t="str">
        <v>Chuẩn hóa VND; gốc 54799999.848; phần lẻ 0.152000000000 đ</v>
      </c>
      <c r="K195" s="20" t="str">
        <v>2.xlsx | 订单!228-229</v>
      </c>
      <c r="L195" s="20" t="str"/>
    </row>
    <row r="196" ht="48" customHeight="1">
      <c r="A196" s="2" t="str">
        <v>S2-00230-VC</v>
      </c>
      <c r="B196" s="2" t="str">
        <v>KH034</v>
      </c>
      <c r="C196" s="2" t="str">
        <v>2026-06-20</v>
      </c>
      <c r="D196" s="2" t="str">
        <v>PHI_VAN_CHUYEN</v>
      </c>
      <c r="E196" s="2" t="str"/>
      <c r="F196" s="2" t="str"/>
      <c r="G196" s="2" t="str"/>
      <c r="H196" s="19" t="n">
        <v>600000</v>
      </c>
      <c r="I196" s="20" t="str">
        <v>NPP thanh toán cước xe</v>
      </c>
      <c r="J196" s="20" t="str">
        <v>Chuẩn hóa VND; gốc 600000; phần lẻ 0.000000000000 đ</v>
      </c>
      <c r="K196" s="20" t="str">
        <v>2.xlsx | 订单!230</v>
      </c>
      <c r="L196" s="20" t="str"/>
    </row>
    <row r="197" ht="48" customHeight="1">
      <c r="A197" s="2" t="str">
        <v>S2-00231-TT</v>
      </c>
      <c r="B197" s="2" t="str">
        <v>KH034</v>
      </c>
      <c r="C197" s="2" t="str">
        <v>2026-06-29</v>
      </c>
      <c r="D197" s="2" t="str">
        <v>THU_TIEN</v>
      </c>
      <c r="E197" s="2" t="str"/>
      <c r="F197" s="2" t="str"/>
      <c r="G197" s="2" t="str"/>
      <c r="H197" s="19" t="n">
        <v>50000000</v>
      </c>
      <c r="I197" s="20" t="str">
        <v>Thu tiền khách hàng Chuyển khoản ngân hàng货款通过银行转账</v>
      </c>
      <c r="J197" s="20" t="str">
        <v>Chuẩn hóa VND; gốc 50000000; phần lẻ 0.000000000000 đ</v>
      </c>
      <c r="K197" s="20" t="str">
        <v>2.xlsx | 订单!231</v>
      </c>
      <c r="L197" s="20" t="str"/>
    </row>
    <row r="198" ht="48" customHeight="1">
      <c r="A198" s="2" t="str">
        <v>S2-00232-BH</v>
      </c>
      <c r="B198" s="2" t="str">
        <v>KH034</v>
      </c>
      <c r="C198" s="2" t="str">
        <v>2026-06-29</v>
      </c>
      <c r="D198" s="2" t="str">
        <v>BAN_HANG</v>
      </c>
      <c r="E198" s="2" t="str"/>
      <c r="F198" s="2" t="str">
        <v>00000213</v>
      </c>
      <c r="G198" s="2" t="str"/>
      <c r="H198" s="19" t="n">
        <v>63600000</v>
      </c>
      <c r="I198" s="20" t="str">
        <v>xuất bán CÔNG TY TNHH THƯƠNG MẠI 319 ĐÔNG ANH向东英319贸易有限责任公司销售产品</v>
      </c>
      <c r="J198" s="20" t="str">
        <v>Chuẩn hóa VND; gốc 63599999.9904; phần lẻ 0.009600000000 đ</v>
      </c>
      <c r="K198" s="20" t="str">
        <v>2.xlsx | 订单!232-236</v>
      </c>
      <c r="L198" s="20" t="str"/>
    </row>
    <row r="199" ht="48" customHeight="1">
      <c r="A199" s="2" t="str">
        <v>S2-00237-VC</v>
      </c>
      <c r="B199" s="2" t="str">
        <v>KH034</v>
      </c>
      <c r="C199" s="2" t="str">
        <v>2026-06-30</v>
      </c>
      <c r="D199" s="2" t="str">
        <v>PHI_VAN_CHUYEN</v>
      </c>
      <c r="E199" s="2" t="str"/>
      <c r="F199" s="2" t="str"/>
      <c r="G199" s="2" t="str"/>
      <c r="H199" s="19" t="n">
        <v>360000</v>
      </c>
      <c r="I199" s="20" t="str">
        <v>NPP thanh toán cước xe</v>
      </c>
      <c r="J199" s="20" t="str">
        <v>Chuẩn hóa VND; gốc 360000; phần lẻ 0.000000000000 đ</v>
      </c>
      <c r="K199" s="20" t="str">
        <v>2.xlsx | 订单!237</v>
      </c>
      <c r="L199" s="20" t="str"/>
    </row>
    <row r="200" ht="48" customHeight="1">
      <c r="A200" s="2" t="str">
        <v>S2-00238-BH</v>
      </c>
      <c r="B200" s="2" t="str">
        <v>KH034</v>
      </c>
      <c r="C200" s="2" t="str">
        <v>2026-07-10</v>
      </c>
      <c r="D200" s="2" t="str">
        <v>BAN_HANG</v>
      </c>
      <c r="E200" s="2" t="str"/>
      <c r="F200" s="2" t="str">
        <v>00000246</v>
      </c>
      <c r="G200" s="2" t="str"/>
      <c r="H200" s="19" t="n">
        <v>26400000</v>
      </c>
      <c r="I200" s="20" t="str">
        <v>xuất bán CÔNG TY TNHH THƯƠNG MẠI 319 ĐÔNG ANH向东英319贸易有限责任公司销售产品</v>
      </c>
      <c r="J200" s="20" t="str">
        <v>Chuẩn hóa VND; gốc 26399999.844; phần lẻ 0.156000000000 đ</v>
      </c>
      <c r="K200" s="20" t="str">
        <v>2.xlsx | 订单!238</v>
      </c>
      <c r="L200" s="20" t="str"/>
    </row>
    <row r="201" ht="48" customHeight="1">
      <c r="A201" s="2" t="str">
        <v>S2-00239-BH</v>
      </c>
      <c r="B201" s="2" t="str">
        <v>KH034</v>
      </c>
      <c r="C201" s="2" t="str">
        <v>2026-07-10</v>
      </c>
      <c r="D201" s="2" t="str">
        <v>BAN_HANG</v>
      </c>
      <c r="E201" s="2" t="str"/>
      <c r="F201" s="2" t="str">
        <v>00000213</v>
      </c>
      <c r="G201" s="2" t="str"/>
      <c r="H201" s="19" t="n">
        <v>24600000</v>
      </c>
      <c r="I201" s="20" t="str">
        <v>xuất bán CÔNG TY TNHH THƯƠNG MẠI 319 ĐÔNG ANH向东英319贸易有限责任公司销售产品</v>
      </c>
      <c r="J201" s="20" t="str">
        <v>Chuẩn hóa VND; gốc 24599999.808; phần lẻ 0.192000000000 đ</v>
      </c>
      <c r="K201" s="20" t="str">
        <v>2.xlsx | 订单!239</v>
      </c>
      <c r="L201" s="20" t="str"/>
    </row>
    <row r="202" ht="48" customHeight="1">
      <c r="A202" s="2" t="str">
        <v>S2-00240-VC</v>
      </c>
      <c r="B202" s="2" t="str">
        <v>KH034</v>
      </c>
      <c r="C202" s="2" t="str">
        <v>2026-07-10</v>
      </c>
      <c r="D202" s="2" t="str">
        <v>PHI_VAN_CHUYEN</v>
      </c>
      <c r="E202" s="2" t="str"/>
      <c r="F202" s="2" t="str"/>
      <c r="G202" s="2" t="str"/>
      <c r="H202" s="19" t="n">
        <v>600000</v>
      </c>
      <c r="I202" s="20" t="str">
        <v>NPP thanh toán cước xe</v>
      </c>
      <c r="J202" s="20" t="str">
        <v>Chuẩn hóa VND; gốc 600000; phần lẻ 0.000000000000 đ</v>
      </c>
      <c r="K202" s="20" t="str">
        <v>2.xlsx | 订单!240</v>
      </c>
      <c r="L202" s="20" t="str"/>
    </row>
    <row r="203" ht="48" customHeight="1">
      <c r="A203" s="2" t="str">
        <v>S2-00241-BH</v>
      </c>
      <c r="B203" s="2" t="str">
        <v>KH034</v>
      </c>
      <c r="C203" s="2" t="str">
        <v>2026-07-22</v>
      </c>
      <c r="D203" s="2" t="str">
        <v>BAN_HANG</v>
      </c>
      <c r="E203" s="2" t="str">
        <v>BH305.4</v>
      </c>
      <c r="F203" s="2" t="str">
        <v>00000315</v>
      </c>
      <c r="G203" s="2" t="str"/>
      <c r="H203" s="19" t="n">
        <v>18600000</v>
      </c>
      <c r="I203" s="20" t="str">
        <v>xuất bán CÔNG TY TNHH THƯƠNG MẠI 319 ĐÔNG ANH向东英319贸易有限责任公司销售产品</v>
      </c>
      <c r="J203" s="20" t="str">
        <v>Chuẩn hóa VND; gốc 18599999.976; phần lẻ 0.024000000000 đ</v>
      </c>
      <c r="K203" s="20" t="str">
        <v>2.xlsx | 订单!241</v>
      </c>
      <c r="L203" s="20" t="str"/>
    </row>
    <row r="204" ht="48" customHeight="1">
      <c r="A204" s="2" t="str">
        <v>S2-00242-BH</v>
      </c>
      <c r="B204" s="2" t="str">
        <v>KH034</v>
      </c>
      <c r="C204" s="2" t="str">
        <v>2026-07-22</v>
      </c>
      <c r="D204" s="2" t="str">
        <v>BAN_HANG</v>
      </c>
      <c r="E204" s="2" t="str"/>
      <c r="F204" s="2" t="str"/>
      <c r="G204" s="2" t="str"/>
      <c r="H204" s="19" t="n">
        <v>13140000</v>
      </c>
      <c r="I204" s="20" t="str">
        <v>xuất bán CÔNG TY TNHH THƯƠNG MẠI 319 ĐÔNG ANH向东英319贸易有限责任公司销售产品</v>
      </c>
      <c r="J204" s="20" t="str">
        <v>Chuẩn hóa VND; gốc 13140000.0792; phần lẻ -0.079200000000 đ</v>
      </c>
      <c r="K204" s="20" t="str">
        <v>2.xlsx | 订单!242</v>
      </c>
      <c r="L204" s="20" t="str"/>
    </row>
    <row r="205" ht="48" customHeight="1">
      <c r="A205" s="2" t="str">
        <v>S2-01059-TT</v>
      </c>
      <c r="B205" s="2" t="str">
        <v>KH034</v>
      </c>
      <c r="C205" s="2" t="str">
        <v>2026-08-04</v>
      </c>
      <c r="D205" s="2" t="str">
        <v>THU_TIEN</v>
      </c>
      <c r="E205" s="2" t="str">
        <v>NTTK00128</v>
      </c>
      <c r="F205" s="2" t="str"/>
      <c r="G205" s="2" t="str"/>
      <c r="H205" s="19" t="n">
        <v>100000000</v>
      </c>
      <c r="I205" s="20" t="str">
        <v>Thu tiền khách hàng Chuyển khoản ngân hàng货款通过银行转账</v>
      </c>
      <c r="J205" s="20" t="str">
        <v>Chuẩn hóa VND; gốc 100000000; phần lẻ 0.000000000000 đ</v>
      </c>
      <c r="K205" s="20" t="str">
        <v>2.xlsx | 订单!1059</v>
      </c>
      <c r="L205" s="20" t="str"/>
    </row>
    <row r="206" ht="48" customHeight="1">
      <c r="A206" s="2" t="str">
        <v>S2-01065-BH</v>
      </c>
      <c r="B206" s="2" t="str">
        <v>KH034</v>
      </c>
      <c r="C206" s="2" t="str">
        <v>2026-08-05</v>
      </c>
      <c r="D206" s="2" t="str">
        <v>BAN_HANG</v>
      </c>
      <c r="E206" s="2" t="str">
        <v>BH008/0826</v>
      </c>
      <c r="F206" s="2" t="str">
        <v>00000261</v>
      </c>
      <c r="G206" s="2" t="str"/>
      <c r="H206" s="19" t="n">
        <v>26400000</v>
      </c>
      <c r="I206" s="20" t="str">
        <v>xuất bán CÔNG TY TNHH THƯƠNG MẠI 319 ĐÔNG ANH向东英319贸易有限责任公司销售产品</v>
      </c>
      <c r="J206" s="20" t="str">
        <v>Chuẩn hóa VND; gốc 26399999.844; phần lẻ 0.156000000000 đ</v>
      </c>
      <c r="K206" s="20" t="str">
        <v>2.xlsx | 订单!1065</v>
      </c>
      <c r="L206" s="20" t="str"/>
    </row>
    <row r="207" ht="48" customHeight="1">
      <c r="A207" s="2" t="str">
        <v>S2-01066-BH</v>
      </c>
      <c r="B207" s="2" t="str">
        <v>KH034</v>
      </c>
      <c r="C207" s="2" t="str">
        <v>2026-08-05</v>
      </c>
      <c r="D207" s="2" t="str">
        <v>BAN_HANG</v>
      </c>
      <c r="E207" s="2" t="str">
        <v>BH008/0826</v>
      </c>
      <c r="F207" s="2" t="str">
        <v>00000323</v>
      </c>
      <c r="G207" s="2" t="str"/>
      <c r="H207" s="19" t="n">
        <v>75450000</v>
      </c>
      <c r="I207" s="20" t="str">
        <v>xuất bán CÔNG TY TNHH THƯƠNG MẠI 319 ĐÔNG ANH向东英319贸易有限责任公司销售产品</v>
      </c>
      <c r="J207" s="20" t="str">
        <v>Chuẩn hóa VND; gốc 75449999.88; phần lẻ 0.120000000000 đ</v>
      </c>
      <c r="K207" s="20" t="str">
        <v>2.xlsx | 订单!1066-1073</v>
      </c>
      <c r="L207" s="20" t="str"/>
    </row>
    <row r="208" ht="48" customHeight="1">
      <c r="A208" s="2" t="str">
        <v>S2-01218-VC</v>
      </c>
      <c r="B208" s="2" t="str">
        <v>KH034</v>
      </c>
      <c r="C208" s="2" t="str">
        <v>2026-08-06</v>
      </c>
      <c r="D208" s="2" t="str">
        <v>PHI_VAN_CHUYEN</v>
      </c>
      <c r="E208" s="2" t="str"/>
      <c r="F208" s="2" t="str"/>
      <c r="G208" s="2" t="str"/>
      <c r="H208" s="19" t="n">
        <v>1385000</v>
      </c>
      <c r="I208" s="20" t="str">
        <v>khách hàng tự  trả tiền vận chuyển客户自行支付运输费</v>
      </c>
      <c r="J208" s="20" t="str">
        <v>Chuẩn hóa VND; gốc 1385000; phần lẻ 0.000000000000 đ</v>
      </c>
      <c r="K208" s="20" t="str">
        <v>2.xlsx | 订单!1218</v>
      </c>
      <c r="L208" s="20" t="str"/>
    </row>
    <row r="209" ht="48" customHeight="1">
      <c r="A209" s="2" t="str">
        <v>S2-01250-BH</v>
      </c>
      <c r="B209" s="2" t="str">
        <v>KH034</v>
      </c>
      <c r="C209" s="2" t="str">
        <v>2026-08-14</v>
      </c>
      <c r="D209" s="2" t="str">
        <v>BAN_HANG</v>
      </c>
      <c r="E209" s="2" t="str">
        <v>BH2026080006</v>
      </c>
      <c r="F209" s="2" t="str">
        <v>00000323, 00000276</v>
      </c>
      <c r="G209" s="2" t="str"/>
      <c r="H209" s="19" t="n">
        <v>152380000</v>
      </c>
      <c r="I209" s="20" t="str">
        <v>xuất bán CÔNG TY TNHH THƯƠNG MẠI 319 ĐÔNG ANH向东英319贸易有限责任公司销售产品</v>
      </c>
      <c r="J209" s="20" t="str">
        <v>Chuẩn hóa VND; gốc 152380000.332; phần lẻ -0.332000000000 đ</v>
      </c>
      <c r="K209" s="20" t="str">
        <v>2.xlsx | 订单!1250-1260</v>
      </c>
      <c r="L209" s="20" t="str"/>
    </row>
    <row r="210" ht="48" customHeight="1">
      <c r="A210" s="2" t="str">
        <v>S2-01270-VC</v>
      </c>
      <c r="B210" s="2" t="str">
        <v>KH034</v>
      </c>
      <c r="C210" s="2" t="str">
        <v>2026-08-15</v>
      </c>
      <c r="D210" s="2" t="str">
        <v>PHI_VAN_CHUYEN</v>
      </c>
      <c r="E210" s="2" t="str"/>
      <c r="F210" s="2" t="str"/>
      <c r="G210" s="2" t="str"/>
      <c r="H210" s="19" t="n">
        <v>1800000</v>
      </c>
      <c r="I210" s="20" t="str">
        <v>khách hàng tự  trả tiền vận chuyển客户自行支付运输费</v>
      </c>
      <c r="J210" s="20" t="str">
        <v>Chuẩn hóa VND; gốc 1800000; phần lẻ 0.000000000000 đ</v>
      </c>
      <c r="K210" s="20" t="str">
        <v>2.xlsx | 订单!1270</v>
      </c>
      <c r="L210" s="20" t="str"/>
    </row>
    <row r="211" ht="48" customHeight="1">
      <c r="A211" s="2" t="str">
        <v>S2-01271-BH</v>
      </c>
      <c r="B211" s="2" t="str">
        <v>KH034</v>
      </c>
      <c r="C211" s="2" t="str">
        <v>2026-08-17</v>
      </c>
      <c r="D211" s="2" t="str">
        <v>BAN_HANG</v>
      </c>
      <c r="E211" s="2" t="str">
        <v>BH2026080007</v>
      </c>
      <c r="F211" s="2" t="str">
        <v>00000323</v>
      </c>
      <c r="G211" s="2" t="str"/>
      <c r="H211" s="19" t="n">
        <v>16900000</v>
      </c>
      <c r="I211" s="20" t="str">
        <v>xuất bán CÔNG TY TNHH THƯƠNG MẠI 319 ĐÔNG ANH向东英319贸易有限责任公司销售产品</v>
      </c>
      <c r="J211" s="20" t="str">
        <v>Chuẩn hóa VND; gốc 16899999.948; phần lẻ 0.052000000000 đ</v>
      </c>
      <c r="K211" s="20" t="str">
        <v>2.xlsx | 订单!1271</v>
      </c>
      <c r="L211" s="20" t="str"/>
    </row>
    <row r="212" ht="48" customHeight="1">
      <c r="A212" s="2" t="str">
        <v>S2-01317-VC</v>
      </c>
      <c r="B212" s="2" t="str">
        <v>KH034</v>
      </c>
      <c r="C212" s="2" t="str">
        <v>2026-08-19</v>
      </c>
      <c r="D212" s="2" t="str">
        <v>PHI_VAN_CHUYEN</v>
      </c>
      <c r="E212" s="2" t="str"/>
      <c r="F212" s="2" t="str"/>
      <c r="G212" s="2" t="str"/>
      <c r="H212" s="19" t="n">
        <v>220000</v>
      </c>
      <c r="I212" s="20" t="str">
        <v>khách hàng tự  trả tiền vận chuyển客户自行支付运输费</v>
      </c>
      <c r="J212" s="20" t="str">
        <v>Chuẩn hóa VND; gốc 220000; phần lẻ 0.000000000000 đ</v>
      </c>
      <c r="K212" s="20" t="str">
        <v>2.xlsx | 订单!1317</v>
      </c>
      <c r="L212" s="20" t="str"/>
    </row>
    <row r="213" ht="48" customHeight="1">
      <c r="A213" s="2" t="str">
        <v>S2-01693-BH</v>
      </c>
      <c r="B213" s="2" t="str">
        <v>KH034</v>
      </c>
      <c r="C213" s="2" t="str">
        <v>2026-09-11</v>
      </c>
      <c r="D213" s="2" t="str">
        <v>BAN_HANG</v>
      </c>
      <c r="E213" s="2" t="str">
        <v>BH2026090059</v>
      </c>
      <c r="F213" s="2" t="str">
        <v>00000323, 00000309</v>
      </c>
      <c r="G213" s="2" t="str"/>
      <c r="H213" s="19" t="n">
        <v>138400000</v>
      </c>
      <c r="I213" s="20" t="str">
        <v>xuất bán CÔNG TY TNHH THƯƠNG MẠI 319 ĐÔNG ANH向东英319贸易有限责任公司销售产品</v>
      </c>
      <c r="J213" s="20" t="str">
        <v>Chuẩn hóa VND; gốc 138399999.57; phần lẻ 0.430000000000 đ</v>
      </c>
      <c r="K213" s="20" t="str">
        <v>2.xlsx | 订单!1693-1699</v>
      </c>
      <c r="L213" s="20" t="str"/>
    </row>
    <row r="214" ht="48" customHeight="1">
      <c r="A214" s="2" t="str">
        <v>S2-01743-VC</v>
      </c>
      <c r="B214" s="2" t="str">
        <v>KH034</v>
      </c>
      <c r="C214" s="2" t="str">
        <v>2026-09-16</v>
      </c>
      <c r="D214" s="2" t="str">
        <v>PHI_VAN_CHUYEN</v>
      </c>
      <c r="E214" s="2" t="str"/>
      <c r="F214" s="2" t="str"/>
      <c r="G214" s="2" t="str"/>
      <c r="H214" s="19" t="n">
        <v>820000</v>
      </c>
      <c r="I214" s="20" t="str">
        <v>khách hàng tự  trả tiền vận chuyển客户自行支付运输费</v>
      </c>
      <c r="J214" s="20" t="str">
        <v>Chuẩn hóa VND; gốc 820000; phần lẻ 0.000000000000 đ</v>
      </c>
      <c r="K214" s="20" t="str">
        <v>2.xlsx | 订单!1743</v>
      </c>
      <c r="L214" s="20" t="str"/>
    </row>
    <row r="215" ht="48" customHeight="1">
      <c r="A215" s="2" t="str">
        <v>S2-02072-TT</v>
      </c>
      <c r="B215" s="2" t="str">
        <v>KH034</v>
      </c>
      <c r="C215" s="2" t="str">
        <v>2026-10-09</v>
      </c>
      <c r="D215" s="2" t="str">
        <v>THU_TIEN</v>
      </c>
      <c r="E215" s="2" t="str"/>
      <c r="F215" s="2" t="str"/>
      <c r="G215" s="2" t="str"/>
      <c r="H215" s="19" t="n">
        <v>100000000</v>
      </c>
      <c r="I215" s="20" t="str">
        <v>Thu tiền khách hàng Chuyển khoản ngân hàng货款通过银行转账</v>
      </c>
      <c r="J215" s="20" t="str">
        <v>Chuẩn hóa VND; gốc 100000000; phần lẻ 0.000000000000 đ</v>
      </c>
      <c r="K215" s="20" t="str">
        <v>2.xlsx | 订单!2072</v>
      </c>
      <c r="L215" s="20" t="str"/>
    </row>
    <row r="216" ht="48" customHeight="1">
      <c r="A216" s="2" t="str">
        <v>S2-02132-TH</v>
      </c>
      <c r="B216" s="2" t="str">
        <v>KH034</v>
      </c>
      <c r="C216" s="2" t="str">
        <v>2026-10-15</v>
      </c>
      <c r="D216" s="2" t="str">
        <v>TRA_HANG</v>
      </c>
      <c r="E216" s="2" t="str">
        <v>NK2026100030</v>
      </c>
      <c r="F216" s="2" t="str"/>
      <c r="G216" s="2" t="str"/>
      <c r="H216" s="19" t="n">
        <v>6671000</v>
      </c>
      <c r="I216" s="20" t="str">
        <v>Trả lại hàng bán 退货</v>
      </c>
      <c r="J216" s="20" t="str">
        <v>Chuẩn hóa VND; gốc 6670999.9764; phần lẻ 0.023600000000 đ</v>
      </c>
      <c r="K216" s="20" t="str">
        <v>2.xlsx | 订单!2132-2138</v>
      </c>
      <c r="L216" s="20" t="str"/>
    </row>
    <row r="217" ht="48" customHeight="1">
      <c r="A217" s="2" t="str">
        <v>S2-02139-TH</v>
      </c>
      <c r="B217" s="2" t="str">
        <v>KH034</v>
      </c>
      <c r="C217" s="2" t="str">
        <v>2026-10-15</v>
      </c>
      <c r="D217" s="2" t="str">
        <v>TRA_HANG</v>
      </c>
      <c r="E217" s="2" t="str">
        <v>NK2026100029</v>
      </c>
      <c r="F217" s="2" t="str"/>
      <c r="G217" s="2" t="str"/>
      <c r="H217" s="19" t="n">
        <v>214601000</v>
      </c>
      <c r="I217" s="20" t="str">
        <v>Trả lại hàng bán 退货</v>
      </c>
      <c r="J217" s="20" t="str">
        <v>Chuẩn hóa VND; gốc 214601001.8364; phần lẻ -1.836400000000 đ</v>
      </c>
      <c r="K217" s="20" t="str">
        <v>2.xlsx | 订单!2139-2165</v>
      </c>
      <c r="L217" s="20" t="str"/>
    </row>
    <row r="218" ht="48" customHeight="1">
      <c r="A218" s="2" t="str">
        <v>S2-00546-BH</v>
      </c>
      <c r="B218" s="2" t="str">
        <v>KH042</v>
      </c>
      <c r="C218" s="2" t="str">
        <v>2026-01-10</v>
      </c>
      <c r="D218" s="2" t="str">
        <v>BAN_HANG</v>
      </c>
      <c r="E218" s="2" t="str"/>
      <c r="F218" s="2" t="str">
        <v>00000023</v>
      </c>
      <c r="G218" s="2" t="str"/>
      <c r="H218" s="19" t="n">
        <v>89284003</v>
      </c>
      <c r="I218" s="20" t="str">
        <v>Xuất bán Công ty TNHH Tổng hợp Bằng Ánh销售给邦映综合有限责任公司</v>
      </c>
      <c r="J218" s="20" t="str">
        <v>Chuẩn hóa VND; gốc 89284004.4816; phần lẻ -1.481600000000 đ</v>
      </c>
      <c r="K218" s="20" t="str">
        <v>2.xlsx | 订单!546-566</v>
      </c>
      <c r="L218" s="20" t="str"/>
    </row>
    <row r="219" ht="48" customHeight="1">
      <c r="A219" s="2" t="str">
        <v>S2-00567-TT</v>
      </c>
      <c r="B219" s="2" t="str">
        <v>KH042</v>
      </c>
      <c r="C219" s="2" t="str">
        <v>2026-01-10</v>
      </c>
      <c r="D219" s="2" t="str">
        <v>THU_TIEN</v>
      </c>
      <c r="E219" s="2" t="str">
        <v>NTTK00001</v>
      </c>
      <c r="F219" s="2" t="str"/>
      <c r="G219" s="2" t="str"/>
      <c r="H219" s="19" t="n">
        <v>50000000</v>
      </c>
      <c r="I219" s="20" t="str">
        <v>Thu tiền khách hàng Chuyển khoản ngân hàng货款通过银行转账</v>
      </c>
      <c r="J219" s="20" t="str">
        <v>Chuẩn hóa VND; gốc 50000000; phần lẻ 0.000000000000 đ</v>
      </c>
      <c r="K219" s="20" t="str">
        <v>2.xlsx | 订单!567</v>
      </c>
      <c r="L219" s="20" t="str"/>
    </row>
    <row r="220" ht="48" customHeight="1">
      <c r="A220" s="2" t="str">
        <v>S2-00568-BH</v>
      </c>
      <c r="B220" s="2" t="str">
        <v>KH042</v>
      </c>
      <c r="C220" s="2" t="str">
        <v>2026-01-10</v>
      </c>
      <c r="D220" s="2" t="str">
        <v>BAN_HANG</v>
      </c>
      <c r="E220" s="2" t="str"/>
      <c r="F220" s="2" t="str">
        <v>00000082</v>
      </c>
      <c r="G220" s="2" t="str"/>
      <c r="H220" s="19" t="n">
        <v>11328000</v>
      </c>
      <c r="I220" s="20" t="str">
        <v>Xuất bán Công ty TNHH Tổng hợp Bằng Ánh销售给邦映综合有限责任公司</v>
      </c>
      <c r="J220" s="20" t="str">
        <v>Chuẩn hóa VND; gốc 11328000.2064; phần lẻ -0.206400000000 đ</v>
      </c>
      <c r="K220" s="20" t="str">
        <v>2.xlsx | 订单!568-570</v>
      </c>
      <c r="L220" s="20" t="str"/>
    </row>
    <row r="221" ht="48" customHeight="1">
      <c r="A221" s="2" t="str">
        <v>S2-00571-BH</v>
      </c>
      <c r="B221" s="2" t="str">
        <v>KH042</v>
      </c>
      <c r="C221" s="2" t="str">
        <v>2026-01-24</v>
      </c>
      <c r="D221" s="2" t="str">
        <v>BAN_HANG</v>
      </c>
      <c r="E221" s="2" t="str"/>
      <c r="F221" s="2" t="str">
        <v>00000136</v>
      </c>
      <c r="G221" s="2" t="str"/>
      <c r="H221" s="19" t="n">
        <v>11688000</v>
      </c>
      <c r="I221" s="20" t="str">
        <v>Xuất bán Công ty TNHH Tổng hợp Bằng Ánh销售给邦映综合有限责任公司</v>
      </c>
      <c r="J221" s="20" t="str">
        <v>Chuẩn hóa VND; gốc 11687999.9328; phần lẻ 0.067200000000 đ</v>
      </c>
      <c r="K221" s="20" t="str">
        <v>2.xlsx | 订单!571-573</v>
      </c>
      <c r="L221" s="20" t="str"/>
    </row>
    <row r="222" ht="48" customHeight="1">
      <c r="A222" s="2" t="str">
        <v>S2-00574-BH</v>
      </c>
      <c r="B222" s="2" t="str">
        <v>KH042</v>
      </c>
      <c r="C222" s="2" t="str">
        <v>2026-01-24</v>
      </c>
      <c r="D222" s="2" t="str">
        <v>BAN_HANG</v>
      </c>
      <c r="E222" s="2" t="str"/>
      <c r="F222" s="2" t="str">
        <v>00000092</v>
      </c>
      <c r="G222" s="2" t="str"/>
      <c r="H222" s="19" t="n">
        <v>6528000</v>
      </c>
      <c r="I222" s="20" t="str">
        <v>Xuất bán Công ty TNHH Tổng hợp Bằng Ánh销售给邦映综合有限责任公司</v>
      </c>
      <c r="J222" s="20" t="str">
        <v>Chuẩn hóa VND; gốc 6528000.0168; phần lẻ -0.016800000000 đ</v>
      </c>
      <c r="K222" s="20" t="str">
        <v>2.xlsx | 订单!574</v>
      </c>
      <c r="L222" s="20" t="str"/>
    </row>
    <row r="223" ht="48" customHeight="1">
      <c r="A223" s="2" t="str">
        <v>S2-00575-BH</v>
      </c>
      <c r="B223" s="2" t="str">
        <v>KH042</v>
      </c>
      <c r="C223" s="2" t="str">
        <v>2026-01-24</v>
      </c>
      <c r="D223" s="2" t="str">
        <v>BAN_HANG</v>
      </c>
      <c r="E223" s="2" t="str"/>
      <c r="F223" s="2" t="str">
        <v>00000082</v>
      </c>
      <c r="G223" s="2" t="str"/>
      <c r="H223" s="19" t="n">
        <v>3420000</v>
      </c>
      <c r="I223" s="20" t="str">
        <v>Xuất bán Công ty TNHH Tổng hợp Bằng Ánh销售给邦映综合有限责任公司</v>
      </c>
      <c r="J223" s="20" t="str">
        <v>Chuẩn hóa VND; gốc 3420000.0144; phần lẻ -0.014400000000 đ</v>
      </c>
      <c r="K223" s="20" t="str">
        <v>2.xlsx | 订单!575</v>
      </c>
      <c r="L223" s="20" t="str"/>
    </row>
    <row r="224" ht="48" customHeight="1">
      <c r="A224" s="2" t="str">
        <v>S2-00577-BH</v>
      </c>
      <c r="B224" s="2" t="str">
        <v>KH042</v>
      </c>
      <c r="C224" s="2" t="str">
        <v>2026-01-24</v>
      </c>
      <c r="D224" s="2" t="str">
        <v>BAN_HANG</v>
      </c>
      <c r="E224" s="2" t="str"/>
      <c r="F224" s="2" t="str">
        <v>00000073</v>
      </c>
      <c r="G224" s="2" t="str"/>
      <c r="H224" s="19" t="n">
        <v>28902001</v>
      </c>
      <c r="I224" s="20" t="str">
        <v>Xuất bán Công ty TNHH Tổng hợp Bằng Ánh销售给邦映综合有限责任公司</v>
      </c>
      <c r="J224" s="20" t="str">
        <v>Chuẩn hóa VND; gốc 28902001.5864; phần lẻ -0.586400000000 đ</v>
      </c>
      <c r="K224" s="20" t="str">
        <v>2.xlsx | 订单!577-583</v>
      </c>
      <c r="L224" s="20" t="str"/>
    </row>
    <row r="225" ht="48" customHeight="1">
      <c r="A225" s="2" t="str">
        <v>S2-00584-BH</v>
      </c>
      <c r="B225" s="2" t="str">
        <v>KH042</v>
      </c>
      <c r="C225" s="2" t="str">
        <v>2026-02-02</v>
      </c>
      <c r="D225" s="2" t="str">
        <v>BAN_HANG</v>
      </c>
      <c r="E225" s="2" t="str"/>
      <c r="F225" s="2" t="str">
        <v>00000043</v>
      </c>
      <c r="G225" s="2" t="str"/>
      <c r="H225" s="19" t="n">
        <v>29744000</v>
      </c>
      <c r="I225" s="20" t="str">
        <v>Xuất bán Công ty TNHH Tổng hợp Bằng Ánh销售给邦映综合有限责任公司</v>
      </c>
      <c r="J225" s="20" t="str">
        <v>Chuẩn hóa VND; gốc 29744000.0208; phần lẻ -0.020800000000 đ</v>
      </c>
      <c r="K225" s="20" t="str">
        <v>2.xlsx | 订单!584-589</v>
      </c>
      <c r="L225" s="20" t="str"/>
    </row>
    <row r="226" ht="48" customHeight="1">
      <c r="A226" s="2" t="str">
        <v>S2-00590-BH</v>
      </c>
      <c r="B226" s="2" t="str">
        <v>KH042</v>
      </c>
      <c r="C226" s="2" t="str">
        <v>2026-02-06</v>
      </c>
      <c r="D226" s="2" t="str">
        <v>BAN_HANG</v>
      </c>
      <c r="E226" s="2" t="str"/>
      <c r="F226" s="2" t="str">
        <v>00000061</v>
      </c>
      <c r="G226" s="2" t="str"/>
      <c r="H226" s="19" t="n">
        <v>33108600</v>
      </c>
      <c r="I226" s="20" t="str">
        <v>Xuất bán Công ty TNHH Tổng hợp Bằng Ánh销售给邦映综合有限责任公司</v>
      </c>
      <c r="J226" s="20" t="str">
        <v>Chuẩn hóa VND; gốc 33108600.4416; phần lẻ -0.441600000000 đ</v>
      </c>
      <c r="K226" s="20" t="str">
        <v>2.xlsx | 订单!590-601</v>
      </c>
      <c r="L226" s="20" t="str"/>
    </row>
    <row r="227" ht="48" customHeight="1">
      <c r="A227" s="2" t="str">
        <v>S2-00602-TT</v>
      </c>
      <c r="B227" s="2" t="str">
        <v>KH042</v>
      </c>
      <c r="C227" s="2" t="str">
        <v>2026-02-07</v>
      </c>
      <c r="D227" s="2" t="str">
        <v>THU_TIEN</v>
      </c>
      <c r="E227" s="2" t="str">
        <v>NTTK00018</v>
      </c>
      <c r="F227" s="2" t="str"/>
      <c r="G227" s="2" t="str"/>
      <c r="H227" s="19" t="n">
        <v>50612004</v>
      </c>
      <c r="I227" s="20" t="str">
        <v>Thu tiền khách hàng Chuyển khoản ngân hàng货款通过银行转账</v>
      </c>
      <c r="J227" s="20" t="str">
        <v>Chuẩn hóa VND; gốc 50612004; phần lẻ 0.000000000000 đ</v>
      </c>
      <c r="K227" s="20" t="str">
        <v>2.xlsx | 订单!602</v>
      </c>
      <c r="L227" s="20" t="str"/>
    </row>
    <row r="228" ht="48" customHeight="1">
      <c r="A228" s="2" t="str">
        <v>S2-00603-BH</v>
      </c>
      <c r="B228" s="2" t="str">
        <v>KH042</v>
      </c>
      <c r="C228" s="2" t="str">
        <v>2026-03-13</v>
      </c>
      <c r="D228" s="2" t="str">
        <v>BAN_HANG</v>
      </c>
      <c r="E228" s="2" t="str"/>
      <c r="F228" s="2" t="str">
        <v>00000099</v>
      </c>
      <c r="G228" s="2" t="str"/>
      <c r="H228" s="19" t="n">
        <v>40888000</v>
      </c>
      <c r="I228" s="20" t="str">
        <v>Xuất bán Công ty TNHH Tổng hợp Bằng Ánh销售给邦映综合有限责任公司</v>
      </c>
      <c r="J228" s="20" t="str">
        <v>Chuẩn hóa VND; gốc 40887999.5472; phần lẻ 0.452800000000 đ</v>
      </c>
      <c r="K228" s="20" t="str">
        <v>2.xlsx | 订单!603-610</v>
      </c>
      <c r="L228" s="20" t="str"/>
    </row>
    <row r="229" ht="48" customHeight="1">
      <c r="A229" s="2" t="str">
        <v>S2-00611-BH</v>
      </c>
      <c r="B229" s="2" t="str">
        <v>KH042</v>
      </c>
      <c r="C229" s="2" t="str">
        <v>2026-03-13</v>
      </c>
      <c r="D229" s="2" t="str">
        <v>BAN_HANG</v>
      </c>
      <c r="E229" s="2" t="str"/>
      <c r="F229" s="2" t="str">
        <v>00000136</v>
      </c>
      <c r="G229" s="2" t="str"/>
      <c r="H229" s="19" t="n">
        <v>15720000</v>
      </c>
      <c r="I229" s="20" t="str">
        <v>Xuất bán Công ty TNHH Tổng hợp Bằng Ánh销售给邦映综合有限责任公司</v>
      </c>
      <c r="J229" s="20" t="str">
        <v>Chuẩn hóa VND; gốc 15719999.9616; phần lẻ 0.038400000000 đ</v>
      </c>
      <c r="K229" s="20" t="str">
        <v>2.xlsx | 订单!611-612</v>
      </c>
      <c r="L229" s="20" t="str"/>
    </row>
    <row r="230" ht="48" customHeight="1">
      <c r="A230" s="2" t="str">
        <v>S2-00613-TT</v>
      </c>
      <c r="B230" s="2" t="str">
        <v>KH042</v>
      </c>
      <c r="C230" s="2" t="str">
        <v>2026-04-11</v>
      </c>
      <c r="D230" s="2" t="str">
        <v>THU_TIEN</v>
      </c>
      <c r="E230" s="2" t="str"/>
      <c r="F230" s="2" t="str"/>
      <c r="G230" s="2" t="str"/>
      <c r="H230" s="19" t="n">
        <v>40000008</v>
      </c>
      <c r="I230" s="20" t="str">
        <v>Thu tiền khách hàng Chuyển khoản ngân hàng货款通过银行转账</v>
      </c>
      <c r="J230" s="20" t="str">
        <v>Chuẩn hóa VND; gốc 40000008; phần lẻ 0.000000000000 đ</v>
      </c>
      <c r="K230" s="20" t="str">
        <v>2.xlsx | 订单!613</v>
      </c>
      <c r="L230" s="20" t="str"/>
    </row>
    <row r="231" ht="48" customHeight="1">
      <c r="A231" s="2" t="str">
        <v>S2-00614-BH</v>
      </c>
      <c r="B231" s="2" t="str">
        <v>KH042</v>
      </c>
      <c r="C231" s="2" t="str">
        <v>2026-04-13</v>
      </c>
      <c r="D231" s="2" t="str">
        <v>BAN_HANG</v>
      </c>
      <c r="E231" s="2" t="str"/>
      <c r="F231" s="2" t="str">
        <v>00000136</v>
      </c>
      <c r="G231" s="2" t="str"/>
      <c r="H231" s="19" t="n">
        <v>40390000</v>
      </c>
      <c r="I231" s="20" t="str">
        <v>Xuất bán Công ty TNHH Tổng hợp Bằng Ánh销售给邦映综合有限责任公司</v>
      </c>
      <c r="J231" s="20" t="str">
        <v>Chuẩn hóa VND; gốc 40389999.8184; phần lẻ 0.181600000000 đ</v>
      </c>
      <c r="K231" s="20" t="str">
        <v>2.xlsx | 订单!614-620</v>
      </c>
      <c r="L231" s="20" t="str"/>
    </row>
    <row r="232" ht="48" customHeight="1">
      <c r="A232" s="2" t="str">
        <v>S2-00621-TH</v>
      </c>
      <c r="B232" s="2" t="str">
        <v>KH042</v>
      </c>
      <c r="C232" s="2" t="str">
        <v>2026-04-16</v>
      </c>
      <c r="D232" s="2" t="str">
        <v>TRA_HANG</v>
      </c>
      <c r="E232" s="2" t="str"/>
      <c r="F232" s="2" t="str">
        <v>00000118</v>
      </c>
      <c r="G232" s="2" t="str"/>
      <c r="H232" s="19" t="n">
        <v>4194000</v>
      </c>
      <c r="I232" s="20" t="str">
        <v>Điều chỉnh giảm</v>
      </c>
      <c r="J232" s="20" t="str">
        <v>Chuẩn hóa VND; gốc 4193999.9856; phần lẻ 0.014400000000 đ</v>
      </c>
      <c r="K232" s="20" t="str">
        <v>2.xlsx | 订单!621</v>
      </c>
      <c r="L232" s="20" t="str"/>
    </row>
    <row r="233" ht="48" customHeight="1">
      <c r="A233" s="2" t="str">
        <v>S2-00622-TH</v>
      </c>
      <c r="B233" s="2" t="str">
        <v>KH042</v>
      </c>
      <c r="C233" s="2" t="str">
        <v>2026-04-16</v>
      </c>
      <c r="D233" s="2" t="str">
        <v>TRA_HANG</v>
      </c>
      <c r="E233" s="2" t="str"/>
      <c r="F233" s="2" t="str">
        <v>00000119</v>
      </c>
      <c r="G233" s="2" t="str"/>
      <c r="H233" s="19" t="n">
        <v>2600001</v>
      </c>
      <c r="I233" s="20" t="str">
        <v>Điều chỉnh giảm</v>
      </c>
      <c r="J233" s="20" t="str">
        <v>Chuẩn hóa VND; gốc 2600001.4608; phần lẻ -0.460800000000 đ</v>
      </c>
      <c r="K233" s="20" t="str">
        <v>2.xlsx | 订单!622</v>
      </c>
      <c r="L233" s="20" t="str"/>
    </row>
    <row r="234" ht="48" customHeight="1">
      <c r="A234" s="2" t="str">
        <v>S2-00623-TH</v>
      </c>
      <c r="B234" s="2" t="str">
        <v>KH042</v>
      </c>
      <c r="C234" s="2" t="str">
        <v>2026-04-16</v>
      </c>
      <c r="D234" s="2" t="str">
        <v>TRA_HANG</v>
      </c>
      <c r="E234" s="2" t="str"/>
      <c r="F234" s="2" t="str">
        <v>00000120</v>
      </c>
      <c r="G234" s="2" t="str"/>
      <c r="H234" s="19" t="n">
        <v>3636000</v>
      </c>
      <c r="I234" s="20" t="str">
        <v>Điều chỉnh giảm</v>
      </c>
      <c r="J234" s="20" t="str">
        <v>Chuẩn hóa VND; gốc 3635999.928; phần lẻ 0.072000000000 đ</v>
      </c>
      <c r="K234" s="20" t="str">
        <v>2.xlsx | 订单!623</v>
      </c>
      <c r="L234" s="20" t="str"/>
    </row>
    <row r="235" ht="48" customHeight="1">
      <c r="A235" s="2" t="str">
        <v>S2-00624-BH</v>
      </c>
      <c r="B235" s="2" t="str">
        <v>KH042</v>
      </c>
      <c r="C235" s="2" t="str">
        <v>2026-05-05</v>
      </c>
      <c r="D235" s="2" t="str">
        <v>BAN_HANG</v>
      </c>
      <c r="E235" s="2" t="str"/>
      <c r="F235" s="2" t="str">
        <v>00000139</v>
      </c>
      <c r="G235" s="2" t="str"/>
      <c r="H235" s="19" t="n">
        <v>41012000</v>
      </c>
      <c r="I235" s="20" t="str">
        <v>Xuất bán Công ty TNHH Tổng hợp Bằng Ánh销售给邦映综合有限责任公司</v>
      </c>
      <c r="J235" s="20" t="str">
        <v>Chuẩn hóa VND; gốc 41011999.92; phần lẻ 0.080000000000 đ</v>
      </c>
      <c r="K235" s="20" t="str">
        <v>2.xlsx | 订单!624-628</v>
      </c>
      <c r="L235" s="20" t="str"/>
    </row>
    <row r="236" ht="48" customHeight="1">
      <c r="A236" s="2" t="str">
        <v>S2-00630-TT</v>
      </c>
      <c r="B236" s="2" t="str">
        <v>KH042</v>
      </c>
      <c r="C236" s="2" t="str">
        <v>2026-05-23</v>
      </c>
      <c r="D236" s="2" t="str">
        <v>THU_TIEN</v>
      </c>
      <c r="E236" s="2" t="str"/>
      <c r="F236" s="2" t="str"/>
      <c r="G236" s="2" t="str"/>
      <c r="H236" s="19" t="n">
        <v>40000000</v>
      </c>
      <c r="I236" s="20" t="str">
        <v>Thu tiền khách hàng Chuyển khoản ngân hàng货款通过银行转账</v>
      </c>
      <c r="J236" s="20" t="str">
        <v>Chuẩn hóa VND; gốc 40000000; phần lẻ 0.000000000000 đ</v>
      </c>
      <c r="K236" s="20" t="str">
        <v>2.xlsx | 订单!630</v>
      </c>
      <c r="L236" s="20" t="str"/>
    </row>
    <row r="237" ht="48" customHeight="1">
      <c r="A237" s="2" t="str">
        <v>S2-00631-BH</v>
      </c>
      <c r="B237" s="2" t="str">
        <v>KH042</v>
      </c>
      <c r="C237" s="2" t="str">
        <v>2026-06-09</v>
      </c>
      <c r="D237" s="2" t="str">
        <v>BAN_HANG</v>
      </c>
      <c r="E237" s="2" t="str"/>
      <c r="F237" s="2" t="str">
        <v>00000173</v>
      </c>
      <c r="G237" s="2" t="str"/>
      <c r="H237" s="19" t="n">
        <v>51288000</v>
      </c>
      <c r="I237" s="20" t="str">
        <v>Xuất bán Công ty TNHH Tổng hợp Bằng Ánh销售给邦映综合有限责任公司</v>
      </c>
      <c r="J237" s="20" t="str">
        <v>Chuẩn hóa VND; gốc 51287999.8176; phần lẻ 0.182400000000 đ</v>
      </c>
      <c r="K237" s="20" t="str">
        <v>2.xlsx | 订单!631-638</v>
      </c>
      <c r="L237" s="20" t="str"/>
    </row>
    <row r="238" ht="48" customHeight="1">
      <c r="A238" s="2" t="str">
        <v>S2-00639-BH</v>
      </c>
      <c r="B238" s="2" t="str">
        <v>KH042</v>
      </c>
      <c r="C238" s="2" t="str">
        <v>2026-06-09</v>
      </c>
      <c r="D238" s="2" t="str">
        <v>BAN_HANG</v>
      </c>
      <c r="E238" s="2" t="str"/>
      <c r="F238" s="2" t="str">
        <v>chưa xuất HĐ</v>
      </c>
      <c r="G238" s="2" t="str"/>
      <c r="H238" s="19" t="n">
        <v>55000000</v>
      </c>
      <c r="I238" s="20" t="str">
        <v>Xuất bán Công ty TNHH Tổng hợp Bằng Ánh销售给邦映综合有限责任公司</v>
      </c>
      <c r="J238" s="20" t="str">
        <v>Chuẩn hóa VND; gốc 55000000.08; phần lẻ -0.080000000000 đ</v>
      </c>
      <c r="K238" s="20" t="str">
        <v>2.xlsx | 订单!639</v>
      </c>
      <c r="L238" s="20" t="str"/>
    </row>
    <row r="239" ht="48" customHeight="1">
      <c r="A239" s="2" t="str">
        <v>S2-00640-BH</v>
      </c>
      <c r="B239" s="2" t="str">
        <v>KH042</v>
      </c>
      <c r="C239" s="2" t="str">
        <v>2026-06-17</v>
      </c>
      <c r="D239" s="2" t="str">
        <v>BAN_HANG</v>
      </c>
      <c r="E239" s="2" t="str"/>
      <c r="F239" s="2" t="str">
        <v>00000244</v>
      </c>
      <c r="G239" s="2" t="str"/>
      <c r="H239" s="19" t="n">
        <v>18600000</v>
      </c>
      <c r="I239" s="20" t="str">
        <v>Xuất bán Công ty TNHH Tổng hợp Bằng Ánh销售给邦映综合有限责任公司</v>
      </c>
      <c r="J239" s="20" t="str">
        <v>Chuẩn hóa VND; gốc 18599999.976; phần lẻ 0.024000000000 đ</v>
      </c>
      <c r="K239" s="20" t="str">
        <v>2.xlsx | 订单!640-641</v>
      </c>
      <c r="L239" s="20" t="str"/>
    </row>
    <row r="240" ht="48" customHeight="1">
      <c r="A240" s="2" t="str">
        <v>S2-00642-BH</v>
      </c>
      <c r="B240" s="2" t="str">
        <v>KH042</v>
      </c>
      <c r="C240" s="2" t="str">
        <v>2026-06-23</v>
      </c>
      <c r="D240" s="2" t="str">
        <v>BAN_HANG</v>
      </c>
      <c r="E240" s="2" t="str"/>
      <c r="F240" s="2" t="str">
        <v>chưa xuất HĐ</v>
      </c>
      <c r="G240" s="2" t="str"/>
      <c r="H240" s="19" t="n">
        <v>6200000</v>
      </c>
      <c r="I240" s="20" t="str">
        <v>Xuất bán Công ty TNHH Tổng hợp Bằng Ánh销售给邦映综合有限责任公司</v>
      </c>
      <c r="J240" s="20" t="str">
        <v>Chuẩn hóa VND; gốc 6199999.956; phần lẻ 0.044000000000 đ</v>
      </c>
      <c r="K240" s="20" t="str">
        <v>2.xlsx | 订单!642</v>
      </c>
      <c r="L240" s="20" t="str"/>
    </row>
    <row r="241" ht="48" customHeight="1">
      <c r="A241" s="2" t="str">
        <v>S2-00643-BH</v>
      </c>
      <c r="B241" s="2" t="str">
        <v>KH042</v>
      </c>
      <c r="C241" s="2" t="str">
        <v>2026-06-23</v>
      </c>
      <c r="D241" s="2" t="str">
        <v>BAN_HANG</v>
      </c>
      <c r="E241" s="2" t="str"/>
      <c r="F241" s="2" t="str">
        <v>00000244</v>
      </c>
      <c r="G241" s="2" t="str"/>
      <c r="H241" s="19" t="n">
        <v>17600000</v>
      </c>
      <c r="I241" s="20" t="str">
        <v>Xuất bán Công ty TNHH Tổng hợp Bằng Ánh销售给邦映综合有限责任公司</v>
      </c>
      <c r="J241" s="20" t="str">
        <v>Chuẩn hóa VND; gốc 17599999.896; phần lẻ 0.104000000000 đ</v>
      </c>
      <c r="K241" s="20" t="str">
        <v>2.xlsx | 订单!643</v>
      </c>
      <c r="L241" s="20" t="str"/>
    </row>
    <row r="242" ht="48" customHeight="1">
      <c r="A242" s="2" t="str">
        <v>S2-00644-BH</v>
      </c>
      <c r="B242" s="2" t="str">
        <v>KH042</v>
      </c>
      <c r="C242" s="2" t="str">
        <v>2026-06-23</v>
      </c>
      <c r="D242" s="2" t="str">
        <v>BAN_HANG</v>
      </c>
      <c r="E242" s="2" t="str"/>
      <c r="F242" s="2" t="str">
        <v>00000202</v>
      </c>
      <c r="G242" s="2" t="str"/>
      <c r="H242" s="19" t="n">
        <v>22500000</v>
      </c>
      <c r="I242" s="20" t="str">
        <v>Xuất bán Công ty TNHH Tổng hợp Bằng Ánh销售给邦映综合有限责任公司</v>
      </c>
      <c r="J242" s="20" t="str">
        <v>Chuẩn hóa VND; gốc 22499999.856; phần lẻ 0.144000000000 đ</v>
      </c>
      <c r="K242" s="20" t="str">
        <v>2.xlsx | 订单!644</v>
      </c>
      <c r="L242" s="20" t="str"/>
    </row>
    <row r="243" ht="48" customHeight="1">
      <c r="A243" s="2" t="str">
        <v>S2-00645-TT</v>
      </c>
      <c r="B243" s="2" t="str">
        <v>KH042</v>
      </c>
      <c r="C243" s="2" t="str">
        <v>2026-06-23</v>
      </c>
      <c r="D243" s="2" t="str">
        <v>THU_TIEN</v>
      </c>
      <c r="E243" s="2" t="str"/>
      <c r="F243" s="2" t="str"/>
      <c r="G243" s="2" t="str"/>
      <c r="H243" s="19" t="n">
        <v>50000000</v>
      </c>
      <c r="I243" s="20" t="str">
        <v>Thu tiền khách hàng Chuyển khoản ngân hàng货款通过银行转账</v>
      </c>
      <c r="J243" s="20" t="str">
        <v>Chuẩn hóa VND; gốc 50000000; phần lẻ 0.000000000000 đ</v>
      </c>
      <c r="K243" s="20" t="str">
        <v>2.xlsx | 订单!645</v>
      </c>
      <c r="L243" s="20" t="str"/>
    </row>
    <row r="244" ht="48" customHeight="1">
      <c r="A244" s="2" t="str">
        <v>S2-00646-BH</v>
      </c>
      <c r="B244" s="2" t="str">
        <v>KH042</v>
      </c>
      <c r="C244" s="2" t="str">
        <v>2026-06-27</v>
      </c>
      <c r="D244" s="2" t="str">
        <v>BAN_HANG</v>
      </c>
      <c r="E244" s="2" t="str"/>
      <c r="F244" s="2" t="str">
        <v>00000202</v>
      </c>
      <c r="G244" s="2" t="str"/>
      <c r="H244" s="19" t="n">
        <v>25200000</v>
      </c>
      <c r="I244" s="20" t="str">
        <v>Xuất bán Công ty TNHH Tổng hợp Bằng Ánh销售给邦映综合有限责任公司</v>
      </c>
      <c r="J244" s="20" t="str">
        <v>Chuẩn hóa VND; gốc 25199999.6832; phần lẻ 0.316800000000 đ</v>
      </c>
      <c r="K244" s="20" t="str">
        <v>2.xlsx | 订单!646-648</v>
      </c>
      <c r="L244" s="20" t="str"/>
    </row>
    <row r="245" ht="48" customHeight="1">
      <c r="A245" s="2" t="str">
        <v>S2-00649-BH</v>
      </c>
      <c r="B245" s="2" t="str">
        <v>KH042</v>
      </c>
      <c r="C245" s="2" t="str">
        <v>2026-06-27</v>
      </c>
      <c r="D245" s="2" t="str">
        <v>BAN_HANG</v>
      </c>
      <c r="E245" s="2" t="str"/>
      <c r="F245" s="2" t="str">
        <v>chưa xuất HĐ</v>
      </c>
      <c r="G245" s="2" t="str"/>
      <c r="H245" s="19" t="n">
        <v>14200000</v>
      </c>
      <c r="I245" s="20" t="str">
        <v>Xuất bán Công ty TNHH Tổng hợp Bằng Ánh销售给邦映综合有限责任公司</v>
      </c>
      <c r="J245" s="20" t="str">
        <v>Chuẩn hóa VND; gốc 14200000.056; phần lẻ -0.056000000000 đ</v>
      </c>
      <c r="K245" s="20" t="str">
        <v>2.xlsx | 订单!649-650</v>
      </c>
      <c r="L245" s="20" t="str"/>
    </row>
    <row r="246" ht="48" customHeight="1">
      <c r="A246" s="2" t="str">
        <v>S2-00651-BH</v>
      </c>
      <c r="B246" s="2" t="str">
        <v>KH042</v>
      </c>
      <c r="C246" s="2" t="str">
        <v>2026-06-29</v>
      </c>
      <c r="D246" s="2" t="str">
        <v>BAN_HANG</v>
      </c>
      <c r="E246" s="2" t="str"/>
      <c r="F246" s="2" t="str">
        <v>00000202</v>
      </c>
      <c r="G246" s="2" t="str"/>
      <c r="H246" s="19" t="n">
        <v>96048000</v>
      </c>
      <c r="I246" s="20" t="str">
        <v>Xuất bán Công ty TNHH Tổng hợp Bằng Ánh销售给邦映综合有限责任公司</v>
      </c>
      <c r="J246" s="20" t="str">
        <v>Chuẩn hóa VND; gốc 96048000.2448; phần lẻ -0.244800000000 đ</v>
      </c>
      <c r="K246" s="20" t="str">
        <v>2.xlsx | 订单!651-660,662</v>
      </c>
      <c r="L246" s="20" t="str"/>
    </row>
    <row r="247" ht="48" customHeight="1">
      <c r="A247" s="2" t="str">
        <v>S2-00663-BH</v>
      </c>
      <c r="B247" s="2" t="str">
        <v>KH042</v>
      </c>
      <c r="C247" s="2" t="str">
        <v>2026-07-13</v>
      </c>
      <c r="D247" s="2" t="str">
        <v>BAN_HANG</v>
      </c>
      <c r="E247" s="2" t="str"/>
      <c r="F247" s="2" t="str">
        <v>00000219</v>
      </c>
      <c r="G247" s="2" t="str"/>
      <c r="H247" s="19" t="n">
        <v>27801600</v>
      </c>
      <c r="I247" s="20" t="str">
        <v>Xuất bán Công ty TNHH Tổng hợp Bằng Ánh销售给邦映综合有限责任公司</v>
      </c>
      <c r="J247" s="20" t="str">
        <v>Chuẩn hóa VND; gốc 27801599.7924; phần lẻ 0.207600000000 đ</v>
      </c>
      <c r="K247" s="20" t="str">
        <v>2.xlsx | 订单!663-672</v>
      </c>
      <c r="L247" s="20" t="str"/>
    </row>
    <row r="248" ht="48" customHeight="1">
      <c r="A248" s="2" t="str">
        <v>S2-00673-BH</v>
      </c>
      <c r="B248" s="2" t="str">
        <v>KH042</v>
      </c>
      <c r="C248" s="2" t="str">
        <v>2026-07-13</v>
      </c>
      <c r="D248" s="2" t="str">
        <v>BAN_HANG</v>
      </c>
      <c r="E248" s="2" t="str">
        <v>BH303.4</v>
      </c>
      <c r="F248" s="2" t="str">
        <v>00000313</v>
      </c>
      <c r="G248" s="2" t="str"/>
      <c r="H248" s="19" t="n">
        <v>7440000</v>
      </c>
      <c r="I248" s="20" t="str">
        <v>Xuất bán Công ty TNHH Tổng hợp Bằng Ánh销售给邦映综合有限责任公司</v>
      </c>
      <c r="J248" s="20" t="str">
        <v>Chuẩn hóa VND; gốc 7439999.9904; phần lẻ 0.009600000000 đ</v>
      </c>
      <c r="K248" s="20" t="str">
        <v>2.xlsx | 订单!673</v>
      </c>
      <c r="L248" s="20" t="str"/>
    </row>
    <row r="249" ht="48" customHeight="1">
      <c r="A249" s="2" t="str">
        <v>S2-00674-BH</v>
      </c>
      <c r="B249" s="2" t="str">
        <v>KH042</v>
      </c>
      <c r="C249" s="2" t="str">
        <v>2026-07-13</v>
      </c>
      <c r="D249" s="2" t="str">
        <v>BAN_HANG</v>
      </c>
      <c r="E249" s="2" t="str"/>
      <c r="F249" s="2" t="str">
        <v>00000244</v>
      </c>
      <c r="G249" s="2" t="str"/>
      <c r="H249" s="19" t="n">
        <v>17600000</v>
      </c>
      <c r="I249" s="20" t="str">
        <v>Xuất bán Công ty TNHH Tổng hợp Bằng Ánh销售给邦映综合有限责任公司</v>
      </c>
      <c r="J249" s="20" t="str">
        <v>Chuẩn hóa VND; gốc 17599999.896; phần lẻ 0.104000000000 đ</v>
      </c>
      <c r="K249" s="20" t="str">
        <v>2.xlsx | 订单!674</v>
      </c>
      <c r="L249" s="20" t="str"/>
    </row>
    <row r="250" ht="48" customHeight="1">
      <c r="A250" s="2" t="str">
        <v>S2-00675-BH</v>
      </c>
      <c r="B250" s="2" t="str">
        <v>KH042</v>
      </c>
      <c r="C250" s="2" t="str">
        <v>2026-07-13</v>
      </c>
      <c r="D250" s="2" t="str">
        <v>BAN_HANG</v>
      </c>
      <c r="E250" s="2" t="str"/>
      <c r="F250" s="2" t="str"/>
      <c r="G250" s="2" t="str"/>
      <c r="H250" s="19" t="n">
        <v>8760000</v>
      </c>
      <c r="I250" s="20" t="str">
        <v>Xuất bán Công ty TNHH Tổng hợp Bằng Ánh销售给邦映综合有限责任公司</v>
      </c>
      <c r="J250" s="20" t="str">
        <v>Chuẩn hóa VND; gốc 8760000.0528; phần lẻ -0.052800000000 đ</v>
      </c>
      <c r="K250" s="20" t="str">
        <v>2.xlsx | 订单!675</v>
      </c>
      <c r="L250" s="20" t="str"/>
    </row>
    <row r="251" ht="48" customHeight="1">
      <c r="A251" s="2" t="str">
        <v>S2-00677-BH</v>
      </c>
      <c r="B251" s="2" t="str">
        <v>KH042</v>
      </c>
      <c r="C251" s="2" t="str">
        <v>2026-07-20</v>
      </c>
      <c r="D251" s="2" t="str">
        <v>BAN_HANG</v>
      </c>
      <c r="E251" s="2" t="str">
        <v>BH303.4</v>
      </c>
      <c r="F251" s="2" t="str">
        <v>00000313</v>
      </c>
      <c r="G251" s="2" t="str"/>
      <c r="H251" s="19" t="n">
        <v>18600000</v>
      </c>
      <c r="I251" s="20" t="str">
        <v>Xuất bán Công ty TNHH Tổng hợp Bằng Ánh销售给邦映综合有限责任公司</v>
      </c>
      <c r="J251" s="20" t="str">
        <v>Chuẩn hóa VND; gốc 18599999.976; phần lẻ 0.024000000000 đ</v>
      </c>
      <c r="K251" s="20" t="str">
        <v>2.xlsx | 订单!677</v>
      </c>
      <c r="L251" s="20" t="str"/>
    </row>
    <row r="252" ht="48" customHeight="1">
      <c r="A252" s="2" t="str">
        <v>S2-00678-TT</v>
      </c>
      <c r="B252" s="2" t="str">
        <v>KH042</v>
      </c>
      <c r="C252" s="2" t="str">
        <v>2026-07-25</v>
      </c>
      <c r="D252" s="2" t="str">
        <v>THU_TIEN</v>
      </c>
      <c r="E252" s="2" t="str"/>
      <c r="F252" s="2" t="str"/>
      <c r="G252" s="2" t="str"/>
      <c r="H252" s="19" t="n">
        <v>45000000</v>
      </c>
      <c r="I252" s="20" t="str">
        <v>Thu tiền khách hàng Chuyển khoản ngân hàng货款通过银行转账</v>
      </c>
      <c r="J252" s="20" t="str">
        <v>Chuẩn hóa VND; gốc 45000000; phần lẻ 0.000000000000 đ</v>
      </c>
      <c r="K252" s="20" t="str">
        <v>2.xlsx | 订单!678</v>
      </c>
      <c r="L252" s="20" t="str"/>
    </row>
    <row r="253" ht="48" customHeight="1">
      <c r="A253" s="2" t="str">
        <v>S2-00679-BH</v>
      </c>
      <c r="B253" s="2" t="str">
        <v>KH042</v>
      </c>
      <c r="C253" s="2" t="str">
        <v>2026-07-29</v>
      </c>
      <c r="D253" s="2" t="str">
        <v>BAN_HANG</v>
      </c>
      <c r="E253" s="2" t="str"/>
      <c r="F253" s="2" t="str">
        <v>00000327</v>
      </c>
      <c r="G253" s="2" t="str"/>
      <c r="H253" s="19" t="n">
        <v>115730000</v>
      </c>
      <c r="I253" s="20" t="str">
        <v>Xuất bán Công ty TNHH Tổng hợp Bằng Ánh销售给邦映综合有限责任公司</v>
      </c>
      <c r="J253" s="20" t="str">
        <v>Chuẩn hóa VND; gốc 115729999.776; phần lẻ 0.224000000000 đ</v>
      </c>
      <c r="K253" s="20" t="str">
        <v>2.xlsx | 订单!679-687</v>
      </c>
      <c r="L253" s="20" t="str"/>
    </row>
    <row r="254" ht="48" customHeight="1">
      <c r="A254" s="2" t="str">
        <v>S2-00696-TH</v>
      </c>
      <c r="B254" s="2" t="str">
        <v>KH042</v>
      </c>
      <c r="C254" s="2" t="str">
        <v>2026-07-30</v>
      </c>
      <c r="D254" s="2" t="str">
        <v>TRA_HANG</v>
      </c>
      <c r="E254" s="2" t="str"/>
      <c r="F254" s="2" t="str">
        <v>00000256</v>
      </c>
      <c r="G254" s="2" t="str"/>
      <c r="H254" s="19" t="n">
        <v>22290000</v>
      </c>
      <c r="I254" s="20" t="str">
        <v>Điều chỉnh giảm HĐ 202</v>
      </c>
      <c r="J254" s="20" t="str">
        <v>Chuẩn hóa VND; gốc 22289999.7096; phần lẻ 0.290400000000 đ</v>
      </c>
      <c r="K254" s="20" t="str">
        <v>2.xlsx | 订单!696-698</v>
      </c>
      <c r="L254" s="20" t="str"/>
    </row>
    <row r="255" ht="48" customHeight="1">
      <c r="A255" s="2" t="str">
        <v>S2-00699-TH</v>
      </c>
      <c r="B255" s="2" t="str">
        <v>KH042</v>
      </c>
      <c r="C255" s="2" t="str">
        <v>2026-07-30</v>
      </c>
      <c r="D255" s="2" t="str">
        <v>TRA_HANG</v>
      </c>
      <c r="E255" s="2" t="str"/>
      <c r="F255" s="2" t="str"/>
      <c r="G255" s="2" t="str"/>
      <c r="H255" s="19" t="n">
        <v>13950000</v>
      </c>
      <c r="I255" s="20" t="str">
        <v>Điều chỉnh giảm</v>
      </c>
      <c r="J255" s="20" t="str">
        <v>Chuẩn hóa VND; gốc 13950000.0576; phần lẻ -0.057600000000 đ</v>
      </c>
      <c r="K255" s="20" t="str">
        <v>2.xlsx | 订单!699-700</v>
      </c>
      <c r="L255" s="20" t="str"/>
    </row>
    <row r="256" ht="48" customHeight="1">
      <c r="A256" s="2" t="str">
        <v>S2-01012-TH</v>
      </c>
      <c r="B256" s="2" t="str">
        <v>KH042</v>
      </c>
      <c r="C256" s="2" t="str">
        <v>2026-08-03</v>
      </c>
      <c r="D256" s="2" t="str">
        <v>TRA_HANG</v>
      </c>
      <c r="E256" s="2" t="str">
        <v>NK2026080001</v>
      </c>
      <c r="F256" s="2" t="str"/>
      <c r="G256" s="2" t="str"/>
      <c r="H256" s="19" t="n">
        <v>55000000</v>
      </c>
      <c r="I256" s="20" t="str">
        <v>Trả lại hàng bán 退回已售出的商品</v>
      </c>
      <c r="J256" s="20" t="str">
        <v>Chuẩn hóa VND; gốc 55000000.08; phần lẻ -0.080000000000 đ</v>
      </c>
      <c r="K256" s="20" t="str">
        <v>2.xlsx | 订单!1012</v>
      </c>
      <c r="L256" s="20" t="str"/>
    </row>
    <row r="257" ht="48" customHeight="1">
      <c r="A257" s="2" t="str">
        <v>S2-01791-TH</v>
      </c>
      <c r="B257" s="2" t="str">
        <v>KH042</v>
      </c>
      <c r="C257" s="2" t="str">
        <v>2026-09-10</v>
      </c>
      <c r="D257" s="2" t="str">
        <v>TRA_HANG</v>
      </c>
      <c r="E257" s="2" t="str">
        <v>Nk2026090020</v>
      </c>
      <c r="F257" s="2" t="str"/>
      <c r="G257" s="2" t="str"/>
      <c r="H257" s="19" t="n">
        <v>4340000</v>
      </c>
      <c r="I257" s="20" t="str">
        <v>Trả lại hàng bán 退回已售出的商品</v>
      </c>
      <c r="J257" s="20" t="str">
        <v>Chuẩn hóa VND; gốc 4339999.9692; phần lẻ 0.030800000000 đ</v>
      </c>
      <c r="K257" s="20" t="str">
        <v>2.xlsx | 订单!1791</v>
      </c>
      <c r="L257" s="20" t="str"/>
    </row>
    <row r="258" ht="48" customHeight="1">
      <c r="A258" s="2" t="str">
        <v>S2-01790-TT</v>
      </c>
      <c r="B258" s="2" t="str">
        <v>KH042</v>
      </c>
      <c r="C258" s="2" t="str">
        <v>2026-09-19</v>
      </c>
      <c r="D258" s="2" t="str">
        <v>THU_TIEN</v>
      </c>
      <c r="E258" s="2" t="str"/>
      <c r="F258" s="2" t="str"/>
      <c r="G258" s="2" t="str"/>
      <c r="H258" s="19" t="n">
        <v>50000000</v>
      </c>
      <c r="I258" s="20" t="str">
        <v>Thu tiền khách hàng Chuyển khoản ngân hàng货款通过银行转账</v>
      </c>
      <c r="J258" s="20" t="str">
        <v>Chuẩn hóa VND; gốc 50000000; phần lẻ 0.000000000000 đ</v>
      </c>
      <c r="K258" s="20" t="str">
        <v>2.xlsx | 订单!1790</v>
      </c>
      <c r="L258" s="20" t="str"/>
    </row>
    <row r="259" ht="48" customHeight="1">
      <c r="A259" s="2" t="str">
        <v>S2-01856-BH</v>
      </c>
      <c r="B259" s="2" t="str">
        <v>KH042</v>
      </c>
      <c r="C259" s="2" t="str">
        <v>2026-09-21</v>
      </c>
      <c r="D259" s="2" t="str">
        <v>BAN_HANG</v>
      </c>
      <c r="E259" s="2" t="str">
        <v>BH2026090081</v>
      </c>
      <c r="F259" s="2" t="str">
        <v>00000327, 00000322</v>
      </c>
      <c r="G259" s="2" t="str"/>
      <c r="H259" s="19" t="n">
        <v>145172000</v>
      </c>
      <c r="I259" s="20" t="str">
        <v>Xuất bán Công ty TNHH Tổng hợp Bằng Ánh销售给邦映综合有限责任公司</v>
      </c>
      <c r="J259" s="20" t="str">
        <v>Chuẩn hóa VND; gốc 145171999.8288; phần lẻ 0.171200000000 đ</v>
      </c>
      <c r="K259" s="20" t="str">
        <v>2.xlsx | 订单!1856-1867</v>
      </c>
      <c r="L259" s="20" t="str"/>
    </row>
    <row r="260" ht="48" customHeight="1">
      <c r="A260" s="2" t="str">
        <v>S2-02062-TH</v>
      </c>
      <c r="B260" s="2" t="str">
        <v>KH042</v>
      </c>
      <c r="C260" s="2" t="str">
        <v>2026-10-09</v>
      </c>
      <c r="D260" s="2" t="str">
        <v>TRA_HANG</v>
      </c>
      <c r="E260" s="2" t="str">
        <v>NK2026100027</v>
      </c>
      <c r="F260" s="2" t="str"/>
      <c r="G260" s="2" t="str"/>
      <c r="H260" s="19" t="n">
        <v>5200000</v>
      </c>
      <c r="I260" s="20" t="str">
        <v>Trả lại hàng bán</v>
      </c>
      <c r="J260" s="20" t="str">
        <v>Chuẩn hóa VND; gốc 5200000.2; phần lẻ -0.200000000000 đ</v>
      </c>
      <c r="K260" s="20" t="str">
        <v>2.xlsx | 订单!2062</v>
      </c>
      <c r="L260" s="20" t="str"/>
    </row>
    <row r="261" ht="48" customHeight="1">
      <c r="A261" s="2" t="str">
        <v>S2-02073-TT</v>
      </c>
      <c r="B261" s="2" t="str">
        <v>KH042</v>
      </c>
      <c r="C261" s="2" t="str">
        <v>2026-10-09</v>
      </c>
      <c r="D261" s="2" t="str">
        <v>THU_TIEN</v>
      </c>
      <c r="E261" s="2" t="str"/>
      <c r="F261" s="2" t="str"/>
      <c r="G261" s="2" t="str"/>
      <c r="H261" s="19" t="n">
        <v>60000000</v>
      </c>
      <c r="I261" s="20" t="str">
        <v>Thu tiền khách hàng Chuyển khoản ngân hàng货款通过银行转账</v>
      </c>
      <c r="J261" s="20" t="str">
        <v>Chuẩn hóa VND; gốc 60000000; phần lẻ 0.000000000000 đ</v>
      </c>
      <c r="K261" s="20" t="str">
        <v>2.xlsx | 订单!2073</v>
      </c>
      <c r="L261" s="20" t="str"/>
    </row>
    <row r="262" ht="48" customHeight="1">
      <c r="A262" s="2" t="str">
        <v>S2-01440-BH</v>
      </c>
      <c r="B262" s="2" t="str">
        <v>KH043</v>
      </c>
      <c r="C262" s="2" t="str">
        <v>2026-08-28</v>
      </c>
      <c r="D262" s="2" t="str">
        <v>BAN_HANG</v>
      </c>
      <c r="E262" s="2" t="str">
        <v>BH2026080030</v>
      </c>
      <c r="F262" s="2" t="str"/>
      <c r="G262" s="2" t="str"/>
      <c r="H262" s="19" t="n">
        <v>780000</v>
      </c>
      <c r="I262" s="20" t="str">
        <v>Xuất bán cho Anh Huy 销售给辉哥</v>
      </c>
      <c r="J262" s="20" t="str">
        <v>Chuẩn hóa VND; gốc 779999.9976; phần lẻ 0.002400000000 đ</v>
      </c>
      <c r="K262" s="20" t="str">
        <v>2.xlsx | 订单!1440</v>
      </c>
      <c r="L262" s="20" t="str"/>
    </row>
    <row r="263" ht="48" customHeight="1">
      <c r="A263" s="2" t="str">
        <v>S2-01611-TT</v>
      </c>
      <c r="B263" s="2" t="str">
        <v>KH043</v>
      </c>
      <c r="C263" s="2" t="str">
        <v>2026-09-09</v>
      </c>
      <c r="D263" s="2" t="str">
        <v>THU_TIEN</v>
      </c>
      <c r="E263" s="2" t="str"/>
      <c r="F263" s="2" t="str"/>
      <c r="G263" s="2" t="str"/>
      <c r="H263" s="19" t="n">
        <v>780000</v>
      </c>
      <c r="I263" s="20" t="str">
        <v>Thu tiền mặt của khách hàng 收取客户现金</v>
      </c>
      <c r="J263" s="20" t="str">
        <v>Chuẩn hóa VND; gốc 780000; phần lẻ 0.000000000000 đ</v>
      </c>
      <c r="K263" s="20" t="str">
        <v>2.xlsx | 订单!1611</v>
      </c>
      <c r="L263" s="20" t="str"/>
    </row>
    <row r="264" ht="48" customHeight="1">
      <c r="A264" s="2" t="str">
        <v>S2-00931-TT</v>
      </c>
      <c r="B264" s="2" t="str">
        <v>KH049</v>
      </c>
      <c r="C264" s="2" t="str">
        <v>2025-01-12</v>
      </c>
      <c r="D264" s="2" t="str">
        <v>THU_TIEN</v>
      </c>
      <c r="E264" s="2" t="str"/>
      <c r="F264" s="2" t="str"/>
      <c r="G264" s="2" t="str"/>
      <c r="H264" s="19" t="n">
        <v>5520000</v>
      </c>
      <c r="I264" s="20" t="str">
        <v>Thu tiền khách hàng Chuyển khoản ngân hàng货款通过银行转账</v>
      </c>
      <c r="J264" s="20" t="str">
        <v>Chuẩn hóa VND; gốc 5520000; phần lẻ 0.000000000000 đ</v>
      </c>
      <c r="K264" s="20" t="str">
        <v>2.xlsx | 订单!931</v>
      </c>
      <c r="L264" s="20" t="str"/>
    </row>
    <row r="265" ht="48" customHeight="1">
      <c r="A265" s="2" t="str">
        <v>S2-00926-BH</v>
      </c>
      <c r="B265" s="2" t="str">
        <v>KH049</v>
      </c>
      <c r="C265" s="2" t="str">
        <v>2025-10-28</v>
      </c>
      <c r="D265" s="2" t="str">
        <v>BAN_HANG</v>
      </c>
      <c r="E265" s="2" t="str"/>
      <c r="F265" s="2" t="str">
        <v>00000072</v>
      </c>
      <c r="G265" s="2" t="str"/>
      <c r="H265" s="19" t="n">
        <v>6210000</v>
      </c>
      <c r="I265" s="20" t="str">
        <v>xuất bán cho CÔNG TY TNHH XUẤT NHẬP KHẨU HOÀNG TÂN</v>
      </c>
      <c r="J265" s="20" t="str">
        <v>Chuẩn hóa VND; gốc 6210000; phần lẻ 0.000000000000 đ</v>
      </c>
      <c r="K265" s="20" t="str">
        <v>2.xlsx | 订单!926</v>
      </c>
      <c r="L265" s="20" t="str"/>
    </row>
    <row r="266" ht="48" customHeight="1">
      <c r="A266" s="2" t="str">
        <v>S2-00927-BH</v>
      </c>
      <c r="B266" s="2" t="str">
        <v>KH049</v>
      </c>
      <c r="C266" s="2" t="str">
        <v>2025-10-29</v>
      </c>
      <c r="D266" s="2" t="str">
        <v>BAN_HANG</v>
      </c>
      <c r="E266" s="2" t="str"/>
      <c r="F266" s="2" t="str">
        <v>00000065</v>
      </c>
      <c r="G266" s="2" t="str"/>
      <c r="H266" s="19" t="n">
        <v>1782000</v>
      </c>
      <c r="I266" s="20" t="str">
        <v>xuất bán cho CÔNG TY TNHH XUẤT NHẬP KHẨU HOÀNG TÂN</v>
      </c>
      <c r="J266" s="20" t="str">
        <v>Chuẩn hóa VND; gốc 1782000; phần lẻ 0.000000000000 đ</v>
      </c>
      <c r="K266" s="20" t="str">
        <v>2.xlsx | 订单!927-928</v>
      </c>
      <c r="L266" s="20" t="str"/>
    </row>
    <row r="267" ht="48" customHeight="1">
      <c r="A267" s="2" t="str">
        <v>S2-00929-BH</v>
      </c>
      <c r="B267" s="2" t="str">
        <v>KH049</v>
      </c>
      <c r="C267" s="2" t="str">
        <v>2025-10-30</v>
      </c>
      <c r="D267" s="2" t="str">
        <v>BAN_HANG</v>
      </c>
      <c r="E267" s="2" t="str"/>
      <c r="F267" s="2" t="str">
        <v>00000065</v>
      </c>
      <c r="G267" s="2" t="str"/>
      <c r="H267" s="19" t="n">
        <v>6688600</v>
      </c>
      <c r="I267" s="20" t="str">
        <v>xuất bán cho CÔNG TY TNHH XUẤT NHẬP KHẨU HOÀNG TÂN</v>
      </c>
      <c r="J267" s="20" t="str">
        <v>Chuẩn hóa VND; gốc 6688599.84; phần lẻ 0.160000000000 đ</v>
      </c>
      <c r="K267" s="20" t="str">
        <v>2.xlsx | 订单!929-930</v>
      </c>
      <c r="L267" s="21" t="str">
        <v>Dòng không có ngày ghi sổ — tạm lấy ngày dòng trước 2025-10-30</v>
      </c>
    </row>
    <row r="268" ht="48" customHeight="1">
      <c r="A268" s="2" t="str">
        <v>S2-00932-BH</v>
      </c>
      <c r="B268" s="2" t="str">
        <v>KH049</v>
      </c>
      <c r="C268" s="2" t="str">
        <v>2025-12-30</v>
      </c>
      <c r="D268" s="2" t="str">
        <v>BAN_HANG</v>
      </c>
      <c r="E268" s="2" t="str"/>
      <c r="F268" s="2" t="str">
        <v>00000070</v>
      </c>
      <c r="G268" s="2" t="str"/>
      <c r="H268" s="19" t="n">
        <v>10780000</v>
      </c>
      <c r="I268" s="20" t="str">
        <v>xuất bán cho CÔNG TY TNHH XUẤT NHẬP KHẨU HOÀNG TÂN</v>
      </c>
      <c r="J268" s="20" t="str">
        <v>Chuẩn hóa VND; gốc 10779999.912; phần lẻ 0.088000000000 đ</v>
      </c>
      <c r="K268" s="20" t="str">
        <v>2.xlsx | 订单!932</v>
      </c>
      <c r="L268" s="20" t="str"/>
    </row>
    <row r="269" ht="48" customHeight="1">
      <c r="A269" s="2" t="str">
        <v>S2-00933-BH</v>
      </c>
      <c r="B269" s="2" t="str">
        <v>KH049</v>
      </c>
      <c r="C269" s="2" t="str">
        <v>2025-12-30</v>
      </c>
      <c r="D269" s="2" t="str">
        <v>BAN_HANG</v>
      </c>
      <c r="E269" s="2" t="str"/>
      <c r="F269" s="2" t="str">
        <v>00000124</v>
      </c>
      <c r="G269" s="2" t="str"/>
      <c r="H269" s="19" t="n">
        <v>610000</v>
      </c>
      <c r="I269" s="20" t="str">
        <v>xuất bán cho CÔNG TY TNHH XUẤT NHẬP KHẨU HOÀNG TÂN</v>
      </c>
      <c r="J269" s="20" t="str">
        <v>Chuẩn hóa VND; gốc 610000.0056; phần lẻ -0.005600000000 đ</v>
      </c>
      <c r="K269" s="20" t="str">
        <v>2.xlsx | 订单!933-934</v>
      </c>
      <c r="L269" s="20" t="str"/>
    </row>
    <row r="270" ht="48" customHeight="1">
      <c r="A270" s="2" t="str">
        <v>S2-00935-BH</v>
      </c>
      <c r="B270" s="2" t="str">
        <v>KH049</v>
      </c>
      <c r="C270" s="2" t="str">
        <v>2026-01-13</v>
      </c>
      <c r="D270" s="2" t="str">
        <v>BAN_HANG</v>
      </c>
      <c r="E270" s="2" t="str"/>
      <c r="F270" s="2" t="str">
        <v>00000040</v>
      </c>
      <c r="G270" s="2" t="str"/>
      <c r="H270" s="19" t="n">
        <v>11760000</v>
      </c>
      <c r="I270" s="20" t="str">
        <v>xuất bán cho CÔNG TY TNHH XUẤT NHẬP KHẨU HOÀNG TÂN</v>
      </c>
      <c r="J270" s="20" t="str">
        <v>Chuẩn hóa VND; gốc 11760000.0336; phần lẻ -0.033600000000 đ</v>
      </c>
      <c r="K270" s="20" t="str">
        <v>2.xlsx | 订单!935</v>
      </c>
      <c r="L270" s="20" t="str"/>
    </row>
    <row r="271" ht="48" customHeight="1">
      <c r="A271" s="2" t="str">
        <v>S2-00936-TT</v>
      </c>
      <c r="B271" s="2" t="str">
        <v>KH049</v>
      </c>
      <c r="C271" s="2" t="str">
        <v>2026-01-21</v>
      </c>
      <c r="D271" s="2" t="str">
        <v>THU_TIEN</v>
      </c>
      <c r="E271" s="2" t="str"/>
      <c r="F271" s="2" t="str"/>
      <c r="G271" s="2" t="str"/>
      <c r="H271" s="19" t="n">
        <v>31869000</v>
      </c>
      <c r="I271" s="20" t="str">
        <v>Thu tiền khách hàng Chuyển khoản ngân hàng货款通过银行转账</v>
      </c>
      <c r="J271" s="20" t="str">
        <v>Chuẩn hóa VND; gốc 31869000; phần lẻ 0.000000000000 đ</v>
      </c>
      <c r="K271" s="20" t="str">
        <v>2.xlsx | 订单!936</v>
      </c>
      <c r="L271" s="20" t="str"/>
    </row>
    <row r="272" ht="48" customHeight="1">
      <c r="A272" s="2" t="str">
        <v>S2-00937-BH</v>
      </c>
      <c r="B272" s="2" t="str">
        <v>KH049</v>
      </c>
      <c r="C272" s="2" t="str">
        <v>2026-01-23</v>
      </c>
      <c r="D272" s="2" t="str">
        <v>BAN_HANG</v>
      </c>
      <c r="E272" s="2" t="str"/>
      <c r="F272" s="2" t="str">
        <v>00000041</v>
      </c>
      <c r="G272" s="2" t="str"/>
      <c r="H272" s="19" t="n">
        <v>5520000</v>
      </c>
      <c r="I272" s="20" t="str">
        <v>xuất bán cho CÔNG TY TNHH XUẤT NHẬP KHẨU HOÀNG TÂN</v>
      </c>
      <c r="J272" s="20" t="str">
        <v>Chuẩn hóa VND; gốc 5519999.9232; phần lẻ 0.076800000000 đ</v>
      </c>
      <c r="K272" s="20" t="str">
        <v>2.xlsx | 订单!937</v>
      </c>
      <c r="L272" s="20" t="str"/>
    </row>
    <row r="273" ht="48" customHeight="1">
      <c r="A273" s="2" t="str">
        <v>S2-00938-BH</v>
      </c>
      <c r="B273" s="2" t="str">
        <v>KH049</v>
      </c>
      <c r="C273" s="2" t="str">
        <v>2026-01-23</v>
      </c>
      <c r="D273" s="2" t="str">
        <v>BAN_HANG</v>
      </c>
      <c r="E273" s="2" t="str"/>
      <c r="F273" s="2" t="str">
        <v>00000102</v>
      </c>
      <c r="G273" s="2" t="str"/>
      <c r="H273" s="19" t="n">
        <v>410000</v>
      </c>
      <c r="I273" s="20" t="str">
        <v>xuất bán cho CÔNG TY TNHH XUẤT NHẬP KHẨU HOÀNG TÂN</v>
      </c>
      <c r="J273" s="20" t="str">
        <v>Chuẩn hóa VND; gốc 410000.0004; phần lẻ -0.000400000000 đ</v>
      </c>
      <c r="K273" s="20" t="str">
        <v>2.xlsx | 订单!938</v>
      </c>
      <c r="L273" s="20" t="str"/>
    </row>
    <row r="274" ht="48" customHeight="1">
      <c r="A274" s="2" t="str">
        <v>S2-00939-BH</v>
      </c>
      <c r="B274" s="2" t="str">
        <v>KH049</v>
      </c>
      <c r="C274" s="2" t="str">
        <v>2026-01-28</v>
      </c>
      <c r="D274" s="2" t="str">
        <v>BAN_HANG</v>
      </c>
      <c r="E274" s="2" t="str"/>
      <c r="F274" s="2" t="str">
        <v>00000042</v>
      </c>
      <c r="G274" s="2" t="str"/>
      <c r="H274" s="19" t="n">
        <v>9800000</v>
      </c>
      <c r="I274" s="20" t="str">
        <v>xuất bán cho CÔNG TY TNHH XUẤT NHẬP KHẨU HOÀNG TÂN</v>
      </c>
      <c r="J274" s="20" t="str">
        <v>Chuẩn hóa VND; gốc 9800000.028; phần lẻ -0.028000000000 đ</v>
      </c>
      <c r="K274" s="20" t="str">
        <v>2.xlsx | 订单!939</v>
      </c>
      <c r="L274" s="20" t="str"/>
    </row>
    <row r="275" ht="48" customHeight="1">
      <c r="A275" s="2" t="str">
        <v>S2-00940-BH</v>
      </c>
      <c r="B275" s="2" t="str">
        <v>KH049</v>
      </c>
      <c r="C275" s="2" t="str">
        <v>2026-02-02</v>
      </c>
      <c r="D275" s="2" t="str">
        <v>BAN_HANG</v>
      </c>
      <c r="E275" s="2" t="str"/>
      <c r="F275" s="2" t="str">
        <v>00000036</v>
      </c>
      <c r="G275" s="2" t="str"/>
      <c r="H275" s="19" t="n">
        <v>32659999</v>
      </c>
      <c r="I275" s="20" t="str">
        <v>xuất bán cho CÔNG TY TNHH XUẤT NHẬP KHẨU HOÀNG TÂN</v>
      </c>
      <c r="J275" s="20" t="str">
        <v>Chuẩn hóa VND; gốc 32659999.5456; phần lẻ -0.545600000000 đ</v>
      </c>
      <c r="K275" s="20" t="str">
        <v>2.xlsx | 订单!940</v>
      </c>
      <c r="L275" s="20" t="str"/>
    </row>
    <row r="276" ht="48" customHeight="1">
      <c r="A276" s="2" t="str">
        <v>S2-00945-BH</v>
      </c>
      <c r="B276" s="2" t="str">
        <v>KH049</v>
      </c>
      <c r="C276" s="2" t="str">
        <v>2026-02-03</v>
      </c>
      <c r="D276" s="2" t="str">
        <v>BAN_HANG</v>
      </c>
      <c r="E276" s="2" t="str"/>
      <c r="F276" s="2" t="str">
        <v>00000088</v>
      </c>
      <c r="G276" s="2" t="str"/>
      <c r="H276" s="19" t="n">
        <v>11760000</v>
      </c>
      <c r="I276" s="20" t="str">
        <v>xuất bán cho CÔNG TY TNHH XUẤT NHẬP KHẨU HOÀNG TÂN</v>
      </c>
      <c r="J276" s="20" t="str">
        <v>Chuẩn hóa VND; gốc 11760000.0336; phần lẻ -0.033600000000 đ</v>
      </c>
      <c r="K276" s="20" t="str">
        <v>2.xlsx | 订单!945</v>
      </c>
      <c r="L276" s="20" t="str"/>
    </row>
    <row r="277" ht="48" customHeight="1">
      <c r="A277" s="2" t="str">
        <v>S2-00950-BH</v>
      </c>
      <c r="B277" s="2" t="str">
        <v>KH049</v>
      </c>
      <c r="C277" s="2" t="str">
        <v>2026-02-06</v>
      </c>
      <c r="D277" s="2" t="str">
        <v>BAN_HANG</v>
      </c>
      <c r="E277" s="2" t="str"/>
      <c r="F277" s="2" t="str">
        <v>00000167</v>
      </c>
      <c r="G277" s="2" t="str"/>
      <c r="H277" s="19" t="n">
        <v>2160000</v>
      </c>
      <c r="I277" s="20" t="str">
        <v>xuất bán cho CÔNG TY TNHH XUẤT NHẬP KHẨU HOÀNG TÂN</v>
      </c>
      <c r="J277" s="20" t="str">
        <v>Chuẩn hóa VND; gốc 2159999.9784; phần lẻ 0.021600000000 đ</v>
      </c>
      <c r="K277" s="20" t="str">
        <v>2.xlsx | 订单!950</v>
      </c>
      <c r="L277" s="20" t="str"/>
    </row>
    <row r="278" ht="48" customHeight="1">
      <c r="A278" s="2" t="str">
        <v>S2-00942-BH</v>
      </c>
      <c r="B278" s="2" t="str">
        <v>KH049</v>
      </c>
      <c r="C278" s="2" t="str">
        <v>2026-02-09</v>
      </c>
      <c r="D278" s="2" t="str">
        <v>BAN_HANG</v>
      </c>
      <c r="E278" s="2" t="str"/>
      <c r="F278" s="2" t="str">
        <v>00000059</v>
      </c>
      <c r="G278" s="2" t="str"/>
      <c r="H278" s="19" t="n">
        <v>11657600</v>
      </c>
      <c r="I278" s="20" t="str">
        <v>xuất bán cho CÔNG TY TNHH XUẤT NHẬP KHẨU HOÀNG TÂN</v>
      </c>
      <c r="J278" s="20" t="str">
        <v>Chuẩn hóa VND; gốc 11657600.028; phần lẻ -0.028000000000 đ</v>
      </c>
      <c r="K278" s="20" t="str">
        <v>2.xlsx | 订单!942-943</v>
      </c>
      <c r="L278" s="21" t="str">
        <v>Ngày 2026-09-02 sau mốc của khối nhập tay (≤ 2026-08-15) → đảo ngày/tháng thành 2026-02-09</v>
      </c>
    </row>
    <row r="279" ht="48" customHeight="1">
      <c r="A279" s="2" t="str">
        <v>S2-00944-BH</v>
      </c>
      <c r="B279" s="2" t="str">
        <v>KH049</v>
      </c>
      <c r="C279" s="2" t="str">
        <v>2026-02-24</v>
      </c>
      <c r="D279" s="2" t="str">
        <v>BAN_HANG</v>
      </c>
      <c r="E279" s="2" t="str"/>
      <c r="F279" s="2" t="str">
        <v>00000076</v>
      </c>
      <c r="G279" s="2" t="str"/>
      <c r="H279" s="19" t="n">
        <v>8600000</v>
      </c>
      <c r="I279" s="20" t="str">
        <v>xuất bán cho CÔNG TY TNHH XUẤT NHẬP KHẨU HOÀNG TÂN</v>
      </c>
      <c r="J279" s="20" t="str">
        <v>Chuẩn hóa VND; gốc 8599999.824; phần lẻ 0.176000000000 đ</v>
      </c>
      <c r="K279" s="20" t="str">
        <v>2.xlsx | 订单!944</v>
      </c>
      <c r="L279" s="20" t="str"/>
    </row>
    <row r="280" ht="48" customHeight="1">
      <c r="A280" s="2" t="str">
        <v>S2-00947-BH</v>
      </c>
      <c r="B280" s="2" t="str">
        <v>KH049</v>
      </c>
      <c r="C280" s="2" t="str">
        <v>2026-03-26</v>
      </c>
      <c r="D280" s="2" t="str">
        <v>BAN_HANG</v>
      </c>
      <c r="E280" s="2" t="str"/>
      <c r="F280" s="2" t="str">
        <v>00000102</v>
      </c>
      <c r="G280" s="2" t="str"/>
      <c r="H280" s="19" t="n">
        <v>8599999</v>
      </c>
      <c r="I280" s="20" t="str">
        <v>xuất bán cho CÔNG TY TNHH XUẤT NHẬP KHẨU HOÀNG TÂN</v>
      </c>
      <c r="J280" s="20" t="str">
        <v>Chuẩn hóa VND; gốc 8599999.824; phần lẻ -0.824000000000 đ</v>
      </c>
      <c r="K280" s="20" t="str">
        <v>2.xlsx | 订单!947</v>
      </c>
      <c r="L280" s="20" t="str"/>
    </row>
    <row r="281" ht="48" customHeight="1">
      <c r="A281" s="2" t="str">
        <v>S2-00941-TT</v>
      </c>
      <c r="B281" s="2" t="str">
        <v>KH049</v>
      </c>
      <c r="C281" s="2" t="str">
        <v>2026-04-02</v>
      </c>
      <c r="D281" s="2" t="str">
        <v>THU_TIEN</v>
      </c>
      <c r="E281" s="2" t="str"/>
      <c r="F281" s="2" t="str"/>
      <c r="G281" s="2" t="str"/>
      <c r="H281" s="19" t="n">
        <v>32659999</v>
      </c>
      <c r="I281" s="20" t="str">
        <v>Thu tiền khách hàng Chuyển khoản ngân hàng货款通过银行转账</v>
      </c>
      <c r="J281" s="20" t="str">
        <v>Chuẩn hóa VND; gốc 32659999; phần lẻ 0.000000000000 đ</v>
      </c>
      <c r="K281" s="20" t="str">
        <v>2.xlsx | 订单!941</v>
      </c>
      <c r="L281" s="20" t="str"/>
    </row>
    <row r="282" ht="48" customHeight="1">
      <c r="A282" s="2" t="str">
        <v>S2-00949-TT</v>
      </c>
      <c r="B282" s="2" t="str">
        <v>KH049</v>
      </c>
      <c r="C282" s="2" t="str">
        <v>2026-04-22</v>
      </c>
      <c r="D282" s="2" t="str">
        <v>THU_TIEN</v>
      </c>
      <c r="E282" s="2" t="str"/>
      <c r="F282" s="2" t="str"/>
      <c r="G282" s="2" t="str"/>
      <c r="H282" s="19" t="n">
        <v>45029200</v>
      </c>
      <c r="I282" s="20" t="str">
        <v>Thu tiền khách hàng Chuyển khoản ngân hàng货款通过银行转账</v>
      </c>
      <c r="J282" s="20" t="str">
        <v>Chuẩn hóa VND; gốc 45029200; phần lẻ 0.000000000000 đ</v>
      </c>
      <c r="K282" s="20" t="str">
        <v>2.xlsx | 订单!949</v>
      </c>
      <c r="L282" s="20" t="str"/>
    </row>
    <row r="283" ht="48" customHeight="1">
      <c r="A283" s="2" t="str">
        <v>S2-00948-BH</v>
      </c>
      <c r="B283" s="2" t="str">
        <v>KH049</v>
      </c>
      <c r="C283" s="2" t="str">
        <v>2026-05-04</v>
      </c>
      <c r="D283" s="2" t="str">
        <v>BAN_HANG</v>
      </c>
      <c r="E283" s="2" t="str"/>
      <c r="F283" s="2" t="str">
        <v>00000135</v>
      </c>
      <c r="G283" s="2" t="str"/>
      <c r="H283" s="19" t="n">
        <v>3680000</v>
      </c>
      <c r="I283" s="20" t="str">
        <v>xuất bán cho CÔNG TY TNHH XUẤT NHẬP KHẨU HOÀNG TÂN</v>
      </c>
      <c r="J283" s="20" t="str">
        <v>Chuẩn hóa VND; gốc 3679999.9488; phần lẻ 0.051200000000 đ</v>
      </c>
      <c r="K283" s="20" t="str">
        <v>2.xlsx | 订单!948</v>
      </c>
      <c r="L283" s="20" t="str"/>
    </row>
    <row r="284" ht="48" customHeight="1">
      <c r="A284" s="2" t="str">
        <v>S2-00946-TT</v>
      </c>
      <c r="B284" s="2" t="str">
        <v>KH049</v>
      </c>
      <c r="C284" s="2" t="str">
        <v>2026-06-03</v>
      </c>
      <c r="D284" s="2" t="str">
        <v>THU_TIEN</v>
      </c>
      <c r="E284" s="2" t="str"/>
      <c r="F284" s="2" t="str"/>
      <c r="G284" s="2" t="str"/>
      <c r="H284" s="19" t="n">
        <v>11760000</v>
      </c>
      <c r="I284" s="20" t="str">
        <v>Thu tiền khách hàng Chuyển khoản ngân hàng货款通过银行转账</v>
      </c>
      <c r="J284" s="20" t="str">
        <v>Chuẩn hóa VND; gốc 11760000; phần lẻ 0.000000000000 đ</v>
      </c>
      <c r="K284" s="20" t="str">
        <v>2.xlsx | 订单!946</v>
      </c>
      <c r="L284" s="20" t="str"/>
    </row>
    <row r="285" ht="48" customHeight="1">
      <c r="A285" s="2" t="str">
        <v>S2-00960-TT</v>
      </c>
      <c r="B285" s="2" t="str">
        <v>KH049</v>
      </c>
      <c r="C285" s="2" t="str">
        <v>2026-06-07</v>
      </c>
      <c r="D285" s="2" t="str">
        <v>THU_TIEN</v>
      </c>
      <c r="E285" s="2" t="str"/>
      <c r="F285" s="2" t="str"/>
      <c r="G285" s="2" t="str"/>
      <c r="H285" s="19" t="n">
        <v>12409998</v>
      </c>
      <c r="I285" s="20" t="str">
        <v>Thu tiền khách hàng Chuyển khoản ngân hàng货款通过银行转账</v>
      </c>
      <c r="J285" s="20" t="str">
        <v>Chuẩn hóa VND; gốc 12409998; phần lẻ 0.000000000000 đ</v>
      </c>
      <c r="K285" s="20" t="str">
        <v>2.xlsx | 订单!960</v>
      </c>
      <c r="L285" s="20" t="str"/>
    </row>
    <row r="286" ht="48" customHeight="1">
      <c r="A286" s="2" t="str">
        <v>S2-00952-BH</v>
      </c>
      <c r="B286" s="2" t="str">
        <v>KH049</v>
      </c>
      <c r="C286" s="2" t="str">
        <v>2026-06-27</v>
      </c>
      <c r="D286" s="2" t="str">
        <v>BAN_HANG</v>
      </c>
      <c r="E286" s="2" t="str"/>
      <c r="F286" s="2" t="str">
        <v>00000197</v>
      </c>
      <c r="G286" s="2" t="str"/>
      <c r="H286" s="19" t="n">
        <v>1610000</v>
      </c>
      <c r="I286" s="20" t="str">
        <v>xuất bán cho CÔNG TY TNHH XUẤT NHẬP KHẨU HOÀNG TÂN</v>
      </c>
      <c r="J286" s="20" t="str">
        <v>Chuẩn hóa VND; gốc 1609999.9884; phần lẻ 0.011600000000 đ</v>
      </c>
      <c r="K286" s="20" t="str">
        <v>2.xlsx | 订单!952-958</v>
      </c>
      <c r="L286" s="20" t="str"/>
    </row>
    <row r="287" ht="48" customHeight="1">
      <c r="A287" s="2" t="str">
        <v>S2-00959-BH</v>
      </c>
      <c r="B287" s="2" t="str">
        <v>KH049</v>
      </c>
      <c r="C287" s="2" t="str">
        <v>2026-06-29</v>
      </c>
      <c r="D287" s="2" t="str">
        <v>BAN_HANG</v>
      </c>
      <c r="E287" s="2" t="str"/>
      <c r="F287" s="2" t="str">
        <v>00000197</v>
      </c>
      <c r="G287" s="2" t="str"/>
      <c r="H287" s="19" t="n">
        <v>10800000</v>
      </c>
      <c r="I287" s="20" t="str">
        <v>xuất bán cho CÔNG TY TNHH XUẤT NHẬP KHẨU HOÀNG TÂN</v>
      </c>
      <c r="J287" s="20" t="str">
        <v>Chuẩn hóa VND; gốc 10799999.568; phần lẻ 0.432000000000 đ</v>
      </c>
      <c r="K287" s="20" t="str">
        <v>2.xlsx | 订单!959</v>
      </c>
      <c r="L287" s="20" t="str"/>
    </row>
    <row r="288" ht="48" customHeight="1">
      <c r="A288" s="2" t="str">
        <v>S2-00951-TT</v>
      </c>
      <c r="B288" s="2" t="str">
        <v>KH049</v>
      </c>
      <c r="C288" s="2" t="str">
        <v>2026-08-06</v>
      </c>
      <c r="D288" s="2" t="str">
        <v>THU_TIEN</v>
      </c>
      <c r="E288" s="2" t="str"/>
      <c r="F288" s="2" t="str"/>
      <c r="G288" s="2" t="str"/>
      <c r="H288" s="19" t="n">
        <v>5840000</v>
      </c>
      <c r="I288" s="20" t="str">
        <v>Thu tiền khách hàng Chuyển khoản ngân hàng货款通过银行转账</v>
      </c>
      <c r="J288" s="20" t="str">
        <v>Chuẩn hóa VND; gốc 5840000; phần lẻ 0.000000000000 đ</v>
      </c>
      <c r="K288" s="20" t="str">
        <v>2.xlsx | 订单!951</v>
      </c>
      <c r="L288" s="20" t="str"/>
    </row>
    <row r="289" ht="48" customHeight="1">
      <c r="A289" s="2" t="str">
        <v>S2-01826-BH</v>
      </c>
      <c r="B289" s="2" t="str">
        <v>KH049</v>
      </c>
      <c r="C289" s="2" t="str">
        <v>2026-09-21</v>
      </c>
      <c r="D289" s="2" t="str">
        <v>BAN_HANG</v>
      </c>
      <c r="E289" s="2" t="str">
        <v>BH2026090082</v>
      </c>
      <c r="F289" s="2" t="str">
        <v>00000311</v>
      </c>
      <c r="G289" s="2" t="str"/>
      <c r="H289" s="19" t="n">
        <v>6500000</v>
      </c>
      <c r="I289" s="20" t="str">
        <v>xuất bán cho CÔNG TY TNHH XUẤT NHẬP KHẨU HOÀNG TÂN向黄新进出口有限责任公司销售产品</v>
      </c>
      <c r="J289" s="20" t="str">
        <v>Chuẩn hóa VND; gốc 6499999.98; phần lẻ 0.020000000000 đ</v>
      </c>
      <c r="K289" s="20" t="str">
        <v>2.xlsx | 订单!1826</v>
      </c>
      <c r="L289" s="20" t="str"/>
    </row>
    <row r="290" ht="48" customHeight="1">
      <c r="A290" s="2" t="str">
        <v>S2-01953-TT</v>
      </c>
      <c r="B290" s="2" t="str">
        <v>KH049</v>
      </c>
      <c r="C290" s="2" t="str">
        <v>2026-09-25</v>
      </c>
      <c r="D290" s="2" t="str">
        <v>THU_TIEN</v>
      </c>
      <c r="E290" s="2" t="str"/>
      <c r="F290" s="2" t="str"/>
      <c r="G290" s="2" t="str"/>
      <c r="H290" s="19" t="n">
        <v>6500000</v>
      </c>
      <c r="I290" s="20" t="str">
        <v>Thu tiền khách hàng Chuyển khoản ngân hàng货款通过银行转账</v>
      </c>
      <c r="J290" s="20" t="str">
        <v>Chuẩn hóa VND; gốc 6500000; phần lẻ 0.000000000000 đ</v>
      </c>
      <c r="K290" s="20" t="str">
        <v>2.xlsx | 订单!1953</v>
      </c>
      <c r="L290" s="20" t="str"/>
    </row>
    <row r="291" ht="48" customHeight="1">
      <c r="A291" s="2" t="str">
        <v>S2-01269-TT</v>
      </c>
      <c r="B291" s="2" t="str">
        <v>KH050</v>
      </c>
      <c r="C291" s="2" t="str">
        <v>2026-08-14</v>
      </c>
      <c r="D291" s="2" t="str">
        <v>THU_TIEN</v>
      </c>
      <c r="E291" s="2" t="str"/>
      <c r="F291" s="2" t="str"/>
      <c r="G291" s="2" t="str"/>
      <c r="H291" s="19" t="n">
        <v>2300000</v>
      </c>
      <c r="I291" s="20" t="str">
        <v>Thu tiền mặt của khách hàng 收取客户现金</v>
      </c>
      <c r="J291" s="20" t="str">
        <v>Chuẩn hóa VND; gốc 2300000; phần lẻ 0.000000000000 đ</v>
      </c>
      <c r="K291" s="20" t="str">
        <v>2.xlsx | 订单!1269</v>
      </c>
      <c r="L291" s="20" t="str"/>
    </row>
    <row r="292" ht="48" customHeight="1">
      <c r="A292" s="2" t="str">
        <v>S2-01322-TT</v>
      </c>
      <c r="B292" s="2" t="str">
        <v>KH050</v>
      </c>
      <c r="C292" s="2" t="str">
        <v>2026-08-20</v>
      </c>
      <c r="D292" s="2" t="str">
        <v>THU_TIEN</v>
      </c>
      <c r="E292" s="2" t="str"/>
      <c r="F292" s="2" t="str"/>
      <c r="G292" s="2" t="str"/>
      <c r="H292" s="19" t="n">
        <v>1600000</v>
      </c>
      <c r="I292" s="20" t="str">
        <v>Thu tiền khách hàng Chuyển khoản ngân hàng货款通过银行转账</v>
      </c>
      <c r="J292" s="20" t="str">
        <v>Chuẩn hóa VND; gốc 1600000; phần lẻ 0.000000000000 đ</v>
      </c>
      <c r="K292" s="20" t="str">
        <v>2.xlsx | 订单!1322</v>
      </c>
      <c r="L292" s="20" t="str"/>
    </row>
    <row r="293" ht="48" customHeight="1">
      <c r="A293" s="2" t="str">
        <v>S2-01323-BH</v>
      </c>
      <c r="B293" s="2" t="str">
        <v>KH050</v>
      </c>
      <c r="C293" s="2" t="str">
        <v>2026-08-20</v>
      </c>
      <c r="D293" s="2" t="str">
        <v>BAN_HANG</v>
      </c>
      <c r="E293" s="2" t="str">
        <v>BH2026080017</v>
      </c>
      <c r="F293" s="2" t="str"/>
      <c r="G293" s="2" t="str"/>
      <c r="H293" s="19" t="n">
        <v>2400000</v>
      </c>
      <c r="I293" s="20" t="str">
        <v>Xuất bán Cửa hàng Phương Bắc销售给北方商店</v>
      </c>
      <c r="J293" s="20" t="str">
        <v>Chuẩn hóa VND; gốc 2399999.9976; phần lẻ 0.002400000000 đ</v>
      </c>
      <c r="K293" s="20" t="str">
        <v>2.xlsx | 订单!1323</v>
      </c>
      <c r="L293" s="20" t="str"/>
    </row>
    <row r="294" ht="48" customHeight="1">
      <c r="A294" s="2" t="str">
        <v>S2-01599-TT</v>
      </c>
      <c r="B294" s="2" t="str">
        <v>KH050</v>
      </c>
      <c r="C294" s="2" t="str">
        <v>2026-09-08</v>
      </c>
      <c r="D294" s="2" t="str">
        <v>THU_TIEN</v>
      </c>
      <c r="E294" s="2" t="str"/>
      <c r="F294" s="2" t="str"/>
      <c r="G294" s="2" t="str"/>
      <c r="H294" s="19" t="n">
        <v>2400000</v>
      </c>
      <c r="I294" s="20" t="str">
        <v>Thu tiền mặt của khách hàng 收取客户现金</v>
      </c>
      <c r="J294" s="20" t="str">
        <v>Chuẩn hóa VND; gốc 2400000; phần lẻ 0.000000000000 đ</v>
      </c>
      <c r="K294" s="20" t="str">
        <v>2.xlsx | 订单!1599</v>
      </c>
      <c r="L294" s="20" t="str"/>
    </row>
    <row r="295" ht="48" customHeight="1">
      <c r="A295" s="2" t="str">
        <v>S2-01208-BH</v>
      </c>
      <c r="B295" s="2" t="str">
        <v>KH053</v>
      </c>
      <c r="C295" s="2" t="str">
        <v>2026-08-11</v>
      </c>
      <c r="D295" s="2" t="str">
        <v>BAN_HANG</v>
      </c>
      <c r="E295" s="2" t="str">
        <v>BH019/0826</v>
      </c>
      <c r="F295" s="2" t="str">
        <v>00000268</v>
      </c>
      <c r="G295" s="2" t="str"/>
      <c r="H295" s="19" t="n">
        <v>7840000</v>
      </c>
      <c r="I295" s="20" t="str">
        <v>xuất bán CÔNG TY TNHH SƠN HÙNG向山雄有限责任公司销售产品</v>
      </c>
      <c r="J295" s="20" t="str">
        <v>Chuẩn hóa VND; gốc 7839999.936; phần lẻ 0.064000000000 đ</v>
      </c>
      <c r="K295" s="20" t="str">
        <v>2.xlsx | 订单!1208</v>
      </c>
      <c r="L295" s="20" t="str"/>
    </row>
    <row r="296" ht="48" customHeight="1">
      <c r="A296" s="2" t="str">
        <v>S2-01293-TT</v>
      </c>
      <c r="B296" s="2" t="str">
        <v>KH053</v>
      </c>
      <c r="C296" s="2" t="str">
        <v>2026-08-17</v>
      </c>
      <c r="D296" s="2" t="str">
        <v>THU_TIEN</v>
      </c>
      <c r="E296" s="2" t="str"/>
      <c r="F296" s="2" t="str"/>
      <c r="G296" s="2" t="str"/>
      <c r="H296" s="19" t="n">
        <v>7840000</v>
      </c>
      <c r="I296" s="20" t="str">
        <v>Thu tiền khách hàng Chuyển khoản ngân hàng货款通过银行转账</v>
      </c>
      <c r="J296" s="20" t="str">
        <v>Chuẩn hóa VND; gốc 7840000; phần lẻ 0.000000000000 đ</v>
      </c>
      <c r="K296" s="20" t="str">
        <v>2.xlsx | 订单!1293</v>
      </c>
      <c r="L296" s="20" t="str"/>
    </row>
    <row r="297" ht="48" customHeight="1">
      <c r="A297" s="2" t="str">
        <v>S2-01393-BH</v>
      </c>
      <c r="B297" s="2" t="str">
        <v>KH053</v>
      </c>
      <c r="C297" s="2" t="str">
        <v>2026-08-25</v>
      </c>
      <c r="D297" s="2" t="str">
        <v>BAN_HANG</v>
      </c>
      <c r="E297" s="2" t="str">
        <v>BH2026080025</v>
      </c>
      <c r="F297" s="2" t="str">
        <v>00000286</v>
      </c>
      <c r="G297" s="2" t="str"/>
      <c r="H297" s="19" t="n">
        <v>4800000</v>
      </c>
      <c r="I297" s="20" t="str">
        <v>xuất bán CÔNG TY TNHH SƠN HÙNG向山雄有限责任公司销售产品</v>
      </c>
      <c r="J297" s="20" t="str">
        <v>Chuẩn hóa VND; gốc 4799999.9952; phần lẻ 0.004800000000 đ</v>
      </c>
      <c r="K297" s="20" t="str">
        <v>2.xlsx | 订单!1393</v>
      </c>
      <c r="L297" s="20" t="str"/>
    </row>
    <row r="298" ht="48" customHeight="1">
      <c r="A298" s="2" t="str">
        <v>S2-01904-TT</v>
      </c>
      <c r="B298" s="2" t="str">
        <v>KH053</v>
      </c>
      <c r="C298" s="2" t="str">
        <v>2026-09-24</v>
      </c>
      <c r="D298" s="2" t="str">
        <v>THU_TIEN</v>
      </c>
      <c r="E298" s="2" t="str"/>
      <c r="F298" s="2" t="str"/>
      <c r="G298" s="2" t="str"/>
      <c r="H298" s="19" t="n">
        <v>3000000</v>
      </c>
      <c r="I298" s="20" t="str">
        <v>Thu tiền mặt của khách hàng 收取客户现金</v>
      </c>
      <c r="J298" s="20" t="str">
        <v>Chuẩn hóa VND; gốc 3000000; phần lẻ 0.000000000000 đ</v>
      </c>
      <c r="K298" s="20" t="str">
        <v>2.xlsx | 订单!1904</v>
      </c>
      <c r="L298" s="20" t="str"/>
    </row>
    <row r="299" ht="48" customHeight="1">
      <c r="A299" s="2" t="str">
        <v>S2-01970-TT</v>
      </c>
      <c r="B299" s="2" t="str">
        <v>KH053</v>
      </c>
      <c r="C299" s="2" t="str">
        <v>2026-10-01</v>
      </c>
      <c r="D299" s="2" t="str">
        <v>THU_TIEN</v>
      </c>
      <c r="E299" s="2" t="str"/>
      <c r="F299" s="2" t="str"/>
      <c r="G299" s="2" t="str"/>
      <c r="H299" s="19" t="n">
        <v>1800000</v>
      </c>
      <c r="I299" s="20" t="str">
        <v>Thu tiền mặt của khách hàng 收取客户现金</v>
      </c>
      <c r="J299" s="20" t="str">
        <v>Chuẩn hóa VND; gốc 1800000; phần lẻ 0.000000000000 đ</v>
      </c>
      <c r="K299" s="20" t="str">
        <v>2.xlsx | 订单!1970</v>
      </c>
      <c r="L299" s="20" t="str"/>
    </row>
    <row r="300" ht="48" customHeight="1">
      <c r="A300" s="25" t="str">
        <v>S2-02009-BH</v>
      </c>
      <c r="B300" s="25" t="str">
        <v>KH053</v>
      </c>
      <c r="C300" s="25" t="str">
        <v>2026-10-02</v>
      </c>
      <c r="D300" s="25" t="str">
        <v>BAN_HANG</v>
      </c>
      <c r="E300" s="25" t="str">
        <v>BH2026100105</v>
      </c>
      <c r="F300" s="25" t="str"/>
      <c r="G300" s="25" t="str">
        <v>BH2026100105</v>
      </c>
      <c r="H300" s="26" t="n">
        <v>8400000.02</v>
      </c>
      <c r="I300" s="27" t="str">
        <v>xuất bán CÔNG TY TNHH SƠN HÙNG向山雄有限责任公司销售产品</v>
      </c>
      <c r="J300" s="27" t="str">
        <v>ĐÃ CÓ ERP — bỏ qua dòng này; giữ chứng từ ERP</v>
      </c>
      <c r="K300" s="27" t="str">
        <v>2.xlsx | 订单!2009</v>
      </c>
      <c r="L300" s="27" t="str"/>
    </row>
    <row r="301" ht="48" customHeight="1">
      <c r="A301" s="25" t="str">
        <v>S2-02058-BH</v>
      </c>
      <c r="B301" s="25" t="str">
        <v>KH053</v>
      </c>
      <c r="C301" s="25" t="str">
        <v>2026-10-08</v>
      </c>
      <c r="D301" s="25" t="str">
        <v>BAN_HANG</v>
      </c>
      <c r="E301" s="25" t="str">
        <v>BH2026100120</v>
      </c>
      <c r="F301" s="25" t="str"/>
      <c r="G301" s="25" t="str">
        <v>BH2026100120</v>
      </c>
      <c r="H301" s="26" t="n">
        <v>5880000.02</v>
      </c>
      <c r="I301" s="27" t="str">
        <v>xuất bán CÔNG TY TNHH SƠN HÙNG向山雄有限责任公司销售产品</v>
      </c>
      <c r="J301" s="27" t="str">
        <v>ĐÃ CÓ ERP — bỏ qua dòng này; giữ chứng từ ERP</v>
      </c>
      <c r="K301" s="27" t="str">
        <v>2.xlsx | 订单!2058</v>
      </c>
      <c r="L301" s="27" t="str"/>
    </row>
    <row r="302" ht="48" customHeight="1">
      <c r="A302" s="2" t="str">
        <v>S2-01220-BH</v>
      </c>
      <c r="B302" s="2" t="str">
        <v>KH055</v>
      </c>
      <c r="C302" s="2" t="str">
        <v>2026-08-12</v>
      </c>
      <c r="D302" s="2" t="str">
        <v>BAN_HANG</v>
      </c>
      <c r="E302" s="2" t="str">
        <v>BH2026080002</v>
      </c>
      <c r="F302" s="2" t="str">
        <v>00000274, 00000318</v>
      </c>
      <c r="G302" s="2" t="str"/>
      <c r="H302" s="19" t="n">
        <v>5860000</v>
      </c>
      <c r="I302" s="20" t="str">
        <v>Xuất bán Nguyễn Lệ Nây阮丽妮销售产品</v>
      </c>
      <c r="J302" s="20" t="str">
        <v>Chuẩn hóa VND; gốc 5859999.9936; phần lẻ 0.006400000000 đ</v>
      </c>
      <c r="K302" s="20" t="str">
        <v>2.xlsx | 订单!1220-1221</v>
      </c>
      <c r="L302" s="20" t="str"/>
    </row>
    <row r="303" ht="48" customHeight="1">
      <c r="A303" s="2" t="str">
        <v>S2-01287-BH</v>
      </c>
      <c r="B303" s="2" t="str">
        <v>KH055</v>
      </c>
      <c r="C303" s="2" t="str">
        <v>2026-08-17</v>
      </c>
      <c r="D303" s="2" t="str">
        <v>BAN_HANG</v>
      </c>
      <c r="E303" s="2" t="str">
        <v>BH2026080011</v>
      </c>
      <c r="F303" s="2" t="str"/>
      <c r="G303" s="2" t="str"/>
      <c r="H303" s="19" t="n">
        <v>3264000</v>
      </c>
      <c r="I303" s="20" t="str">
        <v>Xuất bán Nguyễn Lệ Nây阮丽妮销售产品</v>
      </c>
      <c r="J303" s="20" t="str">
        <v>Chuẩn hóa VND; gốc 3264000; phần lẻ 0.000000000000 đ</v>
      </c>
      <c r="K303" s="20" t="str">
        <v>2.xlsx | 订单!1287</v>
      </c>
      <c r="L303" s="20" t="str"/>
    </row>
    <row r="304" ht="48" customHeight="1">
      <c r="A304" s="2" t="str">
        <v>S2-01345-TT</v>
      </c>
      <c r="B304" s="2" t="str">
        <v>KH055</v>
      </c>
      <c r="C304" s="2" t="str">
        <v>2026-08-22</v>
      </c>
      <c r="D304" s="2" t="str">
        <v>THU_TIEN</v>
      </c>
      <c r="E304" s="2" t="str"/>
      <c r="F304" s="2" t="str"/>
      <c r="G304" s="2" t="str"/>
      <c r="H304" s="19" t="n">
        <v>8784000</v>
      </c>
      <c r="I304" s="20" t="str">
        <v>Thu tiền khách hàng Chuyển khoản ngân hàng货款通过银行转账</v>
      </c>
      <c r="J304" s="20" t="str">
        <v>Chuẩn hóa VND; gốc 8784000; phần lẻ 0.000000000000 đ</v>
      </c>
      <c r="K304" s="20" t="str">
        <v>2.xlsx | 订单!1345</v>
      </c>
      <c r="L304" s="20" t="str"/>
    </row>
    <row r="305" ht="48" customHeight="1">
      <c r="A305" s="2" t="str">
        <v>S2-01454-BH</v>
      </c>
      <c r="B305" s="2" t="str">
        <v>KH055</v>
      </c>
      <c r="C305" s="2" t="str">
        <v>2026-08-28</v>
      </c>
      <c r="D305" s="2" t="str">
        <v>BAN_HANG</v>
      </c>
      <c r="E305" s="2" t="str">
        <v>BH2026080033</v>
      </c>
      <c r="F305" s="2" t="str">
        <v>00000289</v>
      </c>
      <c r="G305" s="2" t="str"/>
      <c r="H305" s="19" t="n">
        <v>6976000</v>
      </c>
      <c r="I305" s="20" t="str">
        <v>Xuất bán Nguyễn Lệ Nây阮丽妮销售产品</v>
      </c>
      <c r="J305" s="20" t="str">
        <v>Chuẩn hóa VND; gốc 6975999.99; phần lẻ 0.010000000000 đ</v>
      </c>
      <c r="K305" s="20" t="str">
        <v>2.xlsx | 订单!1454,1456-1459</v>
      </c>
      <c r="L305" s="20" t="str"/>
    </row>
    <row r="306" ht="48" customHeight="1">
      <c r="A306" s="2" t="str">
        <v>S2-01600-BH</v>
      </c>
      <c r="B306" s="2" t="str">
        <v>KH055</v>
      </c>
      <c r="C306" s="2" t="str">
        <v>2026-09-08</v>
      </c>
      <c r="D306" s="2" t="str">
        <v>BAN_HANG</v>
      </c>
      <c r="E306" s="2" t="str">
        <v>BH2026090049</v>
      </c>
      <c r="F306" s="2" t="str">
        <v>00000297</v>
      </c>
      <c r="G306" s="2" t="str"/>
      <c r="H306" s="19" t="n">
        <v>5224000</v>
      </c>
      <c r="I306" s="20" t="str">
        <v>Xuất bán Nguyễn Lệ Nây阮丽妮销售产品</v>
      </c>
      <c r="J306" s="20" t="str">
        <v>Chuẩn hóa VND; gốc 5223999.9924; phần lẻ 0.007600000000 đ</v>
      </c>
      <c r="K306" s="20" t="str">
        <v>2.xlsx | 订单!1600-1601</v>
      </c>
      <c r="L306" s="20" t="str"/>
    </row>
    <row r="307" ht="48" customHeight="1">
      <c r="A307" s="2" t="str">
        <v>S2-01658-BH</v>
      </c>
      <c r="B307" s="2" t="str">
        <v>KH055</v>
      </c>
      <c r="C307" s="2" t="str">
        <v>2026-09-11</v>
      </c>
      <c r="D307" s="2" t="str">
        <v>BAN_HANG</v>
      </c>
      <c r="E307" s="2" t="str">
        <v>BH2026090064</v>
      </c>
      <c r="F307" s="2" t="str">
        <v>00000318</v>
      </c>
      <c r="G307" s="2" t="str"/>
      <c r="H307" s="19" t="n">
        <v>7800000</v>
      </c>
      <c r="I307" s="20" t="str">
        <v>Xuất bán Nguyễn Lệ Nây阮丽妮销售产品</v>
      </c>
      <c r="J307" s="20" t="str">
        <v>Chuẩn hóa VND; gốc 7799999.976; phần lẻ 0.024000000000 đ</v>
      </c>
      <c r="K307" s="20" t="str">
        <v>2.xlsx | 订单!1658</v>
      </c>
      <c r="L307" s="20" t="str"/>
    </row>
    <row r="308" ht="48" customHeight="1">
      <c r="A308" s="25" t="str">
        <v>S2-02010-BH</v>
      </c>
      <c r="B308" s="25" t="str">
        <v>KH055</v>
      </c>
      <c r="C308" s="25" t="str">
        <v>2026-10-02</v>
      </c>
      <c r="D308" s="25" t="str">
        <v>BAN_HANG</v>
      </c>
      <c r="E308" s="25" t="str">
        <v>BH2026100106</v>
      </c>
      <c r="F308" s="25" t="str"/>
      <c r="G308" s="25" t="str">
        <v>BH2026100106</v>
      </c>
      <c r="H308" s="26" t="n">
        <v>8040000</v>
      </c>
      <c r="I308" s="27" t="str">
        <v>Xuất bán Nguyễn Lệ Nây阮丽妮销售产品</v>
      </c>
      <c r="J308" s="27" t="str">
        <v>ĐÃ CÓ ERP — bỏ qua dòng này; giữ chứng từ ERP</v>
      </c>
      <c r="K308" s="27" t="str">
        <v>2.xlsx | 订单!2010-2011</v>
      </c>
      <c r="L308" s="27" t="str"/>
    </row>
    <row r="309" ht="48" customHeight="1">
      <c r="A309" s="2" t="str">
        <v>S2-02014-TT</v>
      </c>
      <c r="B309" s="2" t="str">
        <v>KH055</v>
      </c>
      <c r="C309" s="2" t="str">
        <v>2026-10-05</v>
      </c>
      <c r="D309" s="2" t="str">
        <v>THU_TIEN</v>
      </c>
      <c r="E309" s="2" t="str"/>
      <c r="F309" s="2" t="str"/>
      <c r="G309" s="2" t="str"/>
      <c r="H309" s="19" t="n">
        <v>20628000</v>
      </c>
      <c r="I309" s="20" t="str">
        <v>Thu tiền khách hàng Chuyển khoản ngân hàng货款通过银行转账</v>
      </c>
      <c r="J309" s="20" t="str">
        <v>Chuẩn hóa VND; gốc 20628000; phần lẻ 0.000000000000 đ</v>
      </c>
      <c r="K309" s="20" t="str">
        <v>2.xlsx | 订单!2014</v>
      </c>
      <c r="L309" s="20" t="str"/>
    </row>
    <row r="310" ht="48" customHeight="1">
      <c r="A310" s="25" t="str">
        <v>S2-02040-BH</v>
      </c>
      <c r="B310" s="25" t="str">
        <v>KH055</v>
      </c>
      <c r="C310" s="25" t="str">
        <v>2026-10-07</v>
      </c>
      <c r="D310" s="25" t="str">
        <v>BAN_HANG</v>
      </c>
      <c r="E310" s="25" t="str">
        <v>BH2026100115</v>
      </c>
      <c r="F310" s="25" t="str"/>
      <c r="G310" s="25" t="str">
        <v>BH2026100115</v>
      </c>
      <c r="H310" s="26" t="n">
        <v>4240000.02</v>
      </c>
      <c r="I310" s="27" t="str">
        <v>Xuất bán Nguyễn Lệ Nây阮丽妮销售产品</v>
      </c>
      <c r="J310" s="27" t="str">
        <v>ĐÃ CÓ ERP — bỏ qua dòng này; giữ chứng từ ERP</v>
      </c>
      <c r="K310" s="27" t="str">
        <v>2.xlsx | 订单!2040-2042</v>
      </c>
      <c r="L310" s="27" t="str"/>
    </row>
    <row r="311" ht="48" customHeight="1">
      <c r="A311" s="25" t="str">
        <v>S2-02051-BH</v>
      </c>
      <c r="B311" s="25" t="str">
        <v>KH055</v>
      </c>
      <c r="C311" s="25" t="str">
        <v>2026-10-08</v>
      </c>
      <c r="D311" s="25" t="str">
        <v>BAN_HANG</v>
      </c>
      <c r="E311" s="25" t="str">
        <v>BH2026100117</v>
      </c>
      <c r="F311" s="25" t="str"/>
      <c r="G311" s="25" t="str">
        <v>BH2026100117</v>
      </c>
      <c r="H311" s="26" t="n">
        <v>2400000</v>
      </c>
      <c r="I311" s="27" t="str">
        <v>Xuất bán Nguyễn Lệ Nây阮丽妮销售产品</v>
      </c>
      <c r="J311" s="27" t="str">
        <v>ĐÃ CÓ ERP — bỏ qua dòng này; giữ chứng từ ERP</v>
      </c>
      <c r="K311" s="27" t="str">
        <v>2.xlsx | 订单!2051</v>
      </c>
      <c r="L311" s="27" t="str"/>
    </row>
    <row r="312" ht="48" customHeight="1">
      <c r="A312" s="25" t="str">
        <v>S2-02012-BH</v>
      </c>
      <c r="B312" s="25" t="str">
        <v>KH056</v>
      </c>
      <c r="C312" s="25" t="str">
        <v>2026-10-03</v>
      </c>
      <c r="D312" s="25" t="str">
        <v>BAN_HANG</v>
      </c>
      <c r="E312" s="25" t="str">
        <v>BH2026100108</v>
      </c>
      <c r="F312" s="25" t="str"/>
      <c r="G312" s="25" t="str">
        <v>BH2026100108</v>
      </c>
      <c r="H312" s="26" t="n">
        <v>2499999.98</v>
      </c>
      <c r="I312" s="27" t="str">
        <v>xuất bán cho Thanh Anh（清英 销售产品)</v>
      </c>
      <c r="J312" s="27" t="str">
        <v>ĐÃ CÓ ERP — bỏ qua dòng này; giữ chứng từ ERP</v>
      </c>
      <c r="K312" s="27" t="str">
        <v>2.xlsx | 订单!2012-2013</v>
      </c>
      <c r="L312" s="27" t="str"/>
    </row>
    <row r="313" ht="48" customHeight="1">
      <c r="A313" s="2" t="str">
        <v>S2-00316-BH</v>
      </c>
      <c r="B313" s="2" t="str">
        <v>KH058</v>
      </c>
      <c r="C313" s="2" t="str">
        <v>2026-01-13</v>
      </c>
      <c r="D313" s="2" t="str">
        <v>BAN_HANG</v>
      </c>
      <c r="E313" s="2" t="str"/>
      <c r="F313" s="2" t="str">
        <v>00000017</v>
      </c>
      <c r="G313" s="2" t="str"/>
      <c r="H313" s="19" t="n">
        <v>42559999</v>
      </c>
      <c r="I313" s="20" t="str">
        <v>xuất bán CÔNG TY TNHH PHÁT TRIỂN SẢN XUẤT THƯƠNG MẠI DỊCH VỤ RỒNG VIỆT向越南龙发展生产贸易服务有限公司销售产品</v>
      </c>
      <c r="J313" s="20" t="str">
        <v>Chuẩn hóa VND; gốc 42559999.5168; phần lẻ -0.516800000000 đ</v>
      </c>
      <c r="K313" s="20" t="str">
        <v>2.xlsx | 订单!316-320</v>
      </c>
      <c r="L313" s="20" t="str"/>
    </row>
    <row r="314" ht="48" customHeight="1">
      <c r="A314" s="2" t="str">
        <v>S2-00321-BH</v>
      </c>
      <c r="B314" s="2" t="str">
        <v>KH058</v>
      </c>
      <c r="C314" s="2" t="str">
        <v>2026-01-13</v>
      </c>
      <c r="D314" s="2" t="str">
        <v>BAN_HANG</v>
      </c>
      <c r="E314" s="2" t="str"/>
      <c r="F314" s="2" t="str">
        <v>00000126</v>
      </c>
      <c r="G314" s="2" t="str"/>
      <c r="H314" s="19" t="n">
        <v>3120000</v>
      </c>
      <c r="I314" s="20" t="str">
        <v>xuất bán CÔNG TY TNHH PHÁT TRIỂN SẢN XUẤT THƯƠNG MẠI DỊCH VỤ RỒNG VIỆT向越南龙发展生产贸易服务有限公司销售产品</v>
      </c>
      <c r="J314" s="20" t="str">
        <v>Chuẩn hóa VND; gốc 3119999.9904; phần lẻ 0.009600000000 đ</v>
      </c>
      <c r="K314" s="20" t="str">
        <v>2.xlsx | 订单!321</v>
      </c>
      <c r="L314" s="20" t="str"/>
    </row>
    <row r="315" ht="48" customHeight="1">
      <c r="A315" s="2" t="str">
        <v>S2-00322-BH</v>
      </c>
      <c r="B315" s="2" t="str">
        <v>KH058</v>
      </c>
      <c r="C315" s="2" t="str">
        <v>2026-01-13</v>
      </c>
      <c r="D315" s="2" t="str">
        <v>BAN_HANG</v>
      </c>
      <c r="E315" s="2" t="str"/>
      <c r="F315" s="2" t="str">
        <v>00000094</v>
      </c>
      <c r="G315" s="2" t="str"/>
      <c r="H315" s="19" t="n">
        <v>12606000</v>
      </c>
      <c r="I315" s="20" t="str">
        <v>xuất bán CÔNG TY TNHH PHÁT TRIỂN SẢN XUẤT THƯƠNG MẠI DỊCH VỤ RỒNG VIỆT向越南龙发展生产贸易服务有限公司销售产品</v>
      </c>
      <c r="J315" s="20" t="str">
        <v>Chuẩn hóa VND; gốc 12606000.192; phần lẻ -0.192000000000 đ</v>
      </c>
      <c r="K315" s="20" t="str">
        <v>2.xlsx | 订单!322-323</v>
      </c>
      <c r="L315" s="20" t="str"/>
    </row>
    <row r="316" ht="48" customHeight="1">
      <c r="A316" s="2" t="str">
        <v>S2-00325-TT</v>
      </c>
      <c r="B316" s="2" t="str">
        <v>KH058</v>
      </c>
      <c r="C316" s="2" t="str">
        <v>2026-01-16</v>
      </c>
      <c r="D316" s="2" t="str">
        <v>THU_TIEN</v>
      </c>
      <c r="E316" s="2" t="str"/>
      <c r="F316" s="2" t="str"/>
      <c r="G316" s="2" t="str"/>
      <c r="H316" s="19" t="n">
        <v>20000000</v>
      </c>
      <c r="I316" s="20" t="str">
        <v>Thu tiền khách hàng Chuyển khoản ngân hàng货款通过银行转账</v>
      </c>
      <c r="J316" s="20" t="str">
        <v>Chuẩn hóa VND; gốc 20000000; phần lẻ 0.000000000000 đ</v>
      </c>
      <c r="K316" s="20" t="str">
        <v>2.xlsx | 订单!325</v>
      </c>
      <c r="L316" s="20" t="str"/>
    </row>
    <row r="317" ht="48" customHeight="1">
      <c r="A317" s="2" t="str">
        <v>S2-00326-BH</v>
      </c>
      <c r="B317" s="2" t="str">
        <v>KH058</v>
      </c>
      <c r="C317" s="2" t="str">
        <v>2026-01-21</v>
      </c>
      <c r="D317" s="2" t="str">
        <v>BAN_HANG</v>
      </c>
      <c r="E317" s="2" t="str"/>
      <c r="F317" s="2" t="str">
        <v>00000087</v>
      </c>
      <c r="G317" s="2" t="str"/>
      <c r="H317" s="19" t="n">
        <v>42000001</v>
      </c>
      <c r="I317" s="20" t="str">
        <v>xuất bán CÔNG TY TNHH PHÁT TRIỂN SẢN XUẤT THƯƠNG MẠI DỊCH VỤ RỒNG VIỆT向越南龙发展生产贸易服务有限公司销售产品</v>
      </c>
      <c r="J317" s="20" t="str">
        <v>Chuẩn hóa VND; gốc 42000000.768; phần lẻ 0.232000000000 đ</v>
      </c>
      <c r="K317" s="20" t="str">
        <v>2.xlsx | 订单!326</v>
      </c>
      <c r="L317" s="20" t="str"/>
    </row>
    <row r="318" ht="48" customHeight="1">
      <c r="A318" s="2" t="str">
        <v>S2-00327-TT</v>
      </c>
      <c r="B318" s="2" t="str">
        <v>KH058</v>
      </c>
      <c r="C318" s="2" t="str">
        <v>2026-01-22</v>
      </c>
      <c r="D318" s="2" t="str">
        <v>THU_TIEN</v>
      </c>
      <c r="E318" s="2" t="str"/>
      <c r="F318" s="2" t="str"/>
      <c r="G318" s="2" t="str"/>
      <c r="H318" s="19" t="n">
        <v>22560000</v>
      </c>
      <c r="I318" s="20" t="str">
        <v>Thu tiền khách hàng Chuyển khoản ngân hàng货款通过银行转账</v>
      </c>
      <c r="J318" s="20" t="str">
        <v>Chuẩn hóa VND; gốc 22560000; phần lẻ 0.000000000000 đ</v>
      </c>
      <c r="K318" s="20" t="str">
        <v>2.xlsx | 订单!327</v>
      </c>
      <c r="L318" s="20" t="str"/>
    </row>
    <row r="319" ht="48" customHeight="1">
      <c r="A319" s="2" t="str">
        <v>S2-00328-BH</v>
      </c>
      <c r="B319" s="2" t="str">
        <v>KH058</v>
      </c>
      <c r="C319" s="2" t="str">
        <v>2026-02-03</v>
      </c>
      <c r="D319" s="2" t="str">
        <v>BAN_HANG</v>
      </c>
      <c r="E319" s="2" t="str"/>
      <c r="F319" s="2" t="str">
        <v>00000087</v>
      </c>
      <c r="G319" s="2" t="str"/>
      <c r="H319" s="19" t="n">
        <v>65127999</v>
      </c>
      <c r="I319" s="20" t="str">
        <v>xuất bán CÔNG TY TNHH PHÁT TRIỂN SẢN XUẤT THƯƠNG MẠI DỊCH VỤ RỒNG VIỆT向越南龙发展生产贸易服务有限公司销售产品</v>
      </c>
      <c r="J319" s="20" t="str">
        <v>Chuẩn hóa VND; gốc 65127999.1752; phần lẻ -0.175200000000 đ</v>
      </c>
      <c r="K319" s="20" t="str">
        <v>2.xlsx | 订单!328-334</v>
      </c>
      <c r="L319" s="20" t="str"/>
    </row>
    <row r="320" ht="48" customHeight="1">
      <c r="A320" s="2" t="str">
        <v>S2-00335-BH</v>
      </c>
      <c r="B320" s="2" t="str">
        <v>KH058</v>
      </c>
      <c r="C320" s="2" t="str">
        <v>2026-02-03</v>
      </c>
      <c r="D320" s="2" t="str">
        <v>BAN_HANG</v>
      </c>
      <c r="E320" s="2" t="str"/>
      <c r="F320" s="2" t="str">
        <v>00000126</v>
      </c>
      <c r="G320" s="2" t="str"/>
      <c r="H320" s="19" t="n">
        <v>40920000</v>
      </c>
      <c r="I320" s="20" t="str">
        <v>xuất bán CÔNG TY TNHH PHÁT TRIỂN SẢN XUẤT THƯƠNG MẠI DỊCH VỤ RỒNG VIỆT向越南龙发展生产贸易服务有限公司销售产品</v>
      </c>
      <c r="J320" s="20" t="str">
        <v>Chuẩn hóa VND; gốc 40919999.904; phần lẻ 0.096000000000 đ</v>
      </c>
      <c r="K320" s="20" t="str">
        <v>2.xlsx | 订单!335-336</v>
      </c>
      <c r="L320" s="20" t="str"/>
    </row>
    <row r="321" ht="48" customHeight="1">
      <c r="A321" s="2" t="str">
        <v>S2-00337-TT</v>
      </c>
      <c r="B321" s="2" t="str">
        <v>KH058</v>
      </c>
      <c r="C321" s="2" t="str">
        <v>2026-03-12</v>
      </c>
      <c r="D321" s="2" t="str">
        <v>THU_TIEN</v>
      </c>
      <c r="E321" s="2" t="str"/>
      <c r="F321" s="2" t="str"/>
      <c r="G321" s="2" t="str"/>
      <c r="H321" s="19" t="n">
        <v>35000000</v>
      </c>
      <c r="I321" s="20" t="str">
        <v>Thu tiền khách hàng Chuyển khoản ngân hàng货款通过银行转账</v>
      </c>
      <c r="J321" s="20" t="str">
        <v>Chuẩn hóa VND; gốc 35000000; phần lẻ 0.000000000000 đ</v>
      </c>
      <c r="K321" s="20" t="str">
        <v>2.xlsx | 订单!337</v>
      </c>
      <c r="L321" s="20" t="str"/>
    </row>
    <row r="322" ht="48" customHeight="1">
      <c r="A322" s="2" t="str">
        <v>S2-00338-BH</v>
      </c>
      <c r="B322" s="2" t="str">
        <v>KH058</v>
      </c>
      <c r="C322" s="2" t="str">
        <v>2026-03-12</v>
      </c>
      <c r="D322" s="2" t="str">
        <v>BAN_HANG</v>
      </c>
      <c r="E322" s="2" t="str"/>
      <c r="F322" s="2" t="str">
        <v>00000126</v>
      </c>
      <c r="G322" s="2" t="str"/>
      <c r="H322" s="19" t="n">
        <v>104279999</v>
      </c>
      <c r="I322" s="20" t="str">
        <v>xuất bán CÔNG TY TNHH PHÁT TRIỂN SẢN XUẤT THƯƠNG MẠI DỊCH VỤ RỒNG VIỆT向越南龙发展生产贸易服务有限公司销售产品</v>
      </c>
      <c r="J322" s="20" t="str">
        <v>Chuẩn hóa VND; gốc 104279999.0328; phần lẻ -0.032800000000 đ</v>
      </c>
      <c r="K322" s="20" t="str">
        <v>2.xlsx | 订单!338-344</v>
      </c>
      <c r="L322" s="20" t="str"/>
    </row>
    <row r="323" ht="48" customHeight="1">
      <c r="A323" s="2" t="str">
        <v>S2-00345-TT</v>
      </c>
      <c r="B323" s="2" t="str">
        <v>KH058</v>
      </c>
      <c r="C323" s="2" t="str">
        <v>2026-04-11</v>
      </c>
      <c r="D323" s="2" t="str">
        <v>THU_TIEN</v>
      </c>
      <c r="E323" s="2" t="str"/>
      <c r="F323" s="2" t="str"/>
      <c r="G323" s="2" t="str"/>
      <c r="H323" s="19" t="n">
        <v>100000000</v>
      </c>
      <c r="I323" s="20" t="str">
        <v>Thu tiền khách hàng Chuyển khoản ngân hàng货款通过银行转账</v>
      </c>
      <c r="J323" s="20" t="str">
        <v>Chuẩn hóa VND; gốc 100000000; phần lẻ 0.000000000000 đ</v>
      </c>
      <c r="K323" s="20" t="str">
        <v>2.xlsx | 订单!345</v>
      </c>
      <c r="L323" s="21" t="str">
        <v>Ngày 2026-11-14 ở tương lai → lấy ngày 2026-04-11 của khoản cùng số tiền trên sheet đối chiếu Rồng Việt</v>
      </c>
    </row>
    <row r="324" ht="48" customHeight="1">
      <c r="A324" s="2" t="str">
        <v>S2-00346-BH</v>
      </c>
      <c r="B324" s="2" t="str">
        <v>KH058</v>
      </c>
      <c r="C324" s="2" t="str">
        <v>2026-04-28</v>
      </c>
      <c r="D324" s="2" t="str">
        <v>BAN_HANG</v>
      </c>
      <c r="E324" s="2" t="str"/>
      <c r="F324" s="2" t="str">
        <v>00000133</v>
      </c>
      <c r="G324" s="2" t="str"/>
      <c r="H324" s="19" t="n">
        <v>215643458</v>
      </c>
      <c r="I324" s="20" t="str">
        <v>xuất bán CÔNG TY TNHH PHÁT TRIỂN SẢN XUẤT THƯƠNG MẠI DỊCH VỤ RỒNG VIỆT向越南龙发展生产贸易服务有限公司销售产品</v>
      </c>
      <c r="J324" s="20" t="str">
        <v>Chuẩn hóa VND; gốc 215643459.1896; phần lẻ -1.189600000000 đ</v>
      </c>
      <c r="K324" s="20" t="str">
        <v>2.xlsx | 订单!346-352</v>
      </c>
      <c r="L324" s="20" t="str"/>
    </row>
    <row r="325" ht="48" customHeight="1">
      <c r="A325" s="2" t="str">
        <v>S2-00353-BH</v>
      </c>
      <c r="B325" s="2" t="str">
        <v>KH058</v>
      </c>
      <c r="C325" s="2" t="str">
        <v>2026-04-28</v>
      </c>
      <c r="D325" s="2" t="str">
        <v>BAN_HANG</v>
      </c>
      <c r="E325" s="2" t="str"/>
      <c r="F325" s="2" t="str">
        <v>00000161</v>
      </c>
      <c r="G325" s="2" t="str"/>
      <c r="H325" s="19" t="n">
        <v>70839998</v>
      </c>
      <c r="I325" s="20" t="str">
        <v>xuất bán CÔNG TY TNHH PHÁT TRIỂN SẢN XUẤT THƯƠNG MẠI DỊCH VỤ RỒNG VIỆT向越南龙发展生产贸易服务有限公司销售产品</v>
      </c>
      <c r="J325" s="20" t="str">
        <v>Chuẩn hóa VND; gốc 70839998.064; phần lẻ -0.064000000000 đ</v>
      </c>
      <c r="K325" s="20" t="str">
        <v>2.xlsx | 订单!353</v>
      </c>
      <c r="L325" s="20" t="str"/>
    </row>
    <row r="326" ht="48" customHeight="1">
      <c r="A326" s="2" t="str">
        <v>S2-00357-BH</v>
      </c>
      <c r="B326" s="2" t="str">
        <v>KH058</v>
      </c>
      <c r="C326" s="2" t="str">
        <v>2026-05-06</v>
      </c>
      <c r="D326" s="2" t="str">
        <v>BAN_HANG</v>
      </c>
      <c r="E326" s="2" t="str"/>
      <c r="F326" s="2" t="str"/>
      <c r="G326" s="2" t="str"/>
      <c r="H326" s="19" t="n">
        <v>55000000</v>
      </c>
      <c r="I326" s="20" t="str">
        <v>xuất bán CÔNG TY TNHH PHÁT TRIỂN SẢN XUẤT THƯƠNG MẠI DỊCH VỤ RỒNG VIỆT向越南龙发展生产贸易服务有限公司销售产品</v>
      </c>
      <c r="J326" s="20" t="str">
        <v>Chuẩn hóa VND; gốc 55000000.08; phần lẻ -0.080000000000 đ</v>
      </c>
      <c r="K326" s="20" t="str">
        <v>2.xlsx | 订单!357</v>
      </c>
      <c r="L326" s="20" t="str"/>
    </row>
    <row r="327" ht="48" customHeight="1">
      <c r="A327" s="2" t="str">
        <v>S2-00356-TT</v>
      </c>
      <c r="B327" s="2" t="str">
        <v>KH058</v>
      </c>
      <c r="C327" s="2" t="str">
        <v>2026-05-11</v>
      </c>
      <c r="D327" s="2" t="str">
        <v>THU_TIEN</v>
      </c>
      <c r="E327" s="2" t="str"/>
      <c r="F327" s="2" t="str"/>
      <c r="G327" s="2" t="str"/>
      <c r="H327" s="19" t="n">
        <v>100000000</v>
      </c>
      <c r="I327" s="20" t="str">
        <v>Thu tiền khách hàng Chuyển khoản ngân hàng货款通过银行转账</v>
      </c>
      <c r="J327" s="20" t="str">
        <v>Chuẩn hóa VND; gốc 100000000; phần lẻ 0.000000000000 đ</v>
      </c>
      <c r="K327" s="20" t="str">
        <v>2.xlsx | 订单!356</v>
      </c>
      <c r="L327" s="20" t="str"/>
    </row>
    <row r="328" ht="48" customHeight="1">
      <c r="A328" s="2" t="str">
        <v>S2-00354-BH</v>
      </c>
      <c r="B328" s="2" t="str">
        <v>KH058</v>
      </c>
      <c r="C328" s="2" t="str">
        <v>2026-05-19</v>
      </c>
      <c r="D328" s="2" t="str">
        <v>BAN_HANG</v>
      </c>
      <c r="E328" s="2" t="str"/>
      <c r="F328" s="2" t="str">
        <v>00000161</v>
      </c>
      <c r="G328" s="2" t="str"/>
      <c r="H328" s="19" t="n">
        <v>3220000</v>
      </c>
      <c r="I328" s="20" t="str">
        <v>xuất bán CÔNG TY TNHH PHÁT TRIỂN SẢN XUẤT THƯƠNG MẠI DỊCH VỤ RỒNG VIỆT向越南龙发展生产贸易服务有限公司销售产品</v>
      </c>
      <c r="J328" s="20" t="str">
        <v>Chuẩn hóa VND; gốc 3219999.912; phần lẻ 0.088000000000 đ</v>
      </c>
      <c r="K328" s="20" t="str">
        <v>2.xlsx | 订单!354</v>
      </c>
      <c r="L328" s="20" t="str"/>
    </row>
    <row r="329" ht="48" customHeight="1">
      <c r="A329" s="2" t="str">
        <v>S2-00355-GG</v>
      </c>
      <c r="B329" s="2" t="str">
        <v>KH058</v>
      </c>
      <c r="C329" s="2" t="str">
        <v>2026-05-19</v>
      </c>
      <c r="D329" s="2" t="str">
        <v>GIAM_GIA</v>
      </c>
      <c r="E329" s="2" t="str"/>
      <c r="F329" s="2" t="str"/>
      <c r="G329" s="2" t="str"/>
      <c r="H329" s="19" t="n">
        <v>15000944</v>
      </c>
      <c r="I329" s="20" t="str">
        <v>chiết khấu 3%  cho khách chương trình dầu năm cho đơn trên 500 triệu</v>
      </c>
      <c r="J329" s="20" t="str">
        <v>Chuẩn hóa VND; gốc 15000943.658328; phần lẻ 0.341672000000 đ</v>
      </c>
      <c r="K329" s="20" t="str">
        <v>2.xlsx | 订单!355</v>
      </c>
      <c r="L329" s="21" t="str">
        <v>Dòng không có ngày ghi sổ — tạm lấy ngày dòng trước 2026-05-19 | Chiết khấu / giảm giá 15000943.658328 — kiểm tra lại</v>
      </c>
    </row>
    <row r="330" ht="48" customHeight="1">
      <c r="A330" s="2" t="str">
        <v>S2-00358-TT</v>
      </c>
      <c r="B330" s="2" t="str">
        <v>KH058</v>
      </c>
      <c r="C330" s="2" t="str">
        <v>2026-06-17</v>
      </c>
      <c r="D330" s="2" t="str">
        <v>THU_TIEN</v>
      </c>
      <c r="E330" s="2" t="str"/>
      <c r="F330" s="2" t="str"/>
      <c r="G330" s="2" t="str"/>
      <c r="H330" s="19" t="n">
        <v>100000000</v>
      </c>
      <c r="I330" s="20" t="str">
        <v>Thu tiền khách hàng Chuyển khoản ngân hàng货款通过银行转账</v>
      </c>
      <c r="J330" s="20" t="str">
        <v>Chuẩn hóa VND; gốc 100000000; phần lẻ 0.000000000000 đ</v>
      </c>
      <c r="K330" s="20" t="str">
        <v>2.xlsx | 订单!358</v>
      </c>
      <c r="L330" s="20" t="str"/>
    </row>
    <row r="331" ht="48" customHeight="1">
      <c r="A331" s="2" t="str">
        <v>S2-00359-BH</v>
      </c>
      <c r="B331" s="2" t="str">
        <v>KH058</v>
      </c>
      <c r="C331" s="2" t="str">
        <v>2026-06-23</v>
      </c>
      <c r="D331" s="2" t="str">
        <v>BAN_HANG</v>
      </c>
      <c r="E331" s="2" t="str"/>
      <c r="F331" s="2" t="str">
        <v>00000189</v>
      </c>
      <c r="G331" s="2" t="str"/>
      <c r="H331" s="19" t="n">
        <v>19030011</v>
      </c>
      <c r="I331" s="20" t="str">
        <v>xuất bán CÔNG TY TNHH PHÁT TRIỂN SẢN XUẤT THƯƠNG MẠI DỊCH VỤ RỒNG VIỆT向越南龙发展生产贸易服务有限公司销售产品</v>
      </c>
      <c r="J331" s="20" t="str">
        <v>Chuẩn hóa VND; gốc 19030010.724; phần lẻ 0.276000000000 đ</v>
      </c>
      <c r="K331" s="20" t="str">
        <v>2.xlsx | 订单!359-360</v>
      </c>
      <c r="L331" s="20" t="str"/>
    </row>
    <row r="332" ht="48" customHeight="1">
      <c r="A332" s="2" t="str">
        <v>S2-00361-BH</v>
      </c>
      <c r="B332" s="2" t="str">
        <v>KH058</v>
      </c>
      <c r="C332" s="2" t="str">
        <v>2026-06-23</v>
      </c>
      <c r="D332" s="2" t="str">
        <v>BAN_HANG</v>
      </c>
      <c r="E332" s="2" t="str"/>
      <c r="F332" s="2" t="str"/>
      <c r="G332" s="2" t="str"/>
      <c r="H332" s="19" t="n">
        <v>6200000</v>
      </c>
      <c r="I332" s="20" t="str">
        <v>xuất bán CÔNG TY TNHH PHÁT TRIỂN SẢN XUẤT THƯƠNG MẠI DỊCH VỤ RỒNG VIỆT向越南龙发展生产贸易服务有限公司销售产品</v>
      </c>
      <c r="J332" s="20" t="str">
        <v>Chuẩn hóa VND; gốc 6199999.956; phần lẻ 0.044000000000 đ</v>
      </c>
      <c r="K332" s="20" t="str">
        <v>2.xlsx | 订单!361</v>
      </c>
      <c r="L332" s="20" t="str"/>
    </row>
    <row r="333" ht="48" customHeight="1">
      <c r="A333" s="2" t="str">
        <v>S2-00362-BH</v>
      </c>
      <c r="B333" s="2" t="str">
        <v>KH058</v>
      </c>
      <c r="C333" s="2" t="str">
        <v>2026-06-23</v>
      </c>
      <c r="D333" s="2" t="str">
        <v>BAN_HANG</v>
      </c>
      <c r="E333" s="2" t="str"/>
      <c r="F333" s="2" t="str">
        <v>00000237</v>
      </c>
      <c r="G333" s="2" t="str"/>
      <c r="H333" s="19" t="n">
        <v>75000000</v>
      </c>
      <c r="I333" s="20" t="str">
        <v>xuất bán CÔNG TY TNHH PHÁT TRIỂN SẢN XUẤT THƯƠNG MẠI DỊCH VỤ RỒNG VIỆT向越南龙发展生产贸易服务有限公司销售产品</v>
      </c>
      <c r="J333" s="20" t="str">
        <v>Chuẩn hóa VND; gốc 74999999.52; phần lẻ 0.480000000000 đ</v>
      </c>
      <c r="K333" s="20" t="str">
        <v>2.xlsx | 订单!362</v>
      </c>
      <c r="L333" s="20" t="str"/>
    </row>
    <row r="334" ht="48" customHeight="1">
      <c r="A334" s="2" t="str">
        <v>S2-00363-TT</v>
      </c>
      <c r="B334" s="2" t="str">
        <v>KH058</v>
      </c>
      <c r="C334" s="2" t="str">
        <v>2026-07-30</v>
      </c>
      <c r="D334" s="2" t="str">
        <v>THU_TIEN</v>
      </c>
      <c r="E334" s="2" t="str"/>
      <c r="F334" s="2" t="str"/>
      <c r="G334" s="2" t="str"/>
      <c r="H334" s="19" t="n">
        <v>100000000</v>
      </c>
      <c r="I334" s="20" t="str">
        <v>Thu tiền khách hàng Chuyển khoản ngân hàng货款通过银行转账</v>
      </c>
      <c r="J334" s="20" t="str">
        <v>Chuẩn hóa VND; gốc 100000000; phần lẻ 0.000000000000 đ</v>
      </c>
      <c r="K334" s="20" t="str">
        <v>2.xlsx | 订单!363</v>
      </c>
      <c r="L334" s="20" t="str"/>
    </row>
    <row r="335" ht="48" customHeight="1">
      <c r="A335" s="2" t="str">
        <v>S2-00364-BH</v>
      </c>
      <c r="B335" s="2" t="str">
        <v>KH058</v>
      </c>
      <c r="C335" s="2" t="str">
        <v>2026-07-30</v>
      </c>
      <c r="D335" s="2" t="str">
        <v>BAN_HANG</v>
      </c>
      <c r="E335" s="2" t="str"/>
      <c r="F335" s="2" t="str">
        <v>00000259</v>
      </c>
      <c r="G335" s="2" t="str"/>
      <c r="H335" s="19" t="n">
        <v>43620000</v>
      </c>
      <c r="I335" s="20" t="str">
        <v>xuất bán CÔNG TY TNHH PHÁT TRIỂN SẢN XUẤT THƯƠNG MẠI DỊCH VỤ RỒNG VIỆT向越南龙发展生产贸易服务有限公司销售产品</v>
      </c>
      <c r="J335" s="20" t="str">
        <v>Chuẩn hóa VND; gốc 43619999.58; phần lẻ 0.420000000000 đ</v>
      </c>
      <c r="K335" s="20" t="str">
        <v>2.xlsx | 订单!364-367</v>
      </c>
      <c r="L335" s="20" t="str"/>
    </row>
    <row r="336" ht="48" customHeight="1">
      <c r="A336" s="2" t="str">
        <v>S2-00368-BH</v>
      </c>
      <c r="B336" s="2" t="str">
        <v>KH058</v>
      </c>
      <c r="C336" s="2" t="str">
        <v>2026-07-30</v>
      </c>
      <c r="D336" s="2" t="str">
        <v>BAN_HANG</v>
      </c>
      <c r="E336" s="2" t="str"/>
      <c r="F336" s="2" t="str"/>
      <c r="G336" s="2" t="str"/>
      <c r="H336" s="19" t="n">
        <v>83666000</v>
      </c>
      <c r="I336" s="20" t="str">
        <v>xuất bán CÔNG TY TNHH PHÁT TRIỂN SẢN XUẤT THƯƠNG MẠI DỊCH VỤ RỒNG VIỆT向越南龙发展生产贸易服务有限公司销售产品</v>
      </c>
      <c r="J336" s="20" t="str">
        <v>Chuẩn hóa VND; gốc 83666000.034; phần lẻ -0.034000000000 đ</v>
      </c>
      <c r="K336" s="20" t="str">
        <v>2.xlsx | 订单!368-371</v>
      </c>
      <c r="L336" s="20" t="str"/>
    </row>
    <row r="337" ht="48" customHeight="1">
      <c r="A337" s="2" t="str">
        <v>S2-01280-BH</v>
      </c>
      <c r="B337" s="2" t="str">
        <v>KH058</v>
      </c>
      <c r="C337" s="2" t="str">
        <v>2026-08-17</v>
      </c>
      <c r="D337" s="2" t="str">
        <v>BAN_HANG</v>
      </c>
      <c r="E337" s="2" t="str">
        <v>BH2026080009</v>
      </c>
      <c r="F337" s="2" t="str">
        <v>00000283</v>
      </c>
      <c r="G337" s="2" t="str"/>
      <c r="H337" s="19" t="n">
        <v>55700000</v>
      </c>
      <c r="I337" s="20" t="str">
        <v>xuất bán CÔNG TY TNHH PHÁT TRIỂN SẢN XUẤT THƯƠNG MẠI DỊCH VỤ RỒNG VIỆT向越南龙发展生产贸易服务有限公司销售产品</v>
      </c>
      <c r="J337" s="20" t="str">
        <v>Chuẩn hóa VND; gốc 55699999.596; phần lẻ 0.404000000000 đ</v>
      </c>
      <c r="K337" s="20" t="str">
        <v>2.xlsx | 订单!1280-1283</v>
      </c>
      <c r="L337" s="20" t="str"/>
    </row>
    <row r="338" ht="48" customHeight="1">
      <c r="A338" s="2" t="str">
        <v>S2-01295-VC</v>
      </c>
      <c r="B338" s="2" t="str">
        <v>KH058</v>
      </c>
      <c r="C338" s="2" t="str">
        <v>2026-08-18</v>
      </c>
      <c r="D338" s="2" t="str">
        <v>PHI_VAN_CHUYEN</v>
      </c>
      <c r="E338" s="2" t="str"/>
      <c r="F338" s="2" t="str"/>
      <c r="G338" s="2" t="str"/>
      <c r="H338" s="19" t="n">
        <v>480000</v>
      </c>
      <c r="I338" s="20" t="str">
        <v>phí shíp 16 thùng hàng giao ngày 18/8 30.000/thùng</v>
      </c>
      <c r="J338" s="20" t="str">
        <v>Chuẩn hóa VND; gốc 480000; phần lẻ 0.000000000000 đ</v>
      </c>
      <c r="K338" s="20" t="str">
        <v>2.xlsx | 订单!1295</v>
      </c>
      <c r="L338" s="20" t="str"/>
    </row>
    <row r="339" ht="48" customHeight="1">
      <c r="A339" s="2" t="str">
        <v>S2-01474-TT</v>
      </c>
      <c r="B339" s="2" t="str">
        <v>KH058</v>
      </c>
      <c r="C339" s="2" t="str">
        <v>2026-08-28</v>
      </c>
      <c r="D339" s="2" t="str">
        <v>THU_TIEN</v>
      </c>
      <c r="E339" s="2" t="str"/>
      <c r="F339" s="2" t="str"/>
      <c r="G339" s="2" t="str"/>
      <c r="H339" s="19" t="n">
        <v>50000000</v>
      </c>
      <c r="I339" s="20" t="str">
        <v>Thu tiền khách hàng Chuyển khoản ngân hàng货款通过银行转账</v>
      </c>
      <c r="J339" s="20" t="str">
        <v>Chuẩn hóa VND; gốc 50000000; phần lẻ 0.000000000000 đ</v>
      </c>
      <c r="K339" s="20" t="str">
        <v>2.xlsx | 订单!1474</v>
      </c>
      <c r="L339" s="20" t="str"/>
    </row>
    <row r="340" ht="48" customHeight="1">
      <c r="A340" s="2" t="str">
        <v>S2-01663-BH</v>
      </c>
      <c r="B340" s="2" t="str">
        <v>KH058</v>
      </c>
      <c r="C340" s="2" t="str">
        <v>2026-09-11</v>
      </c>
      <c r="D340" s="2" t="str">
        <v>BAN_HANG</v>
      </c>
      <c r="E340" s="2" t="str">
        <v>BH2026090058</v>
      </c>
      <c r="F340" s="2" t="str">
        <v>00000305</v>
      </c>
      <c r="G340" s="2" t="str"/>
      <c r="H340" s="19" t="n">
        <v>43380000</v>
      </c>
      <c r="I340" s="20" t="str">
        <v>xuất bán CÔNG TY TNHH PHÁT TRIỂN SẢN XUẤT THƯƠNG MẠI DỊCH VỤ RỒNG VIỆT向越南龙发展生产贸易服务有限公司销售产品</v>
      </c>
      <c r="J340" s="20" t="str">
        <v>Chuẩn hóa VND; gốc 43379999.928; phần lẻ 0.072000000000 đ</v>
      </c>
      <c r="K340" s="20" t="str">
        <v>2.xlsx | 订单!1663-1667</v>
      </c>
      <c r="L340" s="20" t="str"/>
    </row>
    <row r="341" ht="48" customHeight="1">
      <c r="A341" s="2" t="str">
        <v>S2-01732-VC</v>
      </c>
      <c r="B341" s="2" t="str">
        <v>KH058</v>
      </c>
      <c r="C341" s="2" t="str">
        <v>2026-09-11</v>
      </c>
      <c r="D341" s="2" t="str">
        <v>PHI_VAN_CHUYEN</v>
      </c>
      <c r="E341" s="2" t="str"/>
      <c r="F341" s="2" t="str"/>
      <c r="G341" s="2" t="str"/>
      <c r="H341" s="19" t="n">
        <v>660000</v>
      </c>
      <c r="I341" s="20" t="str">
        <v>khách hàng tự  trả tiền vận chuyển客户自行支付运输费</v>
      </c>
      <c r="J341" s="20" t="str">
        <v>Chuẩn hóa VND; gốc 660000; phần lẻ 0.000000000000 đ</v>
      </c>
      <c r="K341" s="20" t="str">
        <v>2.xlsx | 订单!1732</v>
      </c>
      <c r="L341" s="20" t="str"/>
    </row>
    <row r="342" ht="48" customHeight="1">
      <c r="A342" s="25" t="str">
        <v>S2-02104-BH</v>
      </c>
      <c r="B342" s="25" t="str">
        <v>KH058</v>
      </c>
      <c r="C342" s="25" t="str">
        <v>2026-10-09</v>
      </c>
      <c r="D342" s="25" t="str">
        <v>BAN_HANG</v>
      </c>
      <c r="E342" s="25" t="str">
        <v>BH2026100122</v>
      </c>
      <c r="F342" s="25" t="str">
        <v>00000344</v>
      </c>
      <c r="G342" s="25" t="str">
        <v>BH2026100122</v>
      </c>
      <c r="H342" s="26" t="n">
        <v>62179999.67</v>
      </c>
      <c r="I342" s="27" t="str">
        <v>xuất bán CÔNG TY TNHH PHÁT TRIỂN SẢN XUẤT THƯƠNG MẠI DỊCH VỤ RỒNG VIỆT向越南龙发展生产贸易服务有限公司销售产品</v>
      </c>
      <c r="J342" s="27" t="str">
        <v>ĐÃ CÓ ERP — bỏ qua dòng này; giữ chứng từ ERP</v>
      </c>
      <c r="K342" s="27" t="str">
        <v>2.xlsx | 订单!2104-2108</v>
      </c>
      <c r="L342" s="27" t="str"/>
    </row>
    <row r="343" ht="48" customHeight="1">
      <c r="A343" s="2" t="str">
        <v>S2-02015-TT</v>
      </c>
      <c r="B343" s="2" t="str">
        <v>KH059</v>
      </c>
      <c r="C343" s="2" t="str">
        <v>2026-10-05</v>
      </c>
      <c r="D343" s="2" t="str">
        <v>THU_TIEN</v>
      </c>
      <c r="E343" s="2" t="str"/>
      <c r="F343" s="2" t="str"/>
      <c r="G343" s="2" t="str"/>
      <c r="H343" s="19" t="n">
        <v>5530000</v>
      </c>
      <c r="I343" s="20" t="str">
        <v>Thu tiền mặt của khách hàng 收取客户现金</v>
      </c>
      <c r="J343" s="20" t="str">
        <v>Chuẩn hóa VND; gốc 5530000; phần lẻ 0.000000000000 đ</v>
      </c>
      <c r="K343" s="20" t="str">
        <v>2.xlsx | 订单!2015</v>
      </c>
      <c r="L343" s="20" t="str"/>
    </row>
    <row r="344" ht="48" customHeight="1">
      <c r="A344" s="2" t="str">
        <v>S2-01598-TT</v>
      </c>
      <c r="B344" s="2" t="str">
        <v>KH062</v>
      </c>
      <c r="C344" s="2" t="str">
        <v>2026-09-07</v>
      </c>
      <c r="D344" s="2" t="str">
        <v>THU_TIEN</v>
      </c>
      <c r="E344" s="2" t="str"/>
      <c r="F344" s="2" t="str"/>
      <c r="G344" s="2" t="str"/>
      <c r="H344" s="19" t="n">
        <v>9130000</v>
      </c>
      <c r="I344" s="20" t="str">
        <v>Thu tiền khách hàng Chuyển khoản ngân hàng货款通过银行转账</v>
      </c>
      <c r="J344" s="20" t="str">
        <v>Chuẩn hóa VND; gốc 9130000; phần lẻ 0.000000000000 đ</v>
      </c>
      <c r="K344" s="20" t="str">
        <v>2.xlsx | 订单!1598</v>
      </c>
      <c r="L344" s="20" t="str"/>
    </row>
    <row r="345" ht="48" customHeight="1">
      <c r="A345" s="2" t="str">
        <v>S2-00701-BH</v>
      </c>
      <c r="B345" s="2" t="str">
        <v>KH066</v>
      </c>
      <c r="C345" s="2" t="str">
        <v>2025-12-18</v>
      </c>
      <c r="D345" s="2" t="str">
        <v>BAN_HANG</v>
      </c>
      <c r="E345" s="2" t="str"/>
      <c r="F345" s="2" t="str">
        <v>00000011</v>
      </c>
      <c r="G345" s="2" t="str"/>
      <c r="H345" s="19" t="n">
        <v>213181998</v>
      </c>
      <c r="I345" s="20" t="str">
        <v>Xuất bán CÔNG TY TNHH THƯƠNG MẠI GIANG MINH NGỌC 向江明玉销售产品</v>
      </c>
      <c r="J345" s="20" t="str">
        <v>Chuẩn hóa VND; gốc 213181999.1512; phần lẻ -1.151200000000 đ</v>
      </c>
      <c r="K345" s="20" t="str">
        <v>2.xlsx | 订单!701-724</v>
      </c>
      <c r="L345" s="20" t="str"/>
    </row>
    <row r="346" ht="48" customHeight="1">
      <c r="A346" s="2" t="str">
        <v>S2-00725-VC</v>
      </c>
      <c r="B346" s="2" t="str">
        <v>KH066</v>
      </c>
      <c r="C346" s="2" t="str">
        <v>2025-12-18</v>
      </c>
      <c r="D346" s="2" t="str">
        <v>PHI_VAN_CHUYEN</v>
      </c>
      <c r="E346" s="2" t="str"/>
      <c r="F346" s="2" t="str"/>
      <c r="G346" s="2" t="str"/>
      <c r="H346" s="19" t="n">
        <v>500000</v>
      </c>
      <c r="I346" s="20" t="str">
        <v>Giảm trừ tiền giao hàng</v>
      </c>
      <c r="J346" s="20" t="str">
        <v>Chuẩn hóa VND; gốc 500000; phần lẻ 0.000000000000 đ</v>
      </c>
      <c r="K346" s="20" t="str">
        <v>2.xlsx | 订单!725</v>
      </c>
      <c r="L346" s="20" t="str"/>
    </row>
    <row r="347" ht="48" customHeight="1">
      <c r="A347" s="2" t="str">
        <v>S2-00726-BH</v>
      </c>
      <c r="B347" s="2" t="str">
        <v>KH066</v>
      </c>
      <c r="C347" s="2" t="str">
        <v>2025-12-30</v>
      </c>
      <c r="D347" s="2" t="str">
        <v>BAN_HANG</v>
      </c>
      <c r="E347" s="2" t="str"/>
      <c r="F347" s="2" t="str">
        <v>00000019</v>
      </c>
      <c r="G347" s="2" t="str"/>
      <c r="H347" s="19" t="n">
        <v>34999999</v>
      </c>
      <c r="I347" s="20" t="str">
        <v>Xuất bán CÔNG TY TNHH THƯƠNG MẠI GIANG MINH NGỌC 向江明玉销售产品</v>
      </c>
      <c r="J347" s="20" t="str">
        <v>Chuẩn hóa VND; gốc 34999999.56; phần lẻ -0.560000000000 đ</v>
      </c>
      <c r="K347" s="20" t="str">
        <v>2.xlsx | 订单!726</v>
      </c>
      <c r="L347" s="20" t="str"/>
    </row>
    <row r="348" ht="48" customHeight="1">
      <c r="A348" s="2" t="str">
        <v>S2-00727-VC</v>
      </c>
      <c r="B348" s="2" t="str">
        <v>KH066</v>
      </c>
      <c r="C348" s="2" t="str">
        <v>2025-12-30</v>
      </c>
      <c r="D348" s="2" t="str">
        <v>PHI_VAN_CHUYEN</v>
      </c>
      <c r="E348" s="2" t="str"/>
      <c r="F348" s="2" t="str"/>
      <c r="G348" s="2" t="str"/>
      <c r="H348" s="19" t="n">
        <v>500000</v>
      </c>
      <c r="I348" s="20" t="str">
        <v>Giảm trừ tiền giao hàng</v>
      </c>
      <c r="J348" s="20" t="str">
        <v>Chuẩn hóa VND; gốc 500000; phần lẻ 0.000000000000 đ</v>
      </c>
      <c r="K348" s="20" t="str">
        <v>2.xlsx | 订单!727</v>
      </c>
      <c r="L348" s="20" t="str"/>
    </row>
    <row r="349" ht="48" customHeight="1">
      <c r="A349" s="2" t="str">
        <v>S2-00728-TT</v>
      </c>
      <c r="B349" s="2" t="str">
        <v>KH066</v>
      </c>
      <c r="C349" s="2" t="str">
        <v>2025-12-30</v>
      </c>
      <c r="D349" s="2" t="str">
        <v>THU_TIEN</v>
      </c>
      <c r="E349" s="2" t="str">
        <v>NTTK00016</v>
      </c>
      <c r="F349" s="2" t="str"/>
      <c r="G349" s="2" t="str"/>
      <c r="H349" s="19" t="n">
        <v>50000000</v>
      </c>
      <c r="I349" s="20" t="str">
        <v>Thu tiền khách hàng Chuyển khoản ngân hàng货款通过银行转账</v>
      </c>
      <c r="J349" s="20" t="str">
        <v>Chuẩn hóa VND; gốc 50000000; phần lẻ 0.000000000000 đ</v>
      </c>
      <c r="K349" s="20" t="str">
        <v>2.xlsx | 订单!728</v>
      </c>
      <c r="L349" s="20" t="str"/>
    </row>
    <row r="350" ht="48" customHeight="1">
      <c r="A350" s="2" t="str">
        <v>S2-00737-BH</v>
      </c>
      <c r="B350" s="2" t="str">
        <v>KH066</v>
      </c>
      <c r="C350" s="2" t="str">
        <v>2026-01-29</v>
      </c>
      <c r="D350" s="2" t="str">
        <v>BAN_HANG</v>
      </c>
      <c r="E350" s="2" t="str"/>
      <c r="F350" s="2" t="str">
        <v>00000057</v>
      </c>
      <c r="G350" s="2" t="str"/>
      <c r="H350" s="19" t="n">
        <v>19360000</v>
      </c>
      <c r="I350" s="20" t="str">
        <v>Xuất bán CÔNG TY TNHH THƯƠNG MẠI GIANG MINH NGỌC 向江明玉销售产品</v>
      </c>
      <c r="J350" s="20" t="str">
        <v>Chuẩn hóa VND; gốc 19360000.0152; phần lẻ -0.015200000000 đ</v>
      </c>
      <c r="K350" s="20" t="str">
        <v>2.xlsx | 订单!737-738</v>
      </c>
      <c r="L350" s="20" t="str"/>
    </row>
    <row r="351" ht="48" customHeight="1">
      <c r="A351" s="2" t="str">
        <v>S2-00739-BH</v>
      </c>
      <c r="B351" s="2" t="str">
        <v>KH066</v>
      </c>
      <c r="C351" s="2" t="str">
        <v>2026-01-29</v>
      </c>
      <c r="D351" s="2" t="str">
        <v>BAN_HANG</v>
      </c>
      <c r="E351" s="2" t="str"/>
      <c r="F351" s="2" t="str">
        <v>00000104</v>
      </c>
      <c r="G351" s="2" t="str"/>
      <c r="H351" s="19" t="n">
        <v>24960000</v>
      </c>
      <c r="I351" s="20" t="str">
        <v>Xuất bán CÔNG TY TNHH THƯƠNG MẠI GIANG MINH NGỌC 向江明玉销售产品</v>
      </c>
      <c r="J351" s="20" t="str">
        <v>Chuẩn hóa VND; gốc 24959999.9232; phần lẻ 0.076800000000 đ</v>
      </c>
      <c r="K351" s="20" t="str">
        <v>2.xlsx | 订单!739</v>
      </c>
      <c r="L351" s="20" t="str"/>
    </row>
    <row r="352" ht="48" customHeight="1">
      <c r="A352" s="2" t="str">
        <v>S2-00740-VC</v>
      </c>
      <c r="B352" s="2" t="str">
        <v>KH066</v>
      </c>
      <c r="C352" s="2" t="str">
        <v>2026-01-29</v>
      </c>
      <c r="D352" s="2" t="str">
        <v>PHI_VAN_CHUYEN</v>
      </c>
      <c r="E352" s="2" t="str"/>
      <c r="F352" s="2" t="str"/>
      <c r="G352" s="2" t="str"/>
      <c r="H352" s="19" t="n">
        <v>500000</v>
      </c>
      <c r="I352" s="20" t="str">
        <v>Giảm trừ tiền giao hàng</v>
      </c>
      <c r="J352" s="20" t="str">
        <v>Chuẩn hóa VND; gốc 500000; phần lẻ 0.000000000000 đ</v>
      </c>
      <c r="K352" s="20" t="str">
        <v>2.xlsx | 订单!740</v>
      </c>
      <c r="L352" s="20" t="str"/>
    </row>
    <row r="353" ht="48" customHeight="1">
      <c r="A353" s="2" t="str">
        <v>S2-00741-TT</v>
      </c>
      <c r="B353" s="2" t="str">
        <v>KH066</v>
      </c>
      <c r="C353" s="2" t="str">
        <v>2026-02-11</v>
      </c>
      <c r="D353" s="2" t="str">
        <v>THU_TIEN</v>
      </c>
      <c r="E353" s="2" t="str">
        <v>NTTK00017</v>
      </c>
      <c r="F353" s="2" t="str"/>
      <c r="G353" s="2" t="str"/>
      <c r="H353" s="19" t="n">
        <v>300000000</v>
      </c>
      <c r="I353" s="20" t="str">
        <v>Thu tiền khách hàng Chuyển khoản ngân hàng货款通过银行转账</v>
      </c>
      <c r="J353" s="20" t="str">
        <v>Chuẩn hóa VND; gốc 300000000; phần lẻ 0.000000000000 đ</v>
      </c>
      <c r="K353" s="20" t="str">
        <v>2.xlsx | 订单!741</v>
      </c>
      <c r="L353" s="21" t="str">
        <v>Ngày 2026-11-02 ở tương lai → đảo ngày/tháng thành 2026-02-11</v>
      </c>
    </row>
    <row r="354" ht="48" customHeight="1">
      <c r="A354" s="2" t="str">
        <v>S2-00729-BH</v>
      </c>
      <c r="B354" s="2" t="str">
        <v>KH066</v>
      </c>
      <c r="C354" s="2" t="str">
        <v>2026-03-01</v>
      </c>
      <c r="D354" s="2" t="str">
        <v>BAN_HANG</v>
      </c>
      <c r="E354" s="2" t="str"/>
      <c r="F354" s="2" t="str">
        <v>00000014</v>
      </c>
      <c r="G354" s="2" t="str"/>
      <c r="H354" s="19" t="n">
        <v>75609999</v>
      </c>
      <c r="I354" s="20" t="str">
        <v>Xuất bán CÔNG TY TNHH THƯƠNG MẠI GIANG MINH NGỌC 向江明玉销售产品</v>
      </c>
      <c r="J354" s="20" t="str">
        <v>Chuẩn hóa VND; gốc 75609999.288; phần lẻ -0.288000000000 đ</v>
      </c>
      <c r="K354" s="20" t="str">
        <v>2.xlsx | 订单!729-733</v>
      </c>
      <c r="L354" s="20" t="str"/>
    </row>
    <row r="355" ht="48" customHeight="1">
      <c r="A355" s="2" t="str">
        <v>S2-00734-VC</v>
      </c>
      <c r="B355" s="2" t="str">
        <v>KH066</v>
      </c>
      <c r="C355" s="2" t="str">
        <v>2026-03-01</v>
      </c>
      <c r="D355" s="2" t="str">
        <v>PHI_VAN_CHUYEN</v>
      </c>
      <c r="E355" s="2" t="str"/>
      <c r="F355" s="2" t="str"/>
      <c r="G355" s="2" t="str"/>
      <c r="H355" s="19" t="n">
        <v>500000</v>
      </c>
      <c r="I355" s="20" t="str">
        <v>Giảm trừ tiền giao hàng</v>
      </c>
      <c r="J355" s="20" t="str">
        <v>Chuẩn hóa VND; gốc 500000; phần lẻ 0.000000000000 đ</v>
      </c>
      <c r="K355" s="20" t="str">
        <v>2.xlsx | 订单!734</v>
      </c>
      <c r="L355" s="20" t="str"/>
    </row>
    <row r="356" ht="48" customHeight="1">
      <c r="A356" s="2" t="str">
        <v>S2-00772-TH</v>
      </c>
      <c r="B356" s="2" t="str">
        <v>KH066</v>
      </c>
      <c r="C356" s="2" t="str">
        <v>2026-03-06</v>
      </c>
      <c r="D356" s="2" t="str">
        <v>TRA_HANG</v>
      </c>
      <c r="E356" s="2" t="str"/>
      <c r="F356" s="2" t="str">
        <v>00000169</v>
      </c>
      <c r="G356" s="2" t="str"/>
      <c r="H356" s="19" t="n">
        <v>7000000</v>
      </c>
      <c r="I356" s="20" t="str">
        <v>HĐ điều chỉnh giảm</v>
      </c>
      <c r="J356" s="20" t="str">
        <v>Chuẩn hóa VND; gốc 6999999.912; phần lẻ 0.088000000000 đ</v>
      </c>
      <c r="K356" s="20" t="str">
        <v>2.xlsx | 订单!772</v>
      </c>
      <c r="L356" s="20" t="str"/>
    </row>
    <row r="357" ht="48" customHeight="1">
      <c r="A357" s="2" t="str">
        <v>S2-00742-BH</v>
      </c>
      <c r="B357" s="2" t="str">
        <v>KH066</v>
      </c>
      <c r="C357" s="2" t="str">
        <v>2026-03-10</v>
      </c>
      <c r="D357" s="2" t="str">
        <v>BAN_HANG</v>
      </c>
      <c r="E357" s="2" t="str"/>
      <c r="F357" s="2" t="str">
        <v>00000096</v>
      </c>
      <c r="G357" s="2" t="str"/>
      <c r="H357" s="19" t="n">
        <v>14000000</v>
      </c>
      <c r="I357" s="20" t="str">
        <v>Xuất bán CÔNG TY TNHH THƯƠNG MẠI GIANG MINH NGỌC 向江明玉销售产品</v>
      </c>
      <c r="J357" s="20" t="str">
        <v>Chuẩn hóa VND; gốc 13999999.824; phần lẻ 0.176000000000 đ</v>
      </c>
      <c r="K357" s="20" t="str">
        <v>2.xlsx | 订单!742</v>
      </c>
      <c r="L357" s="21" t="str">
        <v>Ngày 2026-10-03 sau mốc của khối nhập tay (≤ 2026-08-15) → đảo ngày/tháng thành 2026-03-10</v>
      </c>
    </row>
    <row r="358" ht="48" customHeight="1">
      <c r="A358" s="2" t="str">
        <v>S2-00743-VC</v>
      </c>
      <c r="B358" s="2" t="str">
        <v>KH066</v>
      </c>
      <c r="C358" s="2" t="str">
        <v>2026-03-10</v>
      </c>
      <c r="D358" s="2" t="str">
        <v>PHI_VAN_CHUYEN</v>
      </c>
      <c r="E358" s="2" t="str"/>
      <c r="F358" s="2" t="str"/>
      <c r="G358" s="2" t="str"/>
      <c r="H358" s="19" t="n">
        <v>500000</v>
      </c>
      <c r="I358" s="20" t="str">
        <v>Giảm trừ tiền giao hàng</v>
      </c>
      <c r="J358" s="20" t="str">
        <v>Chuẩn hóa VND; gốc 500000; phần lẻ 0.000000000000 đ</v>
      </c>
      <c r="K358" s="20" t="str">
        <v>2.xlsx | 订单!743</v>
      </c>
      <c r="L358" s="21" t="str">
        <v>Ngày 2026-10-03 sau mốc của khối nhập tay (≤ 2026-08-15) → đảo ngày/tháng thành 2026-03-10</v>
      </c>
    </row>
    <row r="359" ht="48" customHeight="1">
      <c r="A359" s="2" t="str">
        <v>S2-00744-BH</v>
      </c>
      <c r="B359" s="2" t="str">
        <v>KH066</v>
      </c>
      <c r="C359" s="2" t="str">
        <v>2026-03-13</v>
      </c>
      <c r="D359" s="2" t="str">
        <v>BAN_HANG</v>
      </c>
      <c r="E359" s="2" t="str"/>
      <c r="F359" s="2" t="str">
        <v>00000096</v>
      </c>
      <c r="G359" s="2" t="str"/>
      <c r="H359" s="19" t="n">
        <v>22932000</v>
      </c>
      <c r="I359" s="20" t="str">
        <v>Xuất bán CÔNG TY TNHH THƯƠNG MẠI GIANG MINH NGỌC 向江明玉销售产品</v>
      </c>
      <c r="J359" s="20" t="str">
        <v>Chuẩn hóa VND; gốc 22932000.2016; phần lẻ -0.201600000000 đ</v>
      </c>
      <c r="K359" s="20" t="str">
        <v>2.xlsx | 订单!744-745</v>
      </c>
      <c r="L359" s="20" t="str"/>
    </row>
    <row r="360" ht="48" customHeight="1">
      <c r="A360" s="2" t="str">
        <v>S2-00746-BH</v>
      </c>
      <c r="B360" s="2" t="str">
        <v>KH066</v>
      </c>
      <c r="C360" s="2" t="str">
        <v>2026-03-13</v>
      </c>
      <c r="D360" s="2" t="str">
        <v>BAN_HANG</v>
      </c>
      <c r="E360" s="2" t="str"/>
      <c r="F360" s="2" t="str">
        <v>00000097</v>
      </c>
      <c r="G360" s="2" t="str"/>
      <c r="H360" s="19" t="n">
        <v>89208000</v>
      </c>
      <c r="I360" s="20" t="str">
        <v>Xuất bán CÔNG TY TNHH THƯƠNG MẠI GIANG MINH NGỌC 向江明玉销售产品</v>
      </c>
      <c r="J360" s="20" t="str">
        <v>Chuẩn hóa VND; gốc 89207999.8056; phần lẻ 0.194400000000 đ</v>
      </c>
      <c r="K360" s="20" t="str">
        <v>2.xlsx | 订单!746-759</v>
      </c>
      <c r="L360" s="20" t="str"/>
    </row>
    <row r="361" ht="48" customHeight="1">
      <c r="A361" s="2" t="str">
        <v>S2-00761-VC</v>
      </c>
      <c r="B361" s="2" t="str">
        <v>KH066</v>
      </c>
      <c r="C361" s="2" t="str">
        <v>2026-03-13</v>
      </c>
      <c r="D361" s="2" t="str">
        <v>PHI_VAN_CHUYEN</v>
      </c>
      <c r="E361" s="2" t="str"/>
      <c r="F361" s="2" t="str"/>
      <c r="G361" s="2" t="str"/>
      <c r="H361" s="19" t="n">
        <v>500000</v>
      </c>
      <c r="I361" s="20" t="str">
        <v>Giảm trừ tiền giao hàng</v>
      </c>
      <c r="J361" s="20" t="str">
        <v>Chuẩn hóa VND; gốc 500000; phần lẻ 0.000000000000 đ</v>
      </c>
      <c r="K361" s="20" t="str">
        <v>2.xlsx | 订单!761</v>
      </c>
      <c r="L361" s="20" t="str"/>
    </row>
    <row r="362" ht="48" customHeight="1">
      <c r="A362" s="2" t="str">
        <v>S2-00762-TH</v>
      </c>
      <c r="B362" s="2" t="str">
        <v>KH066</v>
      </c>
      <c r="C362" s="2" t="str">
        <v>2026-04-25</v>
      </c>
      <c r="D362" s="2" t="str">
        <v>TRA_HANG</v>
      </c>
      <c r="E362" s="2" t="str"/>
      <c r="F362" s="2" t="str">
        <v>00000127</v>
      </c>
      <c r="G362" s="2" t="str"/>
      <c r="H362" s="19" t="n">
        <v>4620000</v>
      </c>
      <c r="I362" s="20" t="str">
        <v>HĐ điều chỉnh giảm</v>
      </c>
      <c r="J362" s="20" t="str">
        <v>Chuẩn hóa VND; gốc 4619999.8944; phần lẻ 0.105600000000 đ</v>
      </c>
      <c r="K362" s="20" t="str">
        <v>2.xlsx | 订单!762</v>
      </c>
      <c r="L362" s="20" t="str"/>
    </row>
    <row r="363" ht="48" customHeight="1">
      <c r="A363" s="2" t="str">
        <v>S2-00763-BH</v>
      </c>
      <c r="B363" s="2" t="str">
        <v>KH066</v>
      </c>
      <c r="C363" s="2" t="str">
        <v>2026-04-25</v>
      </c>
      <c r="D363" s="2" t="str">
        <v>BAN_HANG</v>
      </c>
      <c r="E363" s="2" t="str"/>
      <c r="F363" s="2" t="str">
        <v>00000129</v>
      </c>
      <c r="G363" s="2" t="str"/>
      <c r="H363" s="19" t="n">
        <v>82356000</v>
      </c>
      <c r="I363" s="20" t="str">
        <v>Xuất bán CÔNG TY TNHH THƯƠNG MẠI GIANG MINH NGỌC 向江明玉销售产品</v>
      </c>
      <c r="J363" s="20" t="str">
        <v>Chuẩn hóa VND; gốc 82355999.832; phần lẻ 0.168000000000 đ</v>
      </c>
      <c r="K363" s="20" t="str">
        <v>2.xlsx | 订单!763-768</v>
      </c>
      <c r="L363" s="21" t="str">
        <v>Dòng không có ngày ghi sổ — tạm lấy ngày dòng trước 2026-04-25</v>
      </c>
    </row>
    <row r="364" ht="48" customHeight="1">
      <c r="A364" s="2" t="str">
        <v>S2-00770-BH</v>
      </c>
      <c r="B364" s="2" t="str">
        <v>KH066</v>
      </c>
      <c r="C364" s="2" t="str">
        <v>2026-04-25</v>
      </c>
      <c r="D364" s="2" t="str">
        <v>BAN_HANG</v>
      </c>
      <c r="E364" s="2" t="str"/>
      <c r="F364" s="2" t="str">
        <v>00000164</v>
      </c>
      <c r="G364" s="2" t="str"/>
      <c r="H364" s="19" t="n">
        <v>12880000</v>
      </c>
      <c r="I364" s="20" t="str">
        <v>Xuất bán CÔNG TY TNHH THƯƠNG MẠI GIANG MINH NGỌC 向江明玉销售产品</v>
      </c>
      <c r="J364" s="20" t="str">
        <v>Chuẩn hóa VND; gốc 12880000.08; phần lẻ -0.080000000000 đ</v>
      </c>
      <c r="K364" s="20" t="str">
        <v>2.xlsx | 订单!770</v>
      </c>
      <c r="L364" s="20" t="str"/>
    </row>
    <row r="365" ht="48" customHeight="1">
      <c r="A365" s="2" t="str">
        <v>S2-00771-VC</v>
      </c>
      <c r="B365" s="2" t="str">
        <v>KH066</v>
      </c>
      <c r="C365" s="2" t="str">
        <v>2026-04-25</v>
      </c>
      <c r="D365" s="2" t="str">
        <v>PHI_VAN_CHUYEN</v>
      </c>
      <c r="E365" s="2" t="str"/>
      <c r="F365" s="2" t="str"/>
      <c r="G365" s="2" t="str"/>
      <c r="H365" s="19" t="n">
        <v>500000</v>
      </c>
      <c r="I365" s="20" t="str">
        <v>Giảm trừ tiền giao hàng</v>
      </c>
      <c r="J365" s="20" t="str">
        <v>Chuẩn hóa VND; gốc 500000; phần lẻ 0.000000000000 đ</v>
      </c>
      <c r="K365" s="20" t="str">
        <v>2.xlsx | 订单!771</v>
      </c>
      <c r="L365" s="20" t="str"/>
    </row>
    <row r="366" ht="48" customHeight="1">
      <c r="A366" s="2" t="str">
        <v>S2-00773-BH</v>
      </c>
      <c r="B366" s="2" t="str">
        <v>KH066</v>
      </c>
      <c r="C366" s="2" t="str">
        <v>2026-06-22</v>
      </c>
      <c r="D366" s="2" t="str">
        <v>BAN_HANG</v>
      </c>
      <c r="E366" s="2" t="str"/>
      <c r="F366" s="2" t="str">
        <v>00000184</v>
      </c>
      <c r="G366" s="2" t="str"/>
      <c r="H366" s="19" t="n">
        <v>83820000</v>
      </c>
      <c r="I366" s="20" t="str">
        <v>Xuất bán CÔNG TY TNHH THƯƠNG MẠI GIANG MINH NGỌC 向江明玉销售产品</v>
      </c>
      <c r="J366" s="20" t="str">
        <v>Chuẩn hóa VND; gốc 83819999.8368; phần lẻ 0.163200000000 đ</v>
      </c>
      <c r="K366" s="20" t="str">
        <v>2.xlsx | 订单!773-778</v>
      </c>
      <c r="L366" s="20" t="str"/>
    </row>
    <row r="367" ht="48" customHeight="1">
      <c r="A367" s="2" t="str">
        <v>S2-00780-BH</v>
      </c>
      <c r="B367" s="2" t="str">
        <v>KH066</v>
      </c>
      <c r="C367" s="2" t="str">
        <v>2026-06-22</v>
      </c>
      <c r="D367" s="2" t="str">
        <v>BAN_HANG</v>
      </c>
      <c r="E367" s="2" t="str"/>
      <c r="F367" s="2" t="str">
        <v>00000201</v>
      </c>
      <c r="G367" s="2" t="str"/>
      <c r="H367" s="19" t="n">
        <v>15000000</v>
      </c>
      <c r="I367" s="20" t="str">
        <v>Xuất bán CÔNG TY TNHH THƯƠNG MẠI GIANG MINH NGỌC 向江明玉销售产品</v>
      </c>
      <c r="J367" s="20" t="str">
        <v>Chuẩn hóa VND; gốc 14999999.904; phần lẻ 0.096000000000 đ</v>
      </c>
      <c r="K367" s="20" t="str">
        <v>2.xlsx | 订单!780</v>
      </c>
      <c r="L367" s="20" t="str"/>
    </row>
    <row r="368" ht="48" customHeight="1">
      <c r="A368" s="2" t="str">
        <v>S2-00781-BH</v>
      </c>
      <c r="B368" s="2" t="str">
        <v>KH066</v>
      </c>
      <c r="C368" s="2" t="str">
        <v>2026-06-22</v>
      </c>
      <c r="D368" s="2" t="str">
        <v>BAN_HANG</v>
      </c>
      <c r="E368" s="2" t="str"/>
      <c r="F368" s="2" t="str">
        <v>00000247</v>
      </c>
      <c r="G368" s="2" t="str"/>
      <c r="H368" s="19" t="n">
        <v>14680000</v>
      </c>
      <c r="I368" s="20" t="str">
        <v>Xuất bán CÔNG TY TNHH THƯƠNG MẠI GIANG MINH NGỌC 向江明玉销售产品</v>
      </c>
      <c r="J368" s="20" t="str">
        <v>Chuẩn hóa VND; gốc 14679999.9; phần lẻ 0.100000000000 đ</v>
      </c>
      <c r="K368" s="20" t="str">
        <v>2.xlsx | 订单!781-782</v>
      </c>
      <c r="L368" s="20" t="str"/>
    </row>
    <row r="369" ht="48" customHeight="1">
      <c r="A369" s="2" t="str">
        <v>S2-00783-VC</v>
      </c>
      <c r="B369" s="2" t="str">
        <v>KH066</v>
      </c>
      <c r="C369" s="2" t="str">
        <v>2026-06-22</v>
      </c>
      <c r="D369" s="2" t="str">
        <v>PHI_VAN_CHUYEN</v>
      </c>
      <c r="E369" s="2" t="str"/>
      <c r="F369" s="2" t="str"/>
      <c r="G369" s="2" t="str"/>
      <c r="H369" s="19" t="n">
        <v>500000</v>
      </c>
      <c r="I369" s="20" t="str">
        <v>Giảm trừ tiền giao hàng</v>
      </c>
      <c r="J369" s="20" t="str">
        <v>Chuẩn hóa VND; gốc 500000; phần lẻ 0.000000000000 đ</v>
      </c>
      <c r="K369" s="20" t="str">
        <v>2.xlsx | 订单!783</v>
      </c>
      <c r="L369" s="20" t="str"/>
    </row>
    <row r="370" ht="48" customHeight="1">
      <c r="A370" s="2" t="str">
        <v>S2-00784-TT</v>
      </c>
      <c r="B370" s="2" t="str">
        <v>KH066</v>
      </c>
      <c r="C370" s="2" t="str">
        <v>2026-06-23</v>
      </c>
      <c r="D370" s="2" t="str">
        <v>THU_TIEN</v>
      </c>
      <c r="E370" s="2" t="str"/>
      <c r="F370" s="2" t="str"/>
      <c r="G370" s="2" t="str"/>
      <c r="H370" s="19" t="n">
        <v>150000000</v>
      </c>
      <c r="I370" s="20" t="str">
        <v>Thu tiền khách hàng Chuyển khoản ngân hàng货款通过银行转账</v>
      </c>
      <c r="J370" s="20" t="str">
        <v>Chuẩn hóa VND; gốc 150000000; phần lẻ 0.000000000000 đ</v>
      </c>
      <c r="K370" s="20" t="str">
        <v>2.xlsx | 订单!784</v>
      </c>
      <c r="L370" s="20" t="str"/>
    </row>
    <row r="371" ht="48" customHeight="1">
      <c r="A371" s="2" t="str">
        <v>S2-00785-BH</v>
      </c>
      <c r="B371" s="2" t="str">
        <v>KH066</v>
      </c>
      <c r="C371" s="2" t="str">
        <v>2026-07-10</v>
      </c>
      <c r="D371" s="2" t="str">
        <v>BAN_HANG</v>
      </c>
      <c r="E371" s="2" t="str"/>
      <c r="F371" s="2" t="str">
        <v>00000247</v>
      </c>
      <c r="G371" s="2" t="str"/>
      <c r="H371" s="19" t="n">
        <v>17600000</v>
      </c>
      <c r="I371" s="20" t="str">
        <v>Xuất bán CÔNG TY TNHH THƯƠNG MẠI GIANG MINH NGỌC 向江明玉销售产品</v>
      </c>
      <c r="J371" s="20" t="str">
        <v>Chuẩn hóa VND; gốc 17599999.896; phần lẻ 0.104000000000 đ</v>
      </c>
      <c r="K371" s="20" t="str">
        <v>2.xlsx | 订单!785</v>
      </c>
      <c r="L371" s="21" t="str">
        <v>Ngày 2026-10-07 sau mốc của khối nhập tay (≤ 2026-08-15) → đảo ngày/tháng thành 2026-07-10</v>
      </c>
    </row>
    <row r="372" ht="48" customHeight="1">
      <c r="A372" s="2" t="str">
        <v>S2-00786-BH</v>
      </c>
      <c r="B372" s="2" t="str">
        <v>KH066</v>
      </c>
      <c r="C372" s="2" t="str">
        <v>2026-07-10</v>
      </c>
      <c r="D372" s="2" t="str">
        <v>BAN_HANG</v>
      </c>
      <c r="E372" s="2" t="str"/>
      <c r="F372" s="2" t="str">
        <v>00000217</v>
      </c>
      <c r="G372" s="2" t="str"/>
      <c r="H372" s="19" t="n">
        <v>7296000</v>
      </c>
      <c r="I372" s="20" t="str">
        <v>Xuất bán CÔNG TY TNHH THƯƠNG MẠI GIANG MINH NGỌC 向江明玉销售产品</v>
      </c>
      <c r="J372" s="20" t="str">
        <v>Chuẩn hóa VND; gốc 7296000.048; phần lẻ -0.048000000000 đ</v>
      </c>
      <c r="K372" s="20" t="str">
        <v>2.xlsx | 订单!786</v>
      </c>
      <c r="L372" s="21" t="str">
        <v>Ngày 2026-10-07 sau mốc của khối nhập tay (≤ 2026-08-15) → đảo ngày/tháng thành 2026-07-10</v>
      </c>
    </row>
    <row r="373" ht="48" customHeight="1">
      <c r="A373" s="2" t="str">
        <v>S2-00787-VC</v>
      </c>
      <c r="B373" s="2" t="str">
        <v>KH066</v>
      </c>
      <c r="C373" s="2" t="str">
        <v>2026-07-10</v>
      </c>
      <c r="D373" s="2" t="str">
        <v>PHI_VAN_CHUYEN</v>
      </c>
      <c r="E373" s="2" t="str"/>
      <c r="F373" s="2" t="str"/>
      <c r="G373" s="2" t="str"/>
      <c r="H373" s="19" t="n">
        <v>500000</v>
      </c>
      <c r="I373" s="20" t="str">
        <v>Giảm trừ tiền giao hàng</v>
      </c>
      <c r="J373" s="20" t="str">
        <v>Chuẩn hóa VND; gốc 500000; phần lẻ 0.000000000000 đ</v>
      </c>
      <c r="K373" s="20" t="str">
        <v>2.xlsx | 订单!787</v>
      </c>
      <c r="L373" s="21" t="str">
        <v>Ngày 2026-10-07 sau mốc của khối nhập tay (≤ 2026-08-15) → đảo ngày/tháng thành 2026-07-10</v>
      </c>
    </row>
    <row r="374" ht="48" customHeight="1">
      <c r="A374" s="2" t="str">
        <v>S2-00788-BH</v>
      </c>
      <c r="B374" s="2" t="str">
        <v>KH066</v>
      </c>
      <c r="C374" s="2" t="str">
        <v>2026-07-14</v>
      </c>
      <c r="D374" s="2" t="str">
        <v>BAN_HANG</v>
      </c>
      <c r="E374" s="2" t="str"/>
      <c r="F374" s="2" t="str">
        <v>00000217</v>
      </c>
      <c r="G374" s="2" t="str"/>
      <c r="H374" s="19" t="n">
        <v>35236000</v>
      </c>
      <c r="I374" s="20" t="str">
        <v>Xuất bán CÔNG TY TNHH THƯƠNG MẠI GIANG MINH NGỌC 向江明玉销售产品</v>
      </c>
      <c r="J374" s="20" t="str">
        <v>Chuẩn hóa VND; gốc 35235999.9504; phần lẻ 0.049600000000 đ</v>
      </c>
      <c r="K374" s="20" t="str">
        <v>2.xlsx | 订单!788-790</v>
      </c>
      <c r="L374" s="20" t="str"/>
    </row>
    <row r="375" ht="48" customHeight="1">
      <c r="A375" s="2" t="str">
        <v>S2-00793-BH</v>
      </c>
      <c r="B375" s="2" t="str">
        <v>KH066</v>
      </c>
      <c r="C375" s="2" t="str">
        <v>2026-07-16</v>
      </c>
      <c r="D375" s="2" t="str">
        <v>BAN_HANG</v>
      </c>
      <c r="E375" s="2" t="str"/>
      <c r="F375" s="2" t="str">
        <v>00000230</v>
      </c>
      <c r="G375" s="2" t="str"/>
      <c r="H375" s="19" t="n">
        <v>43328000</v>
      </c>
      <c r="I375" s="20" t="str">
        <v>Xuất bán CÔNG TY TNHH THƯƠNG MẠI GIANG MINH NGỌC 向江明玉销售产品</v>
      </c>
      <c r="J375" s="20" t="str">
        <v>Chuẩn hóa VND; gốc 43327999.7856; phần lẻ 0.214400000000 đ</v>
      </c>
      <c r="K375" s="20" t="str">
        <v>2.xlsx | 订单!793-797</v>
      </c>
      <c r="L375" s="20" t="str"/>
    </row>
    <row r="376" ht="48" customHeight="1">
      <c r="A376" s="2" t="str">
        <v>S2-00798-BH</v>
      </c>
      <c r="B376" s="2" t="str">
        <v>KH066</v>
      </c>
      <c r="C376" s="2" t="str">
        <v>2026-07-16</v>
      </c>
      <c r="D376" s="2" t="str">
        <v>BAN_HANG</v>
      </c>
      <c r="E376" s="2" t="str"/>
      <c r="F376" s="2" t="str">
        <v>00000247</v>
      </c>
      <c r="G376" s="2" t="str"/>
      <c r="H376" s="19" t="n">
        <v>10560000</v>
      </c>
      <c r="I376" s="20" t="str">
        <v>Xuất bán CÔNG TY TNHH THƯƠNG MẠI GIANG MINH NGỌC 向江明玉销售产品</v>
      </c>
      <c r="J376" s="20" t="str">
        <v>Chuẩn hóa VND; gốc 10559999.9376; phần lẻ 0.062400000000 đ</v>
      </c>
      <c r="K376" s="20" t="str">
        <v>2.xlsx | 订单!798</v>
      </c>
      <c r="L376" s="20" t="str"/>
    </row>
    <row r="377" ht="48" customHeight="1">
      <c r="A377" s="2" t="str">
        <v>S2-00799-BH</v>
      </c>
      <c r="B377" s="2" t="str">
        <v>KH066</v>
      </c>
      <c r="C377" s="2" t="str">
        <v>2026-07-16</v>
      </c>
      <c r="D377" s="2" t="str">
        <v>BAN_HANG</v>
      </c>
      <c r="E377" s="2" t="str">
        <v>BH302.4</v>
      </c>
      <c r="F377" s="2" t="str">
        <v>00000312</v>
      </c>
      <c r="G377" s="2" t="str"/>
      <c r="H377" s="19" t="n">
        <v>18600000</v>
      </c>
      <c r="I377" s="20" t="str">
        <v>Xuất bán CÔNG TY TNHH THƯƠNG MẠI GIANG MINH NGỌC 向江明玉销售产品</v>
      </c>
      <c r="J377" s="20" t="str">
        <v>Chuẩn hóa VND; gốc 18599999.976; phần lẻ 0.024000000000 đ</v>
      </c>
      <c r="K377" s="20" t="str">
        <v>2.xlsx | 订单!799</v>
      </c>
      <c r="L377" s="20" t="str"/>
    </row>
    <row r="378" ht="48" customHeight="1">
      <c r="A378" s="2" t="str">
        <v>S2-00800-VC</v>
      </c>
      <c r="B378" s="2" t="str">
        <v>KH066</v>
      </c>
      <c r="C378" s="2" t="str">
        <v>2026-07-16</v>
      </c>
      <c r="D378" s="2" t="str">
        <v>PHI_VAN_CHUYEN</v>
      </c>
      <c r="E378" s="2" t="str"/>
      <c r="F378" s="2" t="str"/>
      <c r="G378" s="2" t="str"/>
      <c r="H378" s="19" t="n">
        <v>500000</v>
      </c>
      <c r="I378" s="20" t="str">
        <v>Giảm trừ tiền giao hàng</v>
      </c>
      <c r="J378" s="20" t="str">
        <v>Chuẩn hóa VND; gốc 500000; phần lẻ 0.000000000000 đ</v>
      </c>
      <c r="K378" s="20" t="str">
        <v>2.xlsx | 订单!800</v>
      </c>
      <c r="L378" s="20" t="str"/>
    </row>
    <row r="379" ht="48" customHeight="1">
      <c r="A379" s="2" t="str">
        <v>S2-00801-BH</v>
      </c>
      <c r="B379" s="2" t="str">
        <v>KH066</v>
      </c>
      <c r="C379" s="2" t="str">
        <v>2026-07-22</v>
      </c>
      <c r="D379" s="2" t="str">
        <v>BAN_HANG</v>
      </c>
      <c r="E379" s="2" t="str"/>
      <c r="F379" s="2" t="str">
        <v>00000233</v>
      </c>
      <c r="G379" s="2" t="str"/>
      <c r="H379" s="19" t="n">
        <v>4500000</v>
      </c>
      <c r="I379" s="20" t="str">
        <v>Xuất bán CÔNG TY TNHH THƯƠNG MẠI GIANG MINH NGỌC 向江明玉销售产品</v>
      </c>
      <c r="J379" s="20" t="str">
        <v>Chuẩn hóa VND; gốc 4499999.9712; phần lẻ 0.028800000000 đ</v>
      </c>
      <c r="K379" s="20" t="str">
        <v>2.xlsx | 订单!801</v>
      </c>
      <c r="L379" s="20" t="str"/>
    </row>
    <row r="380" ht="48" customHeight="1">
      <c r="A380" s="2" t="str">
        <v>S2-00802-BH</v>
      </c>
      <c r="B380" s="2" t="str">
        <v>KH066</v>
      </c>
      <c r="C380" s="2" t="str">
        <v>2026-07-22</v>
      </c>
      <c r="D380" s="2" t="str">
        <v>BAN_HANG</v>
      </c>
      <c r="E380" s="2" t="str"/>
      <c r="F380" s="2" t="str">
        <v>00000247</v>
      </c>
      <c r="G380" s="2" t="str"/>
      <c r="H380" s="19" t="n">
        <v>9200000</v>
      </c>
      <c r="I380" s="20" t="str">
        <v>Xuất bán CÔNG TY TNHH THƯƠNG MẠI GIANG MINH NGỌC 向江明玉销售产品</v>
      </c>
      <c r="J380" s="20" t="str">
        <v>Chuẩn hóa VND; gốc 9199999.9368; phần lẻ 0.063200000000 đ</v>
      </c>
      <c r="K380" s="20" t="str">
        <v>2.xlsx | 订单!802-803</v>
      </c>
      <c r="L380" s="20" t="str"/>
    </row>
    <row r="381" ht="48" customHeight="1">
      <c r="A381" s="2" t="str">
        <v>S2-00804-BH</v>
      </c>
      <c r="B381" s="2" t="str">
        <v>KH066</v>
      </c>
      <c r="C381" s="2" t="str">
        <v>2026-07-22</v>
      </c>
      <c r="D381" s="2" t="str">
        <v>BAN_HANG</v>
      </c>
      <c r="E381" s="2" t="str">
        <v>BH302.4</v>
      </c>
      <c r="F381" s="2" t="str">
        <v>00000312</v>
      </c>
      <c r="G381" s="2" t="str"/>
      <c r="H381" s="19" t="n">
        <v>11160000</v>
      </c>
      <c r="I381" s="20" t="str">
        <v>Xuất bán CÔNG TY TNHH THƯƠNG MẠI GIANG MINH NGỌC 向江明玉销售产品</v>
      </c>
      <c r="J381" s="20" t="str">
        <v>Chuẩn hóa VND; gốc 11159999.9856; phần lẻ 0.014400000000 đ</v>
      </c>
      <c r="K381" s="20" t="str">
        <v>2.xlsx | 订单!804</v>
      </c>
      <c r="L381" s="20" t="str"/>
    </row>
    <row r="382" ht="48" customHeight="1">
      <c r="A382" s="2" t="str">
        <v>S2-00805-BH</v>
      </c>
      <c r="B382" s="2" t="str">
        <v>KH066</v>
      </c>
      <c r="C382" s="2" t="str">
        <v>2026-07-22</v>
      </c>
      <c r="D382" s="2" t="str">
        <v>BAN_HANG</v>
      </c>
      <c r="E382" s="2" t="str"/>
      <c r="F382" s="2" t="str"/>
      <c r="G382" s="2" t="str"/>
      <c r="H382" s="19" t="n">
        <v>16320000</v>
      </c>
      <c r="I382" s="20" t="str">
        <v>Xuất bán CÔNG TY TNHH THƯƠNG MẠI GIANG MINH NGỌC 向江明玉销售产品</v>
      </c>
      <c r="J382" s="20" t="str">
        <v>Chuẩn hóa VND; gốc 16320000.0096; phần lẻ -0.009600000000 đ</v>
      </c>
      <c r="K382" s="20" t="str">
        <v>2.xlsx | 订单!805</v>
      </c>
      <c r="L382" s="20" t="str"/>
    </row>
    <row r="383" ht="48" customHeight="1">
      <c r="A383" s="2" t="str">
        <v>S2-00735-BH</v>
      </c>
      <c r="B383" s="2" t="str">
        <v>KH066</v>
      </c>
      <c r="C383" s="2" t="str">
        <v>2026-08-01</v>
      </c>
      <c r="D383" s="2" t="str">
        <v>BAN_HANG</v>
      </c>
      <c r="E383" s="2" t="str"/>
      <c r="F383" s="2" t="str">
        <v>00000013</v>
      </c>
      <c r="G383" s="2" t="str"/>
      <c r="H383" s="19" t="n">
        <v>25600000</v>
      </c>
      <c r="I383" s="20" t="str">
        <v>Xuất bán CÔNG TY TNHH THƯƠNG MẠI GIANG MINH NGỌC 向江明玉销售产品</v>
      </c>
      <c r="J383" s="20" t="str">
        <v>Chuẩn hóa VND; gốc 25599999.888; phần lẻ 0.112000000000 đ</v>
      </c>
      <c r="K383" s="20" t="str">
        <v>2.xlsx | 订单!735</v>
      </c>
      <c r="L383" s="20" t="str"/>
    </row>
    <row r="384" ht="48" customHeight="1">
      <c r="A384" s="2" t="str">
        <v>S2-00736-VC</v>
      </c>
      <c r="B384" s="2" t="str">
        <v>KH066</v>
      </c>
      <c r="C384" s="2" t="str">
        <v>2026-08-01</v>
      </c>
      <c r="D384" s="2" t="str">
        <v>PHI_VAN_CHUYEN</v>
      </c>
      <c r="E384" s="2" t="str"/>
      <c r="F384" s="2" t="str"/>
      <c r="G384" s="2" t="str"/>
      <c r="H384" s="19" t="n">
        <v>500000</v>
      </c>
      <c r="I384" s="20" t="str">
        <v>Giảm trừ tiền giao hàng</v>
      </c>
      <c r="J384" s="20" t="str">
        <v>Chuẩn hóa VND; gốc 500000; phần lẻ 0.000000000000 đ</v>
      </c>
      <c r="K384" s="20" t="str">
        <v>2.xlsx | 订单!736</v>
      </c>
      <c r="L384" s="20" t="str"/>
    </row>
    <row r="385" ht="48" customHeight="1">
      <c r="A385" s="2" t="str">
        <v>S2-01040-BH</v>
      </c>
      <c r="B385" s="2" t="str">
        <v>KH066</v>
      </c>
      <c r="C385" s="2" t="str">
        <v>2026-08-04</v>
      </c>
      <c r="D385" s="2" t="str">
        <v>BAN_HANG</v>
      </c>
      <c r="E385" s="2" t="str">
        <v>BH004/0826</v>
      </c>
      <c r="F385" s="2" t="str">
        <v>00000336</v>
      </c>
      <c r="G385" s="2" t="str"/>
      <c r="H385" s="19" t="n">
        <v>19230000</v>
      </c>
      <c r="I385" s="20" t="str">
        <v>Xuất bán CÔNG TY TNHH THƯƠNG MẠI GIANG MINH NGỌC 向江明玉销售产品</v>
      </c>
      <c r="J385" s="20" t="str">
        <v>Chuẩn hóa VND; gốc 19229999.886; phần lẻ 0.114000000000 đ</v>
      </c>
      <c r="K385" s="20" t="str">
        <v>2.xlsx | 订单!1040-1041</v>
      </c>
      <c r="L385" s="20" t="str"/>
    </row>
    <row r="386" ht="48" customHeight="1">
      <c r="A386" s="2" t="str">
        <v>S2-01042-BH</v>
      </c>
      <c r="B386" s="2" t="str">
        <v>KH066</v>
      </c>
      <c r="C386" s="2" t="str">
        <v>2026-08-04</v>
      </c>
      <c r="D386" s="2" t="str">
        <v>BAN_HANG</v>
      </c>
      <c r="E386" s="2" t="str">
        <v>BH004/0826</v>
      </c>
      <c r="F386" s="2" t="str"/>
      <c r="G386" s="2" t="str"/>
      <c r="H386" s="19" t="n">
        <v>56400000</v>
      </c>
      <c r="I386" s="20" t="str">
        <v>Xuất bán CÔNG TY TNHH THƯƠNG MẠI GIANG MINH NGỌC 向江明玉销售产品</v>
      </c>
      <c r="J386" s="20" t="str">
        <v>Chuẩn hóa VND; gốc 56399999.652; phần lẻ 0.348000000000 đ</v>
      </c>
      <c r="K386" s="20" t="str">
        <v>2.xlsx | 订单!1042-1047</v>
      </c>
      <c r="L386" s="20" t="str"/>
    </row>
    <row r="387" ht="48" customHeight="1">
      <c r="A387" s="2" t="str">
        <v>S2-01048-BH</v>
      </c>
      <c r="B387" s="2" t="str">
        <v>KH066</v>
      </c>
      <c r="C387" s="2" t="str">
        <v>2026-08-04</v>
      </c>
      <c r="D387" s="2" t="str">
        <v>BAN_HANG</v>
      </c>
      <c r="E387" s="2" t="str">
        <v>BH004/0826</v>
      </c>
      <c r="F387" s="2" t="str">
        <v>00000260</v>
      </c>
      <c r="G387" s="2" t="str"/>
      <c r="H387" s="19" t="n">
        <v>26400000</v>
      </c>
      <c r="I387" s="20" t="str">
        <v>Xuất bán CÔNG TY TNHH THƯƠNG MẠI GIANG MINH NGỌC 向江明玉销售产品</v>
      </c>
      <c r="J387" s="20" t="str">
        <v>Chuẩn hóa VND; gốc 26399999.844; phần lẻ 0.156000000000 đ</v>
      </c>
      <c r="K387" s="20" t="str">
        <v>2.xlsx | 订单!1048</v>
      </c>
      <c r="L387" s="20" t="str"/>
    </row>
    <row r="388" ht="48" customHeight="1">
      <c r="A388" s="2" t="str">
        <v>S2-01057-BH</v>
      </c>
      <c r="B388" s="2" t="str">
        <v>KH066</v>
      </c>
      <c r="C388" s="2" t="str">
        <v>2026-08-04</v>
      </c>
      <c r="D388" s="2" t="str">
        <v>BAN_HANG</v>
      </c>
      <c r="E388" s="2" t="str">
        <v>BH004/0826</v>
      </c>
      <c r="F388" s="2" t="str">
        <v>00000325</v>
      </c>
      <c r="G388" s="2" t="str"/>
      <c r="H388" s="19" t="n">
        <v>2600000</v>
      </c>
      <c r="I388" s="20" t="str">
        <v>Xuất bán CÔNG TY TNHH THƯƠNG MẠI GIANG MINH NGỌC 向江明玉销售产品</v>
      </c>
      <c r="J388" s="20" t="str">
        <v>Chuẩn hóa VND; gốc 2599999.992; phần lẻ 0.008000000000 đ</v>
      </c>
      <c r="K388" s="20" t="str">
        <v>2.xlsx | 订单!1057</v>
      </c>
      <c r="L388" s="20" t="str"/>
    </row>
    <row r="389" ht="48" customHeight="1">
      <c r="A389" s="2" t="str">
        <v>S2-01082-BH</v>
      </c>
      <c r="B389" s="2" t="str">
        <v>KH066</v>
      </c>
      <c r="C389" s="2" t="str">
        <v>2026-08-06</v>
      </c>
      <c r="D389" s="2" t="str">
        <v>BAN_HANG</v>
      </c>
      <c r="E389" s="2" t="str">
        <v>BH009/0826</v>
      </c>
      <c r="F389" s="2" t="str">
        <v>00000325</v>
      </c>
      <c r="G389" s="2" t="str"/>
      <c r="H389" s="19" t="n">
        <v>78230000</v>
      </c>
      <c r="I389" s="20" t="str">
        <v>Xuất bán CÔNG TY TNHH THƯƠNG MẠI GIANG MINH NGỌC 向江明玉销售产品</v>
      </c>
      <c r="J389" s="20" t="str">
        <v>Chuẩn hóa VND; gốc 78229999.53; phần lẻ 0.470000000000 đ</v>
      </c>
      <c r="K389" s="20" t="str">
        <v>2.xlsx | 订单!1082-1089,1098</v>
      </c>
      <c r="L389" s="20" t="str"/>
    </row>
    <row r="390" ht="48" customHeight="1">
      <c r="A390" s="2" t="str">
        <v>S2-01099-TT</v>
      </c>
      <c r="B390" s="2" t="str">
        <v>KH066</v>
      </c>
      <c r="C390" s="2" t="str">
        <v>2026-08-06</v>
      </c>
      <c r="D390" s="2" t="str">
        <v>THU_TIEN</v>
      </c>
      <c r="E390" s="2" t="str">
        <v>NTTK00131</v>
      </c>
      <c r="F390" s="2" t="str"/>
      <c r="G390" s="2" t="str"/>
      <c r="H390" s="19" t="n">
        <v>100000000</v>
      </c>
      <c r="I390" s="20" t="str">
        <v>Thu tiền khách hàng Chuyển khoản ngân hàng货款通过银行转账</v>
      </c>
      <c r="J390" s="20" t="str">
        <v>Chuẩn hóa VND; gốc 100000000; phần lẻ 0.000000000000 đ</v>
      </c>
      <c r="K390" s="20" t="str">
        <v>2.xlsx | 订单!1099</v>
      </c>
      <c r="L390" s="20" t="str"/>
    </row>
    <row r="391" ht="48" customHeight="1">
      <c r="A391" s="2" t="str">
        <v>S2-01226-BH</v>
      </c>
      <c r="B391" s="2" t="str">
        <v>KH066</v>
      </c>
      <c r="C391" s="2" t="str">
        <v>2026-08-13</v>
      </c>
      <c r="D391" s="2" t="str">
        <v>BAN_HANG</v>
      </c>
      <c r="E391" s="2" t="str">
        <v>BH2026080003</v>
      </c>
      <c r="F391" s="2" t="str">
        <v>00000325, 00000271</v>
      </c>
      <c r="G391" s="2" t="str"/>
      <c r="H391" s="19" t="n">
        <v>57940000</v>
      </c>
      <c r="I391" s="20" t="str">
        <v>Xuất bán CÔNG TY TNHH THƯƠNG MẠI GIANG MINH NGỌC 向江明玉销售产品</v>
      </c>
      <c r="J391" s="20" t="str">
        <v>Chuẩn hóa VND; gốc 57939999.678; phần lẻ 0.322000000000 đ</v>
      </c>
      <c r="K391" s="20" t="str">
        <v>2.xlsx | 订单!1226-1233</v>
      </c>
      <c r="L391" s="20" t="str"/>
    </row>
    <row r="392" ht="48" customHeight="1">
      <c r="A392" s="2" t="str">
        <v>S2-01240-BH</v>
      </c>
      <c r="B392" s="2" t="str">
        <v>KH066</v>
      </c>
      <c r="C392" s="2" t="str">
        <v>2026-08-13</v>
      </c>
      <c r="D392" s="2" t="str">
        <v>BAN_HANG</v>
      </c>
      <c r="E392" s="2" t="str">
        <v>BH2026080004</v>
      </c>
      <c r="F392" s="2" t="str">
        <v>00000271</v>
      </c>
      <c r="G392" s="2" t="str"/>
      <c r="H392" s="19" t="n">
        <v>22499999</v>
      </c>
      <c r="I392" s="20" t="str">
        <v>Xuất bán CÔNG TY TNHH THƯƠNG MẠI GIANG MINH NGỌC 向江明玉销售产品</v>
      </c>
      <c r="J392" s="20" t="str">
        <v>Chuẩn hóa VND; gốc 22499999.856; phần lẻ -0.856000000000 đ</v>
      </c>
      <c r="K392" s="20" t="str">
        <v>2.xlsx | 订单!1240</v>
      </c>
      <c r="L392" s="20" t="str"/>
    </row>
    <row r="393" ht="48" customHeight="1">
      <c r="A393" s="2" t="str">
        <v>S2-01330-BH</v>
      </c>
      <c r="B393" s="2" t="str">
        <v>KH066</v>
      </c>
      <c r="C393" s="2" t="str">
        <v>2026-08-21</v>
      </c>
      <c r="D393" s="2" t="str">
        <v>BAN_HANG</v>
      </c>
      <c r="E393" s="2" t="str">
        <v>BH2026080020</v>
      </c>
      <c r="F393" s="2" t="str">
        <v>00000325, 00000282</v>
      </c>
      <c r="G393" s="2" t="str"/>
      <c r="H393" s="19" t="n">
        <v>31800000</v>
      </c>
      <c r="I393" s="20" t="str">
        <v>Xuất bán CÔNG TY TNHH THƯƠNG MẠI GIANG MINH NGỌC 向江明玉销售产品</v>
      </c>
      <c r="J393" s="20" t="str">
        <v>Chuẩn hóa VND; gốc 31799999.952; phần lẻ 0.048000000000 đ</v>
      </c>
      <c r="K393" s="20" t="str">
        <v>2.xlsx | 订单!1330-1333</v>
      </c>
      <c r="L393" s="20" t="str"/>
    </row>
    <row r="394" ht="48" customHeight="1">
      <c r="A394" s="2" t="str">
        <v>S2-01337-TH</v>
      </c>
      <c r="B394" s="2" t="str">
        <v>KH066</v>
      </c>
      <c r="C394" s="2" t="str">
        <v>2026-08-21</v>
      </c>
      <c r="D394" s="2" t="str">
        <v>TRA_HANG</v>
      </c>
      <c r="E394" s="2" t="str">
        <v>NK2026080004</v>
      </c>
      <c r="F394" s="2" t="str"/>
      <c r="G394" s="2" t="str"/>
      <c r="H394" s="19" t="n">
        <v>43922000</v>
      </c>
      <c r="I394" s="20" t="str">
        <v>Trả lại hàng bán 销售退货</v>
      </c>
      <c r="J394" s="20" t="str">
        <v>Chuẩn hóa VND; gốc 43921999.8288; phần lẻ 0.171200000000 đ</v>
      </c>
      <c r="K394" s="20" t="str">
        <v>2.xlsx | 订单!1337-1344</v>
      </c>
      <c r="L394" s="20" t="str"/>
    </row>
    <row r="395" ht="48" customHeight="1">
      <c r="A395" s="2" t="str">
        <v>S2-01388-BH</v>
      </c>
      <c r="B395" s="2" t="str">
        <v>KH066</v>
      </c>
      <c r="C395" s="2" t="str">
        <v>2026-09-04</v>
      </c>
      <c r="D395" s="2" t="str">
        <v>BAN_HANG</v>
      </c>
      <c r="E395" s="2" t="str">
        <v>BH2026080023</v>
      </c>
      <c r="F395" s="2" t="str"/>
      <c r="G395" s="2" t="str"/>
      <c r="H395" s="19" t="n">
        <v>2040000</v>
      </c>
      <c r="I395" s="20" t="str"/>
      <c r="J395" s="20" t="str">
        <v>Chuẩn hóa VND; gốc 2039999.904; phần lẻ 0.096000000000 đ</v>
      </c>
      <c r="K395" s="20" t="str">
        <v>2.xlsx | 订单!1388</v>
      </c>
      <c r="L395" s="20" t="str"/>
    </row>
    <row r="396" ht="48" customHeight="1">
      <c r="A396" s="2" t="str">
        <v>S2-01583-BH</v>
      </c>
      <c r="B396" s="2" t="str">
        <v>KH066</v>
      </c>
      <c r="C396" s="2" t="str">
        <v>2026-09-04</v>
      </c>
      <c r="D396" s="2" t="str">
        <v>BAN_HANG</v>
      </c>
      <c r="E396" s="2" t="str">
        <v>BH2026090041</v>
      </c>
      <c r="F396" s="2" t="str">
        <v>00000290</v>
      </c>
      <c r="G396" s="2" t="str"/>
      <c r="H396" s="19" t="n">
        <v>9200000</v>
      </c>
      <c r="I396" s="20" t="str">
        <v>Xuất bán CÔNG TY TNHH THƯƠNG MẠI GIANG MINH NGỌC 向江明玉销售产品</v>
      </c>
      <c r="J396" s="20" t="str">
        <v>Chuẩn hóa VND; gốc 9199999.98; phần lẻ 0.020000000000 đ</v>
      </c>
      <c r="K396" s="20" t="str">
        <v>2.xlsx | 订单!1583</v>
      </c>
      <c r="L396" s="20" t="str"/>
    </row>
    <row r="397" ht="48" customHeight="1">
      <c r="A397" s="2" t="str">
        <v>S2-01691-TT</v>
      </c>
      <c r="B397" s="2" t="str">
        <v>KH066</v>
      </c>
      <c r="C397" s="2" t="str">
        <v>2026-09-12</v>
      </c>
      <c r="D397" s="2" t="str">
        <v>THU_TIEN</v>
      </c>
      <c r="E397" s="2" t="str"/>
      <c r="F397" s="2" t="str"/>
      <c r="G397" s="2" t="str"/>
      <c r="H397" s="19" t="n">
        <v>150000000</v>
      </c>
      <c r="I397" s="20" t="str">
        <v>Thu tiền khách hàng Chuyển khoản ngân hàng货款通过银行转账</v>
      </c>
      <c r="J397" s="20" t="str">
        <v>Chuẩn hóa VND; gốc 150000000; phần lẻ 0.000000000000 đ</v>
      </c>
      <c r="K397" s="20" t="str">
        <v>2.xlsx | 订单!1691</v>
      </c>
      <c r="L397" s="20" t="str"/>
    </row>
    <row r="398" ht="48" customHeight="1">
      <c r="A398" s="2" t="str">
        <v>S2-01763-BH</v>
      </c>
      <c r="B398" s="2" t="str">
        <v>KH066</v>
      </c>
      <c r="C398" s="2" t="str">
        <v>2026-09-14</v>
      </c>
      <c r="D398" s="2" t="str">
        <v>BAN_HANG</v>
      </c>
      <c r="E398" s="2" t="str">
        <v>BH2026090070</v>
      </c>
      <c r="F398" s="2" t="str">
        <v>00000325</v>
      </c>
      <c r="G398" s="2" t="str"/>
      <c r="H398" s="19" t="n">
        <v>4960000</v>
      </c>
      <c r="I398" s="20" t="str">
        <v>Xuất bán CÔNG TY TNHH THƯƠNG MẠI GIANG MINH NGỌC 向江明玉销售产品</v>
      </c>
      <c r="J398" s="20" t="str">
        <v>Chuẩn hóa VND; gốc 4959999.9648; phần lẻ 0.035200000000 đ</v>
      </c>
      <c r="K398" s="20" t="str">
        <v>2.xlsx | 订单!1763</v>
      </c>
      <c r="L398" s="20" t="str"/>
    </row>
    <row r="399" ht="48" customHeight="1">
      <c r="A399" s="2" t="str">
        <v>S2-01778-BH</v>
      </c>
      <c r="B399" s="2" t="str">
        <v>KH066</v>
      </c>
      <c r="C399" s="2" t="str">
        <v>2026-09-17</v>
      </c>
      <c r="D399" s="2" t="str">
        <v>BAN_HANG</v>
      </c>
      <c r="E399" s="2" t="str">
        <v>BH2026090078</v>
      </c>
      <c r="F399" s="2" t="str">
        <v>00000325</v>
      </c>
      <c r="G399" s="2" t="str"/>
      <c r="H399" s="19" t="n">
        <v>71340000</v>
      </c>
      <c r="I399" s="20" t="str">
        <v>Xuất bán CÔNG TY TNHH THƯƠNG MẠI GIANG MINH NGỌC 向江明玉销售产品</v>
      </c>
      <c r="J399" s="20" t="str">
        <v>Chuẩn hóa VND; gốc 71339999.6052; phần lẻ 0.394800000000 đ</v>
      </c>
      <c r="K399" s="20" t="str">
        <v>2.xlsx | 订单!1778-1784</v>
      </c>
      <c r="L399" s="20" t="str"/>
    </row>
    <row r="400" ht="48" customHeight="1">
      <c r="A400" s="2" t="str">
        <v>S2-01900-BH</v>
      </c>
      <c r="B400" s="2" t="str">
        <v>KH066</v>
      </c>
      <c r="C400" s="2" t="str">
        <v>2026-09-25</v>
      </c>
      <c r="D400" s="2" t="str">
        <v>BAN_HANG</v>
      </c>
      <c r="E400" s="2" t="str">
        <v>BH2026090094</v>
      </c>
      <c r="F400" s="2" t="str">
        <v>00000325</v>
      </c>
      <c r="G400" s="2" t="str"/>
      <c r="H400" s="19" t="n">
        <v>30040000</v>
      </c>
      <c r="I400" s="20" t="str">
        <v>Xuất bán CÔNG TY TNHH THƯƠNG MẠI GIANG MINH NGỌC 向江明玉销售产品</v>
      </c>
      <c r="J400" s="20" t="str">
        <v>Chuẩn hóa VND; gốc 30039999.9732; phần lẻ 0.026800000000 đ</v>
      </c>
      <c r="K400" s="20" t="str">
        <v>2.xlsx | 订单!1900-1902</v>
      </c>
      <c r="L400" s="20" t="str"/>
    </row>
    <row r="401" ht="48" customHeight="1">
      <c r="A401" s="2" t="str">
        <v>S2-01947-BH</v>
      </c>
      <c r="B401" s="2" t="str">
        <v>KH066</v>
      </c>
      <c r="C401" s="2" t="str">
        <v>2026-09-28</v>
      </c>
      <c r="D401" s="2" t="str">
        <v>BAN_HANG</v>
      </c>
      <c r="E401" s="2" t="str">
        <v>BH2026090097</v>
      </c>
      <c r="F401" s="2" t="str">
        <v>00000325</v>
      </c>
      <c r="G401" s="2" t="str"/>
      <c r="H401" s="19" t="n">
        <v>15000000</v>
      </c>
      <c r="I401" s="20" t="str">
        <v>Xuất bán CÔNG TY TNHH THƯƠNG MẠI GIANG MINH NGỌC 向江明玉销售产品</v>
      </c>
      <c r="J401" s="20" t="str">
        <v>Chuẩn hóa VND; gốc 14999999.904; phần lẻ 0.096000000000 đ</v>
      </c>
      <c r="K401" s="20" t="str">
        <v>2.xlsx | 订单!1947</v>
      </c>
      <c r="L401" s="20" t="str"/>
    </row>
    <row r="402" ht="48" customHeight="1">
      <c r="A402" s="2" t="str">
        <v>S2-01952-BH</v>
      </c>
      <c r="B402" s="2" t="str">
        <v>KH066</v>
      </c>
      <c r="C402" s="2" t="str">
        <v>2026-09-28</v>
      </c>
      <c r="D402" s="2" t="str">
        <v>BAN_HANG</v>
      </c>
      <c r="E402" s="2" t="str">
        <v>BH2026090100</v>
      </c>
      <c r="F402" s="2" t="str">
        <v>00000325</v>
      </c>
      <c r="G402" s="2" t="str"/>
      <c r="H402" s="19" t="n">
        <v>7500000</v>
      </c>
      <c r="I402" s="20" t="str">
        <v>Xuất bán CÔNG TY TNHH THƯƠNG MẠI GIANG MINH NGỌC 向江明玉销售产品</v>
      </c>
      <c r="J402" s="20" t="str">
        <v>Chuẩn hóa VND; gốc 7499999.952; phần lẻ 0.048000000000 đ</v>
      </c>
      <c r="K402" s="20" t="str">
        <v>2.xlsx | 订单!1952</v>
      </c>
      <c r="L402" s="20" t="str"/>
    </row>
    <row r="403" ht="48" customHeight="1">
      <c r="A403" s="2" t="str">
        <v>S2-01608-BH</v>
      </c>
      <c r="B403" s="2" t="str">
        <v>KH067</v>
      </c>
      <c r="C403" s="2" t="str">
        <v>2026-09-08</v>
      </c>
      <c r="D403" s="2" t="str">
        <v>BAN_HANG</v>
      </c>
      <c r="E403" s="2" t="str">
        <v>BH2026090047</v>
      </c>
      <c r="F403" s="2" t="str">
        <v>00000294</v>
      </c>
      <c r="G403" s="2" t="str"/>
      <c r="H403" s="19" t="n">
        <v>1970000</v>
      </c>
      <c r="I403" s="20" t="str">
        <v>xuất bán cho Nguyễn Minh Ngọc ( Bình Minh)（阮明玉（平明）销售产品</v>
      </c>
      <c r="J403" s="20" t="str">
        <v>Chuẩn hóa VND; gốc 1970000.0064; phần lẻ -0.006400000000 đ</v>
      </c>
      <c r="K403" s="20" t="str">
        <v>2.xlsx | 订单!1608-1610</v>
      </c>
      <c r="L403" s="20" t="str"/>
    </row>
    <row r="404" ht="48" customHeight="1">
      <c r="A404" s="2" t="str">
        <v>S2-01617-TT</v>
      </c>
      <c r="B404" s="2" t="str">
        <v>KH067</v>
      </c>
      <c r="C404" s="2" t="str">
        <v>2026-09-09</v>
      </c>
      <c r="D404" s="2" t="str">
        <v>THU_TIEN</v>
      </c>
      <c r="E404" s="2" t="str"/>
      <c r="F404" s="2" t="str"/>
      <c r="G404" s="2" t="str"/>
      <c r="H404" s="19" t="n">
        <v>1970000</v>
      </c>
      <c r="I404" s="20" t="str">
        <v>Thu tiền khách hàng Chuyển khoản ngân hàng货款通过银行转账</v>
      </c>
      <c r="J404" s="20" t="str">
        <v>Chuẩn hóa VND; gốc 1970000; phần lẻ 0.000000000000 đ</v>
      </c>
      <c r="K404" s="20" t="str">
        <v>2.xlsx | 订单!1617</v>
      </c>
      <c r="L404" s="20" t="str"/>
    </row>
    <row r="405" ht="48" customHeight="1">
      <c r="A405" s="2" t="str">
        <v>S2-01919-BH</v>
      </c>
      <c r="B405" s="2" t="str">
        <v>KH067</v>
      </c>
      <c r="C405" s="2" t="str">
        <v>2026-09-24</v>
      </c>
      <c r="D405" s="2" t="str">
        <v>BAN_HANG</v>
      </c>
      <c r="E405" s="2" t="str">
        <v>BH2026090090</v>
      </c>
      <c r="F405" s="2" t="str">
        <v>00000321</v>
      </c>
      <c r="G405" s="2" t="str"/>
      <c r="H405" s="19" t="n">
        <v>1800000</v>
      </c>
      <c r="I405" s="20" t="str">
        <v>xuất bán cho Nguyễn Minh Ngọc ( Bình Minh)（阮明玉（平明）销售产品</v>
      </c>
      <c r="J405" s="20" t="str">
        <v>Chuẩn hóa VND; gốc 1799999.9712; phần lẻ 0.028800000000 đ</v>
      </c>
      <c r="K405" s="20" t="str">
        <v>2.xlsx | 订单!1919</v>
      </c>
      <c r="L405" s="20" t="str"/>
    </row>
    <row r="406" ht="48" customHeight="1">
      <c r="A406" s="2" t="str">
        <v>S2-01948-TT</v>
      </c>
      <c r="B406" s="2" t="str">
        <v>KH067</v>
      </c>
      <c r="C406" s="2" t="str">
        <v>2026-09-28</v>
      </c>
      <c r="D406" s="2" t="str">
        <v>THU_TIEN</v>
      </c>
      <c r="E406" s="2" t="str"/>
      <c r="F406" s="2" t="str"/>
      <c r="G406" s="2" t="str"/>
      <c r="H406" s="19" t="n">
        <v>1800000</v>
      </c>
      <c r="I406" s="20" t="str">
        <v>Thu tiền khách hàng Chuyển khoản ngân hàng货款通过银行转账</v>
      </c>
      <c r="J406" s="20" t="str">
        <v>Chuẩn hóa VND; gốc 1800000; phần lẻ 0.000000000000 đ</v>
      </c>
      <c r="K406" s="20" t="str">
        <v>2.xlsx | 订单!1948</v>
      </c>
      <c r="L406" s="20" t="str"/>
    </row>
    <row r="407" ht="48" customHeight="1">
      <c r="A407" s="2" t="str">
        <v>S2-00430-BH</v>
      </c>
      <c r="B407" s="2" t="str">
        <v>KH068</v>
      </c>
      <c r="C407" s="2" t="str">
        <v>2026-01-14</v>
      </c>
      <c r="D407" s="2" t="str">
        <v>BAN_HANG</v>
      </c>
      <c r="E407" s="2" t="str"/>
      <c r="F407" s="2" t="str">
        <v>00000024</v>
      </c>
      <c r="G407" s="2" t="str"/>
      <c r="H407" s="19" t="n">
        <v>141359996</v>
      </c>
      <c r="I407" s="20" t="str">
        <v>Xuất bán Công ty TNHH Nhân Vượng向 仁旺销售产品</v>
      </c>
      <c r="J407" s="20" t="str">
        <v>Chuẩn hóa VND; gốc 141359999.4936; phần lẻ -3.493600000000 đ</v>
      </c>
      <c r="K407" s="20" t="str">
        <v>2.xlsx | 订单!430-441</v>
      </c>
      <c r="L407" s="20" t="str"/>
    </row>
    <row r="408" ht="48" customHeight="1">
      <c r="A408" s="2" t="str">
        <v>S2-00442-BH</v>
      </c>
      <c r="B408" s="2" t="str">
        <v>KH068</v>
      </c>
      <c r="C408" s="2" t="str">
        <v>2026-01-14</v>
      </c>
      <c r="D408" s="2" t="str">
        <v>BAN_HANG</v>
      </c>
      <c r="E408" s="2" t="str"/>
      <c r="F408" s="2" t="str">
        <v>00000153</v>
      </c>
      <c r="G408" s="2" t="str"/>
      <c r="H408" s="19" t="n">
        <v>15600000</v>
      </c>
      <c r="I408" s="20" t="str">
        <v>Xuất bán Công ty TNHH Nhân Vượng向 仁旺销售产品</v>
      </c>
      <c r="J408" s="20" t="str">
        <v>Chuẩn hóa VND; gốc 15599999.952; phần lẻ 0.048000000000 đ</v>
      </c>
      <c r="K408" s="20" t="str">
        <v>2.xlsx | 订单!442</v>
      </c>
      <c r="L408" s="20" t="str"/>
    </row>
    <row r="409" ht="48" customHeight="1">
      <c r="A409" s="2" t="str">
        <v>S2-00443-TT</v>
      </c>
      <c r="B409" s="2" t="str">
        <v>KH068</v>
      </c>
      <c r="C409" s="2" t="str">
        <v>2026-01-26</v>
      </c>
      <c r="D409" s="2" t="str">
        <v>THU_TIEN</v>
      </c>
      <c r="E409" s="2" t="str">
        <v>NTTK00009</v>
      </c>
      <c r="F409" s="2" t="str"/>
      <c r="G409" s="2" t="str"/>
      <c r="H409" s="19" t="n">
        <v>70680000</v>
      </c>
      <c r="I409" s="20" t="str">
        <v>Thu tiền khách hàng Chuyển khoản ngân hàng货款通过银行转账</v>
      </c>
      <c r="J409" s="20" t="str">
        <v>Chuẩn hóa VND; gốc 70680000; phần lẻ 0.000000000000 đ</v>
      </c>
      <c r="K409" s="20" t="str">
        <v>2.xlsx | 订单!443</v>
      </c>
      <c r="L409" s="20" t="str"/>
    </row>
    <row r="410" ht="48" customHeight="1">
      <c r="A410" s="2" t="str">
        <v>S2-00444-BH</v>
      </c>
      <c r="B410" s="2" t="str">
        <v>KH068</v>
      </c>
      <c r="C410" s="2" t="str">
        <v>2026-01-27</v>
      </c>
      <c r="D410" s="2" t="str">
        <v>BAN_HANG</v>
      </c>
      <c r="E410" s="2" t="str"/>
      <c r="F410" s="2" t="str">
        <v>00000086</v>
      </c>
      <c r="G410" s="2" t="str"/>
      <c r="H410" s="19" t="n">
        <v>135800000</v>
      </c>
      <c r="I410" s="20" t="str">
        <v>Xuất bán Công ty TNHH Nhân Vượng向 仁旺销售产品</v>
      </c>
      <c r="J410" s="20" t="str">
        <v>Chuẩn hóa VND; gốc 135800000.28; phần lẻ -0.280000000000 đ</v>
      </c>
      <c r="K410" s="20" t="str">
        <v>2.xlsx | 订单!444,446-448</v>
      </c>
      <c r="L410" s="20" t="str"/>
    </row>
    <row r="411" ht="48" customHeight="1">
      <c r="A411" s="2" t="str">
        <v>S2-00445-BH</v>
      </c>
      <c r="B411" s="2" t="str">
        <v>KH068</v>
      </c>
      <c r="C411" s="2" t="str">
        <v>2026-01-27</v>
      </c>
      <c r="D411" s="2" t="str">
        <v>BAN_HANG</v>
      </c>
      <c r="E411" s="2" t="str"/>
      <c r="F411" s="2" t="str">
        <v>00000153</v>
      </c>
      <c r="G411" s="2" t="str"/>
      <c r="H411" s="19" t="n">
        <v>9480000</v>
      </c>
      <c r="I411" s="20" t="str">
        <v>Xuất bán Công ty TNHH Nhân Vượng向 仁旺销售产品</v>
      </c>
      <c r="J411" s="20" t="str">
        <v>Chuẩn hóa VND; gốc 9479999.9808; phần lẻ 0.019200000000 đ</v>
      </c>
      <c r="K411" s="20" t="str">
        <v>2.xlsx | 订单!445</v>
      </c>
      <c r="L411" s="20" t="str"/>
    </row>
    <row r="412" ht="48" customHeight="1">
      <c r="A412" s="2" t="str">
        <v>S2-00449-BH</v>
      </c>
      <c r="B412" s="2" t="str">
        <v>KH068</v>
      </c>
      <c r="C412" s="2" t="str">
        <v>2026-01-27</v>
      </c>
      <c r="D412" s="2" t="str">
        <v>BAN_HANG</v>
      </c>
      <c r="E412" s="2" t="str"/>
      <c r="F412" s="2" t="str"/>
      <c r="G412" s="2" t="str"/>
      <c r="H412" s="19" t="n">
        <v>19060000</v>
      </c>
      <c r="I412" s="20" t="str">
        <v>Xuất bán Công ty TNHH Nhân Vượng向 仁旺销售产品</v>
      </c>
      <c r="J412" s="20" t="str">
        <v>Chuẩn hóa VND; gốc 19059999.84; phần lẻ 0.160000000000 đ</v>
      </c>
      <c r="K412" s="20" t="str">
        <v>2.xlsx | 订单!449</v>
      </c>
      <c r="L412" s="20" t="str"/>
    </row>
    <row r="413" ht="48" customHeight="1">
      <c r="A413" s="2" t="str">
        <v>S2-00450-TT</v>
      </c>
      <c r="B413" s="2" t="str">
        <v>KH068</v>
      </c>
      <c r="C413" s="2" t="str">
        <v>2026-02-10</v>
      </c>
      <c r="D413" s="2" t="str">
        <v>THU_TIEN</v>
      </c>
      <c r="E413" s="2" t="str">
        <v>NTTK00035</v>
      </c>
      <c r="F413" s="2" t="str"/>
      <c r="G413" s="2" t="str"/>
      <c r="H413" s="19" t="n">
        <v>70680000</v>
      </c>
      <c r="I413" s="20" t="str">
        <v>Thu tiền khách hàng Chuyển khoản ngân hàng货款通过银行转账</v>
      </c>
      <c r="J413" s="20" t="str">
        <v>Chuẩn hóa VND; gốc 70680000; phần lẻ 0.000000000000 đ</v>
      </c>
      <c r="K413" s="20" t="str">
        <v>2.xlsx | 订单!450</v>
      </c>
      <c r="L413" s="20" t="str"/>
    </row>
    <row r="414" ht="48" customHeight="1">
      <c r="A414" s="2" t="str">
        <v>S2-00451-BH</v>
      </c>
      <c r="B414" s="2" t="str">
        <v>KH068</v>
      </c>
      <c r="C414" s="2" t="str">
        <v>2026-02-10</v>
      </c>
      <c r="D414" s="2" t="str">
        <v>BAN_HANG</v>
      </c>
      <c r="E414" s="2" t="str"/>
      <c r="F414" s="2" t="str"/>
      <c r="G414" s="2" t="str"/>
      <c r="H414" s="19" t="n">
        <v>100010000</v>
      </c>
      <c r="I414" s="20" t="str">
        <v>Xuất bán Công ty TNHH Nhân Vượng向 仁旺销售产品</v>
      </c>
      <c r="J414" s="20" t="str">
        <v>Chuẩn hóa VND; gốc 100009999.3392; phần lẻ 0.660800000000 đ</v>
      </c>
      <c r="K414" s="20" t="str">
        <v>2.xlsx | 订单!451-455</v>
      </c>
      <c r="L414" s="20" t="str"/>
    </row>
    <row r="415" ht="48" customHeight="1">
      <c r="A415" s="2" t="str">
        <v>S2-00456-BH</v>
      </c>
      <c r="B415" s="2" t="str">
        <v>KH068</v>
      </c>
      <c r="C415" s="2" t="str">
        <v>2026-03-16</v>
      </c>
      <c r="D415" s="2" t="str">
        <v>BAN_HANG</v>
      </c>
      <c r="E415" s="2" t="str"/>
      <c r="F415" s="2" t="str"/>
      <c r="G415" s="2" t="str"/>
      <c r="H415" s="19" t="n">
        <v>12300000</v>
      </c>
      <c r="I415" s="20" t="str">
        <v>Xuất bán Công ty TNHH Nhân Vượng向 仁旺销售产品</v>
      </c>
      <c r="J415" s="20" t="str">
        <v>Chuẩn hóa VND; gốc 12300000.012; phần lẻ -0.012000000000 đ</v>
      </c>
      <c r="K415" s="20" t="str">
        <v>2.xlsx | 订单!456</v>
      </c>
      <c r="L415" s="20" t="str"/>
    </row>
    <row r="416" ht="48" customHeight="1">
      <c r="A416" s="2" t="str">
        <v>S2-00457-BH</v>
      </c>
      <c r="B416" s="2" t="str">
        <v>KH068</v>
      </c>
      <c r="C416" s="2" t="str">
        <v>2026-03-16</v>
      </c>
      <c r="D416" s="2" t="str">
        <v>BAN_HANG</v>
      </c>
      <c r="E416" s="2" t="str"/>
      <c r="F416" s="2" t="str">
        <v>00000153</v>
      </c>
      <c r="G416" s="2" t="str"/>
      <c r="H416" s="19" t="n">
        <v>35550000</v>
      </c>
      <c r="I416" s="20" t="str">
        <v>Xuất bán Công ty TNHH Nhân Vượng向 仁旺销售产品</v>
      </c>
      <c r="J416" s="20" t="str">
        <v>Chuẩn hóa VND; gốc 35549999.928; phần lẻ 0.072000000000 đ</v>
      </c>
      <c r="K416" s="20" t="str">
        <v>2.xlsx | 订单!457</v>
      </c>
      <c r="L416" s="20" t="str"/>
    </row>
    <row r="417" ht="48" customHeight="1">
      <c r="A417" s="2" t="str">
        <v>S2-00458-TT</v>
      </c>
      <c r="B417" s="2" t="str">
        <v>KH068</v>
      </c>
      <c r="C417" s="2" t="str">
        <v>2026-04-10</v>
      </c>
      <c r="D417" s="2" t="str">
        <v>THU_TIEN</v>
      </c>
      <c r="E417" s="2" t="str"/>
      <c r="F417" s="2" t="str"/>
      <c r="G417" s="2" t="str"/>
      <c r="H417" s="19" t="n">
        <v>48000000</v>
      </c>
      <c r="I417" s="20" t="str">
        <v>Thu tiền khách hàng Chuyển khoản ngân hàng货款通过银行转账</v>
      </c>
      <c r="J417" s="20" t="str">
        <v>Chuẩn hóa VND; gốc 48000000; phần lẻ 0.000000000000 đ</v>
      </c>
      <c r="K417" s="20" t="str">
        <v>2.xlsx | 订单!458</v>
      </c>
      <c r="L417" s="20" t="str"/>
    </row>
    <row r="418" ht="48" customHeight="1">
      <c r="A418" s="2" t="str">
        <v>S2-00459-BH</v>
      </c>
      <c r="B418" s="2" t="str">
        <v>KH068</v>
      </c>
      <c r="C418" s="2" t="str">
        <v>2026-04-28</v>
      </c>
      <c r="D418" s="2" t="str">
        <v>BAN_HANG</v>
      </c>
      <c r="E418" s="2" t="str"/>
      <c r="F418" s="2" t="str">
        <v>000000141</v>
      </c>
      <c r="G418" s="2" t="str"/>
      <c r="H418" s="19" t="n">
        <v>45167999</v>
      </c>
      <c r="I418" s="20" t="str">
        <v>Xuất bán Công ty TNHH Nhân Vượng向 仁旺销售产品</v>
      </c>
      <c r="J418" s="20" t="str">
        <v>Chuẩn hóa VND; gốc 45167999.328; phần lẻ -0.328000000000 đ</v>
      </c>
      <c r="K418" s="20" t="str">
        <v>2.xlsx | 订单!459-461</v>
      </c>
      <c r="L418" s="20" t="str"/>
    </row>
    <row r="419" ht="48" customHeight="1">
      <c r="A419" s="2" t="str">
        <v>S2-00462-TH</v>
      </c>
      <c r="B419" s="2" t="str">
        <v>KH068</v>
      </c>
      <c r="C419" s="2" t="str">
        <v>2026-05-20</v>
      </c>
      <c r="D419" s="2" t="str">
        <v>TRA_HANG</v>
      </c>
      <c r="E419" s="2" t="str"/>
      <c r="F419" s="2" t="str"/>
      <c r="G419" s="2" t="str"/>
      <c r="H419" s="19" t="n">
        <v>52915000</v>
      </c>
      <c r="I419" s="20" t="str">
        <v>Xuất bán Công ty TNHH Nhân Vượng向 仁旺销售产品</v>
      </c>
      <c r="J419" s="20" t="str">
        <v>Chuẩn hóa VND; gốc 52914999.7512; phần lẻ 0.248800000000 đ</v>
      </c>
      <c r="K419" s="20" t="str">
        <v>2.xlsx | 订单!462-463</v>
      </c>
      <c r="L419" s="20" t="str"/>
    </row>
    <row r="420" ht="48" customHeight="1">
      <c r="A420" s="2" t="str">
        <v>S2-00464-BH</v>
      </c>
      <c r="B420" s="2" t="str">
        <v>KH068</v>
      </c>
      <c r="C420" s="2" t="str">
        <v>2026-05-20</v>
      </c>
      <c r="D420" s="2" t="str">
        <v>BAN_HANG</v>
      </c>
      <c r="E420" s="2" t="str"/>
      <c r="F420" s="2" t="str">
        <v>00000150</v>
      </c>
      <c r="G420" s="2" t="str"/>
      <c r="H420" s="19" t="n">
        <v>199119999</v>
      </c>
      <c r="I420" s="20" t="str">
        <v>Xuất bán Công ty TNHH Nhân Vượng向 仁旺销售产品</v>
      </c>
      <c r="J420" s="20" t="str">
        <v>Chuẩn hóa VND; gốc 199119999.06; phần lẻ -0.060000000000 đ</v>
      </c>
      <c r="K420" s="20" t="str">
        <v>2.xlsx | 订单!464-469,471</v>
      </c>
      <c r="L420" s="20" t="str"/>
    </row>
    <row r="421" ht="48" customHeight="1">
      <c r="A421" s="2" t="str">
        <v>S2-00472-TT</v>
      </c>
      <c r="B421" s="2" t="str">
        <v>KH068</v>
      </c>
      <c r="C421" s="2" t="str">
        <v>2026-06-03</v>
      </c>
      <c r="D421" s="2" t="str">
        <v>THU_TIEN</v>
      </c>
      <c r="E421" s="2" t="str"/>
      <c r="F421" s="2" t="str"/>
      <c r="G421" s="2" t="str"/>
      <c r="H421" s="19" t="n">
        <v>50000000</v>
      </c>
      <c r="I421" s="20" t="str">
        <v>Thu tiền khách hàng Chuyển khoản ngân hàng货款通过银行转账</v>
      </c>
      <c r="J421" s="20" t="str">
        <v>Chuẩn hóa VND; gốc 50000000; phần lẻ 0.000000000000 đ</v>
      </c>
      <c r="K421" s="20" t="str">
        <v>2.xlsx | 订单!472</v>
      </c>
      <c r="L421" s="20" t="str"/>
    </row>
    <row r="422" ht="48" customHeight="1">
      <c r="A422" s="2" t="str">
        <v>S2-00473-VC</v>
      </c>
      <c r="B422" s="2" t="str">
        <v>KH068</v>
      </c>
      <c r="C422" s="2" t="str">
        <v>2026-06-03</v>
      </c>
      <c r="D422" s="2" t="str">
        <v>PHI_VAN_CHUYEN</v>
      </c>
      <c r="E422" s="2" t="str"/>
      <c r="F422" s="2" t="str"/>
      <c r="G422" s="2" t="str"/>
      <c r="H422" s="19" t="n">
        <v>2986800</v>
      </c>
      <c r="I422" s="20" t="str">
        <v>phí vận chuyển 1.5% đơn hàng 20/05</v>
      </c>
      <c r="J422" s="20" t="str">
        <v>Chuẩn hóa VND; gốc 2986799.9859; phần lẻ 0.014100000000 đ</v>
      </c>
      <c r="K422" s="20" t="str">
        <v>2.xlsx | 订单!473</v>
      </c>
      <c r="L422" s="21" t="str">
        <v>Dòng không có ngày ghi sổ — tạm lấy ngày dòng trước 2026-06-03</v>
      </c>
    </row>
    <row r="423" ht="48" customHeight="1">
      <c r="A423" s="2" t="str">
        <v>S2-00474-BH</v>
      </c>
      <c r="B423" s="2" t="str">
        <v>KH068</v>
      </c>
      <c r="C423" s="2" t="str">
        <v>2026-06-06</v>
      </c>
      <c r="D423" s="2" t="str">
        <v>BAN_HANG</v>
      </c>
      <c r="E423" s="2" t="str"/>
      <c r="F423" s="2" t="str"/>
      <c r="G423" s="2" t="str"/>
      <c r="H423" s="19" t="n">
        <v>72050000</v>
      </c>
      <c r="I423" s="20" t="str">
        <v>Xuất bán Công ty TNHH Nhân Vượng向 仁旺销售产品</v>
      </c>
      <c r="J423" s="20" t="str">
        <v>Chuẩn hóa VND; gốc 72050000.1048; phần lẻ -0.104800000000 đ</v>
      </c>
      <c r="K423" s="20" t="str">
        <v>2.xlsx | 订单!474</v>
      </c>
      <c r="L423" s="20" t="str"/>
    </row>
    <row r="424" ht="48" customHeight="1">
      <c r="A424" s="2" t="str">
        <v>S2-00475-BH</v>
      </c>
      <c r="B424" s="2" t="str">
        <v>KH068</v>
      </c>
      <c r="C424" s="2" t="str">
        <v>2026-06-17</v>
      </c>
      <c r="D424" s="2" t="str">
        <v>BAN_HANG</v>
      </c>
      <c r="E424" s="2" t="str"/>
      <c r="F424" s="2" t="str">
        <v>00000243</v>
      </c>
      <c r="G424" s="2" t="str"/>
      <c r="H424" s="19" t="n">
        <v>27900000</v>
      </c>
      <c r="I424" s="20" t="str">
        <v>Xuất bán Công ty TNHH Nhân Vượng向 仁旺销售产品</v>
      </c>
      <c r="J424" s="20" t="str">
        <v>Chuẩn hóa VND; gốc 27899999.964; phần lẻ 0.036000000000 đ</v>
      </c>
      <c r="K424" s="20" t="str">
        <v>2.xlsx | 订单!475-476</v>
      </c>
      <c r="L424" s="20" t="str"/>
    </row>
    <row r="425" ht="48" customHeight="1">
      <c r="A425" s="2" t="str">
        <v>S2-00477-BH</v>
      </c>
      <c r="B425" s="2" t="str">
        <v>KH068</v>
      </c>
      <c r="C425" s="2" t="str">
        <v>2026-06-17</v>
      </c>
      <c r="D425" s="2" t="str">
        <v>BAN_HANG</v>
      </c>
      <c r="E425" s="2" t="str"/>
      <c r="F425" s="2" t="str"/>
      <c r="G425" s="2" t="str"/>
      <c r="H425" s="19" t="n">
        <v>59100000</v>
      </c>
      <c r="I425" s="20" t="str">
        <v>Xuất bán Công ty TNHH Nhân Vượng向 仁旺销售产品</v>
      </c>
      <c r="J425" s="20" t="str">
        <v>Chuẩn hóa VND; gốc 59099999.868; phần lẻ 0.132000000000 đ</v>
      </c>
      <c r="K425" s="20" t="str">
        <v>2.xlsx | 订单!477-479</v>
      </c>
      <c r="L425" s="20" t="str"/>
    </row>
    <row r="426" ht="48" customHeight="1">
      <c r="A426" s="2" t="str">
        <v>S2-00480-BH</v>
      </c>
      <c r="B426" s="2" t="str">
        <v>KH068</v>
      </c>
      <c r="C426" s="2" t="str">
        <v>2026-06-23</v>
      </c>
      <c r="D426" s="2" t="str">
        <v>BAN_HANG</v>
      </c>
      <c r="E426" s="2" t="str"/>
      <c r="F426" s="2" t="str"/>
      <c r="G426" s="2" t="str"/>
      <c r="H426" s="19" t="n">
        <v>49900000</v>
      </c>
      <c r="I426" s="20" t="str">
        <v>Xuất bán Công ty TNHH Nhân Vượng向 仁旺销售产品</v>
      </c>
      <c r="J426" s="20" t="str">
        <v>Chuẩn hóa VND; gốc 49899999.672; phần lẻ 0.328000000000 đ</v>
      </c>
      <c r="K426" s="20" t="str">
        <v>2.xlsx | 订单!480-481</v>
      </c>
      <c r="L426" s="20" t="str"/>
    </row>
    <row r="427" ht="48" customHeight="1">
      <c r="A427" s="2" t="str">
        <v>S2-00482-BH</v>
      </c>
      <c r="B427" s="2" t="str">
        <v>KH068</v>
      </c>
      <c r="C427" s="2" t="str">
        <v>2026-06-27</v>
      </c>
      <c r="D427" s="2" t="str">
        <v>BAN_HANG</v>
      </c>
      <c r="E427" s="2" t="str"/>
      <c r="F427" s="2" t="str"/>
      <c r="G427" s="2" t="str"/>
      <c r="H427" s="19" t="n">
        <v>80000000</v>
      </c>
      <c r="I427" s="20" t="str">
        <v>Xuất bán Công ty TNHH Nhân Vượng向 仁旺销售产品</v>
      </c>
      <c r="J427" s="20" t="str">
        <v>Chuẩn hóa VND; gốc 79999999.5744; phần lẻ 0.425600000000 đ</v>
      </c>
      <c r="K427" s="20" t="str">
        <v>2.xlsx | 订单!482-488</v>
      </c>
      <c r="L427" s="20" t="str"/>
    </row>
    <row r="428" ht="48" customHeight="1">
      <c r="A428" s="2" t="str">
        <v>S2-00489-TT</v>
      </c>
      <c r="B428" s="2" t="str">
        <v>KH068</v>
      </c>
      <c r="C428" s="2" t="str">
        <v>2026-07-18</v>
      </c>
      <c r="D428" s="2" t="str">
        <v>THU_TIEN</v>
      </c>
      <c r="E428" s="2" t="str"/>
      <c r="F428" s="2" t="str"/>
      <c r="G428" s="2" t="str"/>
      <c r="H428" s="19" t="n">
        <v>50000000</v>
      </c>
      <c r="I428" s="20" t="str">
        <v>Thu tiền khách hàng Chuyển khoản ngân hàng货款通过银行转账</v>
      </c>
      <c r="J428" s="20" t="str">
        <v>Chuẩn hóa VND; gốc 50000000; phần lẻ 0.000000000000 đ</v>
      </c>
      <c r="K428" s="20" t="str">
        <v>2.xlsx | 订单!489</v>
      </c>
      <c r="L428" s="20" t="str"/>
    </row>
    <row r="429" ht="48" customHeight="1">
      <c r="A429" s="2" t="str">
        <v>S2-00490-BH</v>
      </c>
      <c r="B429" s="2" t="str">
        <v>KH068</v>
      </c>
      <c r="C429" s="2" t="str">
        <v>2026-07-20</v>
      </c>
      <c r="D429" s="2" t="str">
        <v>BAN_HANG</v>
      </c>
      <c r="E429" s="2" t="str"/>
      <c r="F429" s="2" t="str"/>
      <c r="G429" s="2" t="str"/>
      <c r="H429" s="19" t="n">
        <v>50340000</v>
      </c>
      <c r="I429" s="20" t="str">
        <v>Xuất bán Công ty TNHH Nhân Vượng向 仁旺销售产品</v>
      </c>
      <c r="J429" s="20" t="str">
        <v>Chuẩn hóa VND; gốc 50340000.0312; phần lẻ -0.031200000000 đ</v>
      </c>
      <c r="K429" s="20" t="str">
        <v>2.xlsx | 订单!490-491</v>
      </c>
      <c r="L429" s="20" t="str"/>
    </row>
    <row r="430" ht="48" customHeight="1">
      <c r="A430" s="2" t="str">
        <v>S2-00493-TT</v>
      </c>
      <c r="B430" s="2" t="str">
        <v>KH068</v>
      </c>
      <c r="C430" s="2" t="str">
        <v>2026-07-31</v>
      </c>
      <c r="D430" s="2" t="str">
        <v>THU_TIEN</v>
      </c>
      <c r="E430" s="2" t="str"/>
      <c r="F430" s="2" t="str"/>
      <c r="G430" s="2" t="str"/>
      <c r="H430" s="19" t="n">
        <v>50000000</v>
      </c>
      <c r="I430" s="20" t="str">
        <v>Thu tiền khách hàng Chuyển khoản ngân hàng货款通过银行转账</v>
      </c>
      <c r="J430" s="20" t="str">
        <v>Chuẩn hóa VND; gốc 50000000; phần lẻ 0.000000000000 đ</v>
      </c>
      <c r="K430" s="20" t="str">
        <v>2.xlsx | 订单!493</v>
      </c>
      <c r="L430" s="20" t="str"/>
    </row>
    <row r="431" ht="48" customHeight="1">
      <c r="A431" s="2" t="str">
        <v>S2-01013-BH</v>
      </c>
      <c r="B431" s="2" t="str">
        <v>KH068</v>
      </c>
      <c r="C431" s="2" t="str">
        <v>2026-08-03</v>
      </c>
      <c r="D431" s="2" t="str">
        <v>BAN_HANG</v>
      </c>
      <c r="E431" s="2" t="str">
        <v>BH006/0826</v>
      </c>
      <c r="F431" s="2" t="str"/>
      <c r="G431" s="2" t="str"/>
      <c r="H431" s="19" t="n">
        <v>55000000</v>
      </c>
      <c r="I431" s="20" t="str">
        <v>Xuất bán Công ty TNHH Nhân Vượng
(NPP Bắc Vĩnh TB chuyển sang)仁旺销售产品</v>
      </c>
      <c r="J431" s="20" t="str">
        <v>Chuẩn hóa VND; gốc 55000000.08; phần lẻ -0.080000000000 đ</v>
      </c>
      <c r="K431" s="20" t="str">
        <v>2.xlsx | 订单!1013</v>
      </c>
      <c r="L431" s="20" t="str"/>
    </row>
    <row r="432" ht="48" customHeight="1">
      <c r="A432" s="2" t="str">
        <v>S2-01014-TH</v>
      </c>
      <c r="B432" s="2" t="str">
        <v>KH068</v>
      </c>
      <c r="C432" s="2" t="str">
        <v>2026-08-03</v>
      </c>
      <c r="D432" s="2" t="str">
        <v>TRA_HANG</v>
      </c>
      <c r="E432" s="2" t="str">
        <v>NK001/0826</v>
      </c>
      <c r="F432" s="2" t="str"/>
      <c r="G432" s="2" t="str"/>
      <c r="H432" s="19" t="n">
        <v>77000000</v>
      </c>
      <c r="I432" s="20" t="str">
        <v>Trả lại hàng bán 退回已售出的商品</v>
      </c>
      <c r="J432" s="20" t="str">
        <v>Chuẩn hóa VND; gốc 77000000.112; phần lẻ -0.112000000000 đ</v>
      </c>
      <c r="K432" s="20" t="str">
        <v>2.xlsx | 订单!1014</v>
      </c>
      <c r="L432" s="20" t="str"/>
    </row>
    <row r="433" ht="48" customHeight="1">
      <c r="A433" s="2" t="str">
        <v>S2-01015-BH</v>
      </c>
      <c r="B433" s="2" t="str">
        <v>KH068</v>
      </c>
      <c r="C433" s="2" t="str">
        <v>2026-08-03</v>
      </c>
      <c r="D433" s="2" t="str">
        <v>BAN_HANG</v>
      </c>
      <c r="E433" s="2" t="str">
        <v>BH001/0826</v>
      </c>
      <c r="F433" s="2" t="str">
        <v>00000336</v>
      </c>
      <c r="G433" s="2" t="str"/>
      <c r="H433" s="19" t="n">
        <v>97070000</v>
      </c>
      <c r="I433" s="20" t="str">
        <v>Xuất bán Công ty TNHH Nhân Vượng向 仁旺销售产品</v>
      </c>
      <c r="J433" s="20" t="str">
        <v>Chuẩn hóa VND; gốc 97069999.32; phần lẻ 0.680000000000 đ</v>
      </c>
      <c r="K433" s="20" t="str">
        <v>2.xlsx | 订单!1015-1021,1023</v>
      </c>
      <c r="L433" s="20" t="str"/>
    </row>
    <row r="434" ht="48" customHeight="1">
      <c r="A434" s="2" t="str">
        <v>S2-01022-BH</v>
      </c>
      <c r="B434" s="2" t="str">
        <v>KH068</v>
      </c>
      <c r="C434" s="2" t="str">
        <v>2026-08-03</v>
      </c>
      <c r="D434" s="2" t="str">
        <v>BAN_HANG</v>
      </c>
      <c r="E434" s="2" t="str">
        <v>BH001/0826</v>
      </c>
      <c r="F434" s="2" t="str"/>
      <c r="G434" s="2" t="str"/>
      <c r="H434" s="19" t="n">
        <v>26850000</v>
      </c>
      <c r="I434" s="20" t="str">
        <v>Xuất bán Công ty TNHH Nhân Vượng向 仁旺销售产品</v>
      </c>
      <c r="J434" s="20" t="str">
        <v>Chuẩn hóa VND; gốc 26849999.88; phần lẻ 0.120000000000 đ</v>
      </c>
      <c r="K434" s="20" t="str">
        <v>2.xlsx | 订单!1022,1032</v>
      </c>
      <c r="L434" s="20" t="str"/>
    </row>
    <row r="435" ht="48" customHeight="1">
      <c r="A435" s="2" t="str">
        <v>S2-01552-TT</v>
      </c>
      <c r="B435" s="2" t="str">
        <v>KH068</v>
      </c>
      <c r="C435" s="2" t="str">
        <v>2026-08-31</v>
      </c>
      <c r="D435" s="2" t="str">
        <v>THU_TIEN</v>
      </c>
      <c r="E435" s="2" t="str"/>
      <c r="F435" s="2" t="str"/>
      <c r="G435" s="2" t="str"/>
      <c r="H435" s="19" t="n">
        <v>50000000</v>
      </c>
      <c r="I435" s="20" t="str">
        <v>Thu tiền khách hàng Chuyển khoản ngân hàng货款通过银行转账</v>
      </c>
      <c r="J435" s="20" t="str">
        <v>Chuẩn hóa VND; gốc 50000000; phần lẻ 0.000000000000 đ</v>
      </c>
      <c r="K435" s="20" t="str">
        <v>2.xlsx | 订单!1552</v>
      </c>
      <c r="L435" s="20" t="str"/>
    </row>
    <row r="436" ht="48" customHeight="1">
      <c r="A436" s="2" t="str">
        <v>S2-01553-BH</v>
      </c>
      <c r="B436" s="2" t="str">
        <v>KH068</v>
      </c>
      <c r="C436" s="2" t="str">
        <v>2026-09-03</v>
      </c>
      <c r="D436" s="2" t="str">
        <v>BAN_HANG</v>
      </c>
      <c r="E436" s="2" t="str">
        <v>BH2026090039</v>
      </c>
      <c r="F436" s="2" t="str">
        <v>00000301, 00000336</v>
      </c>
      <c r="G436" s="2" t="str"/>
      <c r="H436" s="19" t="n">
        <v>92132000</v>
      </c>
      <c r="I436" s="20" t="str">
        <v>Xuất bán Công ty TNHH Nhân Vượng 向仁旺销售产品</v>
      </c>
      <c r="J436" s="20" t="str">
        <v>Chuẩn hóa VND; gốc 92131999.7868; phần lẻ 0.213200000000 đ</v>
      </c>
      <c r="K436" s="20" t="str">
        <v>2.xlsx | 订单!1553-1557</v>
      </c>
      <c r="L436" s="20" t="str"/>
    </row>
    <row r="437" ht="48" customHeight="1">
      <c r="A437" s="2" t="str">
        <v>S2-01627-TT</v>
      </c>
      <c r="B437" s="2" t="str">
        <v>KH068</v>
      </c>
      <c r="C437" s="2" t="str">
        <v>2026-09-09</v>
      </c>
      <c r="D437" s="2" t="str">
        <v>THU_TIEN</v>
      </c>
      <c r="E437" s="2" t="str"/>
      <c r="F437" s="2" t="str"/>
      <c r="G437" s="2" t="str"/>
      <c r="H437" s="19" t="n">
        <v>50000000</v>
      </c>
      <c r="I437" s="20" t="str">
        <v>Thu tiền khách hàng Chuyển khoản ngân hàng货款通过银行转账</v>
      </c>
      <c r="J437" s="20" t="str">
        <v>Chuẩn hóa VND; gốc 50000000; phần lẻ 0.000000000000 đ</v>
      </c>
      <c r="K437" s="20" t="str">
        <v>2.xlsx | 订单!1627</v>
      </c>
      <c r="L437" s="20" t="str"/>
    </row>
    <row r="438" ht="48" customHeight="1">
      <c r="A438" s="2" t="str">
        <v>S2-01628-TH</v>
      </c>
      <c r="B438" s="2" t="str">
        <v>KH068</v>
      </c>
      <c r="C438" s="2" t="str">
        <v>2026-09-10</v>
      </c>
      <c r="D438" s="2" t="str">
        <v>TRA_HANG</v>
      </c>
      <c r="E438" s="2" t="str">
        <v>NK2026090014</v>
      </c>
      <c r="F438" s="2" t="str"/>
      <c r="G438" s="2" t="str"/>
      <c r="H438" s="19" t="n">
        <v>96210001</v>
      </c>
      <c r="I438" s="20" t="str">
        <v>Trả lại hàng bán 退回已售出的商品</v>
      </c>
      <c r="J438" s="20" t="str">
        <v>Chuẩn hóa VND; gốc 96209999.748; phần lẻ 1.252000000000 đ</v>
      </c>
      <c r="K438" s="20" t="str">
        <v>2.xlsx | 订单!1628-1630,1632-1634,1637</v>
      </c>
      <c r="L438" s="20" t="str"/>
    </row>
    <row r="439" ht="48" customHeight="1">
      <c r="A439" s="2" t="str">
        <v>S2-01641-BH</v>
      </c>
      <c r="B439" s="2" t="str">
        <v>KH068</v>
      </c>
      <c r="C439" s="2" t="str">
        <v>2026-09-10</v>
      </c>
      <c r="D439" s="2" t="str">
        <v>BAN_HANG</v>
      </c>
      <c r="E439" s="2" t="str">
        <v>BH2026090055</v>
      </c>
      <c r="F439" s="2" t="str">
        <v>00000301</v>
      </c>
      <c r="G439" s="2" t="str"/>
      <c r="H439" s="19" t="n">
        <v>95716000</v>
      </c>
      <c r="I439" s="20" t="str">
        <v>Xuất bán Công ty TNHH Nhân Vượng 向仁旺销售产品</v>
      </c>
      <c r="J439" s="20" t="str">
        <v>Chuẩn hóa VND; gốc 95716000.1016; phần lẻ -0.101600000000 đ</v>
      </c>
      <c r="K439" s="20" t="str">
        <v>2.xlsx | 订单!1641-1643</v>
      </c>
      <c r="L439" s="20" t="str"/>
    </row>
    <row r="440" ht="48" customHeight="1">
      <c r="A440" s="2" t="str">
        <v>S2-01840-BH</v>
      </c>
      <c r="B440" s="2" t="str">
        <v>KH068</v>
      </c>
      <c r="C440" s="2" t="str">
        <v>2026-09-22</v>
      </c>
      <c r="D440" s="2" t="str">
        <v>BAN_HANG</v>
      </c>
      <c r="E440" s="2" t="str">
        <v>BH2026090085</v>
      </c>
      <c r="F440" s="2" t="str">
        <v>00000336</v>
      </c>
      <c r="G440" s="2" t="str"/>
      <c r="H440" s="19" t="n">
        <v>145750000</v>
      </c>
      <c r="I440" s="20" t="str">
        <v>Xuất bán Công ty TNHH Nhân Vượng 向仁旺销售产品</v>
      </c>
      <c r="J440" s="20" t="str">
        <v>Chuẩn hóa VND; gốc 145749999.78; phần lẻ 0.220000000000 đ</v>
      </c>
      <c r="K440" s="20" t="str">
        <v>2.xlsx | 订单!1840-1848</v>
      </c>
      <c r="L440" s="20" t="str"/>
    </row>
    <row r="441" ht="48" customHeight="1">
      <c r="A441" s="2" t="str">
        <v>S2-01971-TT</v>
      </c>
      <c r="B441" s="2" t="str">
        <v>KH068</v>
      </c>
      <c r="C441" s="2" t="str">
        <v>2026-10-01</v>
      </c>
      <c r="D441" s="2" t="str">
        <v>THU_TIEN</v>
      </c>
      <c r="E441" s="2" t="str"/>
      <c r="F441" s="2" t="str"/>
      <c r="G441" s="2" t="str"/>
      <c r="H441" s="19" t="n">
        <v>91000000</v>
      </c>
      <c r="I441" s="20" t="str">
        <v>Thu tiền khách hàng Chuyển khoản ngân hàng货款通过银行转账</v>
      </c>
      <c r="J441" s="20" t="str">
        <v>Chuẩn hóa VND; gốc 91000000; phần lẻ 0.000000000000 đ</v>
      </c>
      <c r="K441" s="20" t="str">
        <v>2.xlsx | 订单!1971</v>
      </c>
      <c r="L441" s="20" t="str"/>
    </row>
    <row r="442" ht="48" customHeight="1">
      <c r="A442" s="25" t="str">
        <v>S2-02031-BH</v>
      </c>
      <c r="B442" s="25" t="str">
        <v>KH068</v>
      </c>
      <c r="C442" s="25" t="str">
        <v>2026-10-05</v>
      </c>
      <c r="D442" s="25" t="str">
        <v>BAN_HANG</v>
      </c>
      <c r="E442" s="25" t="str">
        <v>BH2026100114</v>
      </c>
      <c r="F442" s="25" t="str"/>
      <c r="G442" s="25" t="str">
        <v>BH2026100114</v>
      </c>
      <c r="H442" s="26" t="n">
        <v>26819997.29</v>
      </c>
      <c r="I442" s="27" t="str">
        <v>Xuất bán Công ty TNHH Nhân Vượng 向仁旺销售产品</v>
      </c>
      <c r="J442" s="27" t="str">
        <v>ĐÃ CÓ ERP — bỏ qua dòng này; giữ chứng từ ERP</v>
      </c>
      <c r="K442" s="27" t="str">
        <v>2.xlsx | 订单!2031-2039</v>
      </c>
      <c r="L442" s="27" t="str"/>
    </row>
    <row r="443" ht="48" customHeight="1">
      <c r="A443" s="2" t="str">
        <v>S2-02129-TT</v>
      </c>
      <c r="B443" s="2" t="str">
        <v>KH068</v>
      </c>
      <c r="C443" s="2" t="str">
        <v>2026-10-15</v>
      </c>
      <c r="D443" s="2" t="str">
        <v>THU_TIEN</v>
      </c>
      <c r="E443" s="2" t="str"/>
      <c r="F443" s="2" t="str"/>
      <c r="G443" s="2" t="str"/>
      <c r="H443" s="19" t="n">
        <v>76000000</v>
      </c>
      <c r="I443" s="20" t="str">
        <v>Thu tiền khách hàng Chuyển khoản ngân hàng货款通过银行转账</v>
      </c>
      <c r="J443" s="20" t="str">
        <v>Chuẩn hóa VND; gốc 76000000; phần lẻ 0.000000000000 đ</v>
      </c>
      <c r="K443" s="20" t="str">
        <v>2.xlsx | 订单!2129</v>
      </c>
      <c r="L443" s="20" t="str"/>
    </row>
    <row r="444" ht="48" customHeight="1">
      <c r="A444" s="2" t="str">
        <v>S2-01191-BH</v>
      </c>
      <c r="B444" s="2" t="str">
        <v>KH070</v>
      </c>
      <c r="C444" s="2" t="str">
        <v>2026-08-11</v>
      </c>
      <c r="D444" s="2" t="str">
        <v>BAN_HANG</v>
      </c>
      <c r="E444" s="2" t="str">
        <v>BH016/0826</v>
      </c>
      <c r="F444" s="2" t="str">
        <v>00000281</v>
      </c>
      <c r="G444" s="2" t="str"/>
      <c r="H444" s="19" t="n">
        <v>17760000</v>
      </c>
      <c r="I444" s="20" t="str">
        <v>xuất bán CÔNG TY TNHH DỊCH VỤ THƯƠNG MẠI TÙNG TRANG松庄贸易服务有限责任公司销售产品</v>
      </c>
      <c r="J444" s="20" t="str">
        <v>Chuẩn hóa VND; gốc 17760000.0384; phần lẻ -0.038400000000 đ</v>
      </c>
      <c r="K444" s="20" t="str">
        <v>2.xlsx | 订单!1191-1193</v>
      </c>
      <c r="L444" s="20" t="str"/>
    </row>
    <row r="445" ht="48" customHeight="1">
      <c r="A445" s="2" t="str">
        <v>S2-01350-TT</v>
      </c>
      <c r="B445" s="2" t="str">
        <v>KH070</v>
      </c>
      <c r="C445" s="2" t="str">
        <v>2026-08-24</v>
      </c>
      <c r="D445" s="2" t="str">
        <v>THU_TIEN</v>
      </c>
      <c r="E445" s="2" t="str"/>
      <c r="F445" s="2" t="str"/>
      <c r="G445" s="2" t="str"/>
      <c r="H445" s="19" t="n">
        <v>17760001</v>
      </c>
      <c r="I445" s="20" t="str">
        <v>Thu tiền khách hàng Chuyển khoản ngân hàng货款通过银行转账</v>
      </c>
      <c r="J445" s="20" t="str">
        <v>Chuẩn hóa VND; gốc 17760001; phần lẻ 0.000000000000 đ</v>
      </c>
      <c r="K445" s="20" t="str">
        <v>2.xlsx | 订单!1350</v>
      </c>
      <c r="L445" s="20" t="str"/>
    </row>
    <row r="446" ht="48" customHeight="1">
      <c r="A446" s="2" t="str">
        <v>S2-01683-BH</v>
      </c>
      <c r="B446" s="2" t="str">
        <v>KH070</v>
      </c>
      <c r="C446" s="2" t="str">
        <v>2026-09-11</v>
      </c>
      <c r="D446" s="2" t="str">
        <v>BAN_HANG</v>
      </c>
      <c r="E446" s="2" t="str">
        <v>BH2026090063</v>
      </c>
      <c r="F446" s="2" t="str">
        <v>00000303</v>
      </c>
      <c r="G446" s="2" t="str"/>
      <c r="H446" s="19" t="n">
        <v>12640000</v>
      </c>
      <c r="I446" s="20" t="str">
        <v>xuất bán CÔNG TY TNHH DỊCH VỤ THƯƠNG MẠI TÙNG TRANG松庄贸易服务有限责任公司销售产品</v>
      </c>
      <c r="J446" s="20" t="str">
        <v>Chuẩn hóa VND; gốc 12640000.0176; phần lẻ -0.017600000000 đ</v>
      </c>
      <c r="K446" s="20" t="str">
        <v>2.xlsx | 订单!1683-1684</v>
      </c>
      <c r="L446" s="20" t="str"/>
    </row>
    <row r="447" ht="48" customHeight="1">
      <c r="A447" s="2" t="str">
        <v>S2-01733-TT</v>
      </c>
      <c r="B447" s="2" t="str">
        <v>KH070</v>
      </c>
      <c r="C447" s="2" t="str">
        <v>2026-09-15</v>
      </c>
      <c r="D447" s="2" t="str">
        <v>THU_TIEN</v>
      </c>
      <c r="E447" s="2" t="str"/>
      <c r="F447" s="2" t="str"/>
      <c r="G447" s="2" t="str"/>
      <c r="H447" s="19" t="n">
        <v>12640000</v>
      </c>
      <c r="I447" s="20" t="str">
        <v>Thu tiền khách hàng Chuyển khoản ngân hàng货款通过银行转账</v>
      </c>
      <c r="J447" s="20" t="str">
        <v>Chuẩn hóa VND; gốc 12640000; phần lẻ 0.000000000000 đ</v>
      </c>
      <c r="K447" s="20" t="str">
        <v>2.xlsx | 订单!1733</v>
      </c>
      <c r="L447" s="20" t="str"/>
    </row>
    <row r="448" ht="48" customHeight="1">
      <c r="A448" s="2" t="str">
        <v>S2-01962-BH</v>
      </c>
      <c r="B448" s="2" t="str">
        <v>KH070</v>
      </c>
      <c r="C448" s="2" t="str">
        <v>2026-09-28</v>
      </c>
      <c r="D448" s="2" t="str">
        <v>BAN_HANG</v>
      </c>
      <c r="E448" s="2" t="str">
        <v>BH2026090099</v>
      </c>
      <c r="F448" s="2" t="str">
        <v>00000332</v>
      </c>
      <c r="G448" s="2" t="str"/>
      <c r="H448" s="19" t="n">
        <v>27480001</v>
      </c>
      <c r="I448" s="20" t="str">
        <v>xuất bán CÔNG TY TNHH DỊCH VỤ THƯƠNG MẠI TÙNG TRANG松庄贸易服务有限责任公司销售产品</v>
      </c>
      <c r="J448" s="20" t="str">
        <v>Chuẩn hóa VND; gốc 27480000.1248; phần lẻ 0.875200000000 đ</v>
      </c>
      <c r="K448" s="20" t="str">
        <v>2.xlsx | 订单!1962-1965</v>
      </c>
      <c r="L448" s="20" t="str"/>
    </row>
    <row r="449" ht="48" customHeight="1">
      <c r="A449" s="2" t="str">
        <v>S2-02005-TT</v>
      </c>
      <c r="B449" s="2" t="str">
        <v>KH070</v>
      </c>
      <c r="C449" s="2" t="str">
        <v>2026-10-03</v>
      </c>
      <c r="D449" s="2" t="str">
        <v>THU_TIEN</v>
      </c>
      <c r="E449" s="2" t="str"/>
      <c r="F449" s="2" t="str"/>
      <c r="G449" s="2" t="str"/>
      <c r="H449" s="19" t="n">
        <v>27480000</v>
      </c>
      <c r="I449" s="20" t="str">
        <v>Thu tiền khách hàng Chuyển khoản ngân hàng货款通过银行转账</v>
      </c>
      <c r="J449" s="20" t="str">
        <v>Chuẩn hóa VND; gốc 27480000; phần lẻ 0.000000000000 đ</v>
      </c>
      <c r="K449" s="20" t="str">
        <v>2.xlsx | 订单!2005</v>
      </c>
      <c r="L449" s="20" t="str"/>
    </row>
    <row r="450" ht="48" customHeight="1">
      <c r="A450" s="25" t="str">
        <v>S2-02059-BH</v>
      </c>
      <c r="B450" s="25" t="str">
        <v>KH070</v>
      </c>
      <c r="C450" s="25" t="str">
        <v>2026-10-08</v>
      </c>
      <c r="D450" s="25" t="str">
        <v>BAN_HANG</v>
      </c>
      <c r="E450" s="25" t="str">
        <v>BH2026100121</v>
      </c>
      <c r="F450" s="25" t="str"/>
      <c r="G450" s="25" t="str">
        <v>BH2026100121</v>
      </c>
      <c r="H450" s="26" t="n">
        <v>54000000.43</v>
      </c>
      <c r="I450" s="27" t="str">
        <v>xuất bán CÔNG TY TNHH DỊCH VỤ THƯƠNG MẠI TÙNG TRANG松庄贸易服务有限责任公司销售产品</v>
      </c>
      <c r="J450" s="27" t="str">
        <v>ĐÃ CÓ ERP — bỏ qua dòng này; giữ chứng từ ERP</v>
      </c>
      <c r="K450" s="27" t="str">
        <v>2.xlsx | 订单!2059-2061</v>
      </c>
      <c r="L450" s="27" t="str"/>
    </row>
    <row r="451" ht="48" customHeight="1">
      <c r="A451" s="2" t="str">
        <v>S2-02111-TT</v>
      </c>
      <c r="B451" s="2" t="str">
        <v>KH070</v>
      </c>
      <c r="C451" s="2" t="str">
        <v>2026-10-13</v>
      </c>
      <c r="D451" s="2" t="str">
        <v>THU_TIEN</v>
      </c>
      <c r="E451" s="2" t="str"/>
      <c r="F451" s="2" t="str"/>
      <c r="G451" s="2" t="str"/>
      <c r="H451" s="19" t="n">
        <v>54000001</v>
      </c>
      <c r="I451" s="20" t="str">
        <v>Thu tiền khách hàng Chuyển khoản ngân hàng货款通过银行转账</v>
      </c>
      <c r="J451" s="20" t="str">
        <v>Chuẩn hóa VND; gốc 54000001; phần lẻ 0.000000000000 đ</v>
      </c>
      <c r="K451" s="20" t="str">
        <v>2.xlsx | 订单!2111</v>
      </c>
      <c r="L451" s="20" t="str"/>
    </row>
    <row r="452" ht="48" customHeight="1">
      <c r="A452" s="2" t="str">
        <v>S2-00840-BH</v>
      </c>
      <c r="B452" s="2" t="str">
        <v>KH071</v>
      </c>
      <c r="C452" s="2" t="str">
        <v>2025-12-22</v>
      </c>
      <c r="D452" s="2" t="str">
        <v>BAN_HANG</v>
      </c>
      <c r="E452" s="2" t="str"/>
      <c r="F452" s="2" t="str"/>
      <c r="G452" s="2" t="str"/>
      <c r="H452" s="19" t="n">
        <v>3760000</v>
      </c>
      <c r="I452" s="20" t="str">
        <v>xuất bán  Công Ty TNHH Gia Bảo HP 销售给嘉宝HP有限责任公司</v>
      </c>
      <c r="J452" s="20" t="str">
        <v>Chuẩn hóa VND; gốc 3760000.0416; phần lẻ -0.041600000000 đ</v>
      </c>
      <c r="K452" s="20" t="str">
        <v>2.xlsx | 订单!840</v>
      </c>
      <c r="L452" s="20" t="str"/>
    </row>
    <row r="453" ht="48" customHeight="1">
      <c r="A453" s="2" t="str">
        <v>S2-00841-BH</v>
      </c>
      <c r="B453" s="2" t="str">
        <v>KH071</v>
      </c>
      <c r="C453" s="2" t="str">
        <v>2025-12-30</v>
      </c>
      <c r="D453" s="2" t="str">
        <v>BAN_HANG</v>
      </c>
      <c r="E453" s="2" t="str"/>
      <c r="F453" s="2" t="str">
        <v>00000004</v>
      </c>
      <c r="G453" s="2" t="str"/>
      <c r="H453" s="19" t="n">
        <v>90087988</v>
      </c>
      <c r="I453" s="20" t="str">
        <v>xuất bán  Công Ty TNHH Gia Bảo HP 销售给嘉宝HP有限责任公司</v>
      </c>
      <c r="J453" s="20" t="str">
        <v>Chuẩn hóa VND; gốc 90087989.4; phần lẻ -1.400000000000 đ</v>
      </c>
      <c r="K453" s="20" t="str">
        <v>2.xlsx | 订单!841-862</v>
      </c>
      <c r="L453" s="20" t="str"/>
    </row>
    <row r="454" ht="48" customHeight="1">
      <c r="A454" s="2" t="str">
        <v>S2-00864-TT</v>
      </c>
      <c r="B454" s="2" t="str">
        <v>KH071</v>
      </c>
      <c r="C454" s="2" t="str">
        <v>2026-01-16</v>
      </c>
      <c r="D454" s="2" t="str">
        <v>THU_TIEN</v>
      </c>
      <c r="E454" s="2" t="str">
        <v>NTTK00003</v>
      </c>
      <c r="F454" s="2" t="str"/>
      <c r="G454" s="2" t="str"/>
      <c r="H454" s="19" t="n">
        <v>9000000</v>
      </c>
      <c r="I454" s="20" t="str">
        <v>Công Ty TNHH Gia Bảo HP Đặt Cọc( chuyển khoản)</v>
      </c>
      <c r="J454" s="20" t="str">
        <v>Chuẩn hóa VND; gốc 9000000; phần lẻ 0.000000000000 đ</v>
      </c>
      <c r="K454" s="20" t="str">
        <v>2.xlsx | 订单!864</v>
      </c>
      <c r="L454" s="20" t="str"/>
    </row>
    <row r="455" ht="48" customHeight="1">
      <c r="A455" s="2" t="str">
        <v>S2-00865-BH</v>
      </c>
      <c r="B455" s="2" t="str">
        <v>KH071</v>
      </c>
      <c r="C455" s="2" t="str">
        <v>2026-01-16</v>
      </c>
      <c r="D455" s="2" t="str">
        <v>BAN_HANG</v>
      </c>
      <c r="E455" s="2" t="str"/>
      <c r="F455" s="2" t="str">
        <v>00000027</v>
      </c>
      <c r="G455" s="2" t="str"/>
      <c r="H455" s="19" t="n">
        <v>26870000</v>
      </c>
      <c r="I455" s="20" t="str">
        <v>xuất bán  Công Ty TNHH Gia Bảo HP 销售给嘉宝HP有限责任公司</v>
      </c>
      <c r="J455" s="20" t="str">
        <v>Chuẩn hóa VND; gốc 26869999.5792; phần lẻ 0.420800000000 đ</v>
      </c>
      <c r="K455" s="20" t="str">
        <v>2.xlsx | 订单!865-872</v>
      </c>
      <c r="L455" s="20" t="str"/>
    </row>
    <row r="456" ht="48" customHeight="1">
      <c r="A456" s="2" t="str">
        <v>S2-00873-BH</v>
      </c>
      <c r="B456" s="2" t="str">
        <v>KH071</v>
      </c>
      <c r="C456" s="2" t="str">
        <v>2026-01-16</v>
      </c>
      <c r="D456" s="2" t="str">
        <v>BAN_HANG</v>
      </c>
      <c r="E456" s="2" t="str"/>
      <c r="F456" s="2" t="str"/>
      <c r="G456" s="2" t="str"/>
      <c r="H456" s="19" t="n">
        <v>3120000</v>
      </c>
      <c r="I456" s="20" t="str">
        <v>xuất bán  Công Ty TNHH Gia Bảo HP 销售给嘉宝HP有限责任公司</v>
      </c>
      <c r="J456" s="20" t="str">
        <v>Chuẩn hóa VND; gốc 3119999.9904; phần lẻ 0.009600000000 đ</v>
      </c>
      <c r="K456" s="20" t="str">
        <v>2.xlsx | 订单!873</v>
      </c>
      <c r="L456" s="20" t="str"/>
    </row>
    <row r="457" ht="48" customHeight="1">
      <c r="A457" s="2" t="str">
        <v>S2-00874-BH</v>
      </c>
      <c r="B457" s="2" t="str">
        <v>KH071</v>
      </c>
      <c r="C457" s="2" t="str">
        <v>2026-02-02</v>
      </c>
      <c r="D457" s="2" t="str">
        <v>BAN_HANG</v>
      </c>
      <c r="E457" s="2" t="str"/>
      <c r="F457" s="2" t="str">
        <v>00000039</v>
      </c>
      <c r="G457" s="2" t="str"/>
      <c r="H457" s="19" t="n">
        <v>47287998</v>
      </c>
      <c r="I457" s="20" t="str">
        <v>xuất bán  Công Ty TNHH Gia Bảo HP 销售给嘉宝HP有限责任公司</v>
      </c>
      <c r="J457" s="20" t="str">
        <v>Chuẩn hóa VND; gốc 47287997.8128; phần lẻ 0.187200000000 đ</v>
      </c>
      <c r="K457" s="20" t="str">
        <v>2.xlsx | 订单!874-879</v>
      </c>
      <c r="L457" s="20" t="str"/>
    </row>
    <row r="458" ht="48" customHeight="1">
      <c r="A458" s="2" t="str">
        <v>S2-00880-TT</v>
      </c>
      <c r="B458" s="2" t="str">
        <v>KH071</v>
      </c>
      <c r="C458" s="2" t="str">
        <v>2026-02-11</v>
      </c>
      <c r="D458" s="2" t="str">
        <v>THU_TIEN</v>
      </c>
      <c r="E458" s="2" t="str"/>
      <c r="F458" s="2" t="str"/>
      <c r="G458" s="2" t="str"/>
      <c r="H458" s="19" t="n">
        <v>35000000</v>
      </c>
      <c r="I458" s="20" t="str">
        <v>Thu tiền khách hàng Chuyển khoản ngân hàng货款通过银行转账</v>
      </c>
      <c r="J458" s="20" t="str">
        <v>Chuẩn hóa VND; gốc 35000000; phần lẻ 0.000000000000 đ</v>
      </c>
      <c r="K458" s="20" t="str">
        <v>2.xlsx | 订单!880</v>
      </c>
      <c r="L458" s="20" t="str"/>
    </row>
    <row r="459" ht="48" customHeight="1">
      <c r="A459" s="2" t="str">
        <v>S2-00881-BH</v>
      </c>
      <c r="B459" s="2" t="str">
        <v>KH071</v>
      </c>
      <c r="C459" s="2" t="str">
        <v>2026-06-10</v>
      </c>
      <c r="D459" s="2" t="str">
        <v>BAN_HANG</v>
      </c>
      <c r="E459" s="2" t="str"/>
      <c r="F459" s="2" t="str">
        <v>00000175</v>
      </c>
      <c r="G459" s="2" t="str"/>
      <c r="H459" s="19" t="n">
        <v>20550000</v>
      </c>
      <c r="I459" s="20" t="str">
        <v>xuất bán  Công Ty TNHH Gia Bảo HP 销售给嘉宝HP有限责任公司</v>
      </c>
      <c r="J459" s="20" t="str">
        <v>Chuẩn hóa VND; gốc 20549999.9376; phần lẻ 0.062400000000 đ</v>
      </c>
      <c r="K459" s="20" t="str">
        <v>2.xlsx | 订单!881-886</v>
      </c>
      <c r="L459" s="20" t="str"/>
    </row>
    <row r="460" ht="48" customHeight="1">
      <c r="A460" s="2" t="str">
        <v>S2-00887-BH</v>
      </c>
      <c r="B460" s="2" t="str">
        <v>KH071</v>
      </c>
      <c r="C460" s="2" t="str">
        <v>2026-06-10</v>
      </c>
      <c r="D460" s="2" t="str">
        <v>BAN_HANG</v>
      </c>
      <c r="E460" s="2" t="str"/>
      <c r="F460" s="2" t="str"/>
      <c r="G460" s="2" t="str"/>
      <c r="H460" s="19" t="n">
        <v>56099999</v>
      </c>
      <c r="I460" s="20" t="str">
        <v>xuất bán  Công Ty TNHH Gia Bảo HP 销售给嘉宝HP有限责任公司</v>
      </c>
      <c r="J460" s="20" t="str">
        <v>Chuẩn hóa VND; gốc 56099998.98; phần lẻ 0.020000000000 đ</v>
      </c>
      <c r="K460" s="20" t="str">
        <v>2.xlsx | 订单!887</v>
      </c>
      <c r="L460" s="20" t="str"/>
    </row>
    <row r="461" ht="48" customHeight="1">
      <c r="A461" s="2" t="str">
        <v>S2-00888-TT</v>
      </c>
      <c r="B461" s="2" t="str">
        <v>KH071</v>
      </c>
      <c r="C461" s="2" t="str">
        <v>2026-06-16</v>
      </c>
      <c r="D461" s="2" t="str">
        <v>THU_TIEN</v>
      </c>
      <c r="E461" s="2" t="str"/>
      <c r="F461" s="2" t="str"/>
      <c r="G461" s="2" t="str"/>
      <c r="H461" s="19" t="n">
        <v>15000000</v>
      </c>
      <c r="I461" s="20" t="str">
        <v>Thu tiền khách hàng Chuyển khoản ngân hàng货款通过银行转账</v>
      </c>
      <c r="J461" s="20" t="str">
        <v>Chuẩn hóa VND; gốc 15000000; phần lẻ 0.000000000000 đ</v>
      </c>
      <c r="K461" s="20" t="str">
        <v>2.xlsx | 订单!888</v>
      </c>
      <c r="L461" s="20" t="str"/>
    </row>
    <row r="462" ht="48" customHeight="1">
      <c r="A462" s="2" t="str">
        <v>S2-00889-TT</v>
      </c>
      <c r="B462" s="2" t="str">
        <v>KH071</v>
      </c>
      <c r="C462" s="2" t="str">
        <v>2026-06-17</v>
      </c>
      <c r="D462" s="2" t="str">
        <v>THU_TIEN</v>
      </c>
      <c r="E462" s="2" t="str"/>
      <c r="F462" s="2" t="str"/>
      <c r="G462" s="2" t="str"/>
      <c r="H462" s="19" t="n">
        <v>18300000</v>
      </c>
      <c r="I462" s="20" t="str">
        <v>Thu tiền khách hàng Chuyển khoản ngân hàng货款通过银行转账</v>
      </c>
      <c r="J462" s="20" t="str">
        <v>Chuẩn hóa VND; gốc 18300000; phần lẻ 0.000000000000 đ</v>
      </c>
      <c r="K462" s="20" t="str">
        <v>2.xlsx | 订单!889</v>
      </c>
      <c r="L462" s="20" t="str"/>
    </row>
    <row r="463" ht="48" customHeight="1">
      <c r="A463" s="2" t="str">
        <v>S2-00890-BH</v>
      </c>
      <c r="B463" s="2" t="str">
        <v>KH071</v>
      </c>
      <c r="C463" s="2" t="str">
        <v>2026-06-17</v>
      </c>
      <c r="D463" s="2" t="str">
        <v>BAN_HANG</v>
      </c>
      <c r="E463" s="2" t="str"/>
      <c r="F463" s="2" t="str">
        <v>00000190</v>
      </c>
      <c r="G463" s="2" t="str"/>
      <c r="H463" s="19" t="n">
        <v>14420000</v>
      </c>
      <c r="I463" s="20" t="str">
        <v>xuất bán  Công Ty TNHH Gia Bảo HP 销售给嘉宝HP有限责任公司</v>
      </c>
      <c r="J463" s="20" t="str">
        <v>Chuẩn hóa VND; gốc 14419999.9224; phần lẻ 0.077600000000 đ</v>
      </c>
      <c r="K463" s="20" t="str">
        <v>2.xlsx | 订单!890,893-895</v>
      </c>
      <c r="L463" s="20" t="str"/>
    </row>
    <row r="464" ht="48" customHeight="1">
      <c r="A464" s="2" t="str">
        <v>S2-00891-BH</v>
      </c>
      <c r="B464" s="2" t="str">
        <v>KH071</v>
      </c>
      <c r="C464" s="2" t="str">
        <v>2026-06-17</v>
      </c>
      <c r="D464" s="2" t="str">
        <v>BAN_HANG</v>
      </c>
      <c r="E464" s="2" t="str"/>
      <c r="F464" s="2" t="str">
        <v>00000248</v>
      </c>
      <c r="G464" s="2" t="str"/>
      <c r="H464" s="19" t="n">
        <v>21520000</v>
      </c>
      <c r="I464" s="20" t="str">
        <v>xuất bán  Công Ty TNHH Gia Bảo HP 销售给嘉宝HP有限责任公司</v>
      </c>
      <c r="J464" s="20" t="str">
        <v>Chuẩn hóa VND; gốc 21519999.9072; phần lẻ 0.092800000000 đ</v>
      </c>
      <c r="K464" s="20" t="str">
        <v>2.xlsx | 订单!891-892</v>
      </c>
      <c r="L464" s="20" t="str"/>
    </row>
    <row r="465" ht="48" customHeight="1">
      <c r="A465" s="2" t="str">
        <v>S2-00896-BH</v>
      </c>
      <c r="B465" s="2" t="str">
        <v>KH071</v>
      </c>
      <c r="C465" s="2" t="str">
        <v>2026-06-23</v>
      </c>
      <c r="D465" s="2" t="str">
        <v>BAN_HANG</v>
      </c>
      <c r="E465" s="2" t="str"/>
      <c r="F465" s="2" t="str">
        <v>00000190</v>
      </c>
      <c r="G465" s="2" t="str"/>
      <c r="H465" s="19" t="n">
        <v>8136000</v>
      </c>
      <c r="I465" s="20" t="str">
        <v>xuất bán  Công Ty TNHH Gia Bảo HP 销售给嘉宝HP有限责任公司</v>
      </c>
      <c r="J465" s="20" t="str">
        <v>Chuẩn hóa VND; gốc 8135999.9424; phần lẻ 0.057600000000 đ</v>
      </c>
      <c r="K465" s="20" t="str">
        <v>2.xlsx | 订单!896-897</v>
      </c>
      <c r="L465" s="20" t="str"/>
    </row>
    <row r="466" ht="48" customHeight="1">
      <c r="A466" s="2" t="str">
        <v>S2-00898-BH</v>
      </c>
      <c r="B466" s="2" t="str">
        <v>KH071</v>
      </c>
      <c r="C466" s="2" t="str">
        <v>2026-06-23</v>
      </c>
      <c r="D466" s="2" t="str">
        <v>BAN_HANG</v>
      </c>
      <c r="E466" s="2" t="str"/>
      <c r="F466" s="2" t="str"/>
      <c r="G466" s="2" t="str"/>
      <c r="H466" s="19" t="n">
        <v>6200000</v>
      </c>
      <c r="I466" s="20" t="str">
        <v>xuất bán  Công Ty TNHH Gia Bảo HP 销售给嘉宝HP有限责任公司</v>
      </c>
      <c r="J466" s="20" t="str">
        <v>Chuẩn hóa VND; gốc 6199999.956; phần lẻ 0.044000000000 đ</v>
      </c>
      <c r="K466" s="20" t="str">
        <v>2.xlsx | 订单!898</v>
      </c>
      <c r="L466" s="20" t="str"/>
    </row>
    <row r="467" ht="48" customHeight="1">
      <c r="A467" s="2" t="str">
        <v>S2-00899-BH</v>
      </c>
      <c r="B467" s="2" t="str">
        <v>KH071</v>
      </c>
      <c r="C467" s="2" t="str">
        <v>2026-06-23</v>
      </c>
      <c r="D467" s="2" t="str">
        <v>BAN_HANG</v>
      </c>
      <c r="E467" s="2" t="str"/>
      <c r="F467" s="2" t="str">
        <v>00000248</v>
      </c>
      <c r="G467" s="2" t="str"/>
      <c r="H467" s="19" t="n">
        <v>37500000</v>
      </c>
      <c r="I467" s="20" t="str">
        <v>xuất bán  Công Ty TNHH Gia Bảo HP 销售给嘉宝HP有限责任公司</v>
      </c>
      <c r="J467" s="20" t="str">
        <v>Chuẩn hóa VND; gốc 37499999.76; phần lẻ 0.240000000000 đ</v>
      </c>
      <c r="K467" s="20" t="str">
        <v>2.xlsx | 订单!899</v>
      </c>
      <c r="L467" s="20" t="str"/>
    </row>
    <row r="468" ht="48" customHeight="1">
      <c r="A468" s="2" t="str">
        <v>S2-00900-BH</v>
      </c>
      <c r="B468" s="2" t="str">
        <v>KH071</v>
      </c>
      <c r="C468" s="2" t="str">
        <v>2026-07-16</v>
      </c>
      <c r="D468" s="2" t="str">
        <v>BAN_HANG</v>
      </c>
      <c r="E468" s="2" t="str"/>
      <c r="F468" s="2" t="str"/>
      <c r="G468" s="2" t="str"/>
      <c r="H468" s="19" t="n">
        <v>25800000</v>
      </c>
      <c r="I468" s="20" t="str">
        <v>xuất bán  Công Ty TNHH Gia Bảo HP 销售给嘉宝HP有限责任公司</v>
      </c>
      <c r="J468" s="20" t="str">
        <v>Chuẩn hóa VND; gốc 25799999.9904; phần lẻ 0.009600000000 đ</v>
      </c>
      <c r="K468" s="20" t="str">
        <v>2.xlsx | 订单!900,902</v>
      </c>
      <c r="L468" s="20" t="str"/>
    </row>
    <row r="469" ht="48" customHeight="1">
      <c r="A469" s="2" t="str">
        <v>S2-00901-BH</v>
      </c>
      <c r="B469" s="2" t="str">
        <v>KH071</v>
      </c>
      <c r="C469" s="2" t="str">
        <v>2026-07-16</v>
      </c>
      <c r="D469" s="2" t="str">
        <v>BAN_HANG</v>
      </c>
      <c r="E469" s="2" t="str"/>
      <c r="F469" s="2" t="str">
        <v>00000248</v>
      </c>
      <c r="G469" s="2" t="str"/>
      <c r="H469" s="19" t="n">
        <v>7840000</v>
      </c>
      <c r="I469" s="20" t="str">
        <v>xuất bán  Công Ty TNHH Gia Bảo HP 销售给嘉宝HP有限责任公司</v>
      </c>
      <c r="J469" s="20" t="str">
        <v>Chuẩn hóa VND; gốc 7840000.0224; phần lẻ -0.022400000000 đ</v>
      </c>
      <c r="K469" s="20" t="str">
        <v>2.xlsx | 订单!901</v>
      </c>
      <c r="L469" s="20" t="str"/>
    </row>
    <row r="470" ht="48" customHeight="1">
      <c r="A470" s="2" t="str">
        <v>S2-00904-BH</v>
      </c>
      <c r="B470" s="2" t="str">
        <v>KH071</v>
      </c>
      <c r="C470" s="2" t="str">
        <v>2026-07-16</v>
      </c>
      <c r="D470" s="2" t="str">
        <v>BAN_HANG</v>
      </c>
      <c r="E470" s="2" t="str"/>
      <c r="F470" s="2" t="str">
        <v>00000229</v>
      </c>
      <c r="G470" s="2" t="str"/>
      <c r="H470" s="19" t="n">
        <v>13374000</v>
      </c>
      <c r="I470" s="20" t="str">
        <v>xuất bán  Công Ty TNHH Gia Bảo HP 销售给嘉宝HP有限责任公司</v>
      </c>
      <c r="J470" s="20" t="str">
        <v>Chuẩn hóa VND; gốc 13373999.9424; phần lẻ 0.057600000000 đ</v>
      </c>
      <c r="K470" s="20" t="str">
        <v>2.xlsx | 订单!904-905</v>
      </c>
      <c r="L470" s="20" t="str"/>
    </row>
    <row r="471" ht="48" customHeight="1">
      <c r="A471" s="2" t="str">
        <v>S2-01438-TT</v>
      </c>
      <c r="B471" s="2" t="str">
        <v>KH071</v>
      </c>
      <c r="C471" s="2" t="str">
        <v>2026-08-27</v>
      </c>
      <c r="D471" s="2" t="str">
        <v>THU_TIEN</v>
      </c>
      <c r="E471" s="2" t="str"/>
      <c r="F471" s="2" t="str"/>
      <c r="G471" s="2" t="str"/>
      <c r="H471" s="19" t="n">
        <v>70000000</v>
      </c>
      <c r="I471" s="20" t="str">
        <v>Thu tiền khách hàng Chuyển khoản ngân hàng货款通过银行转账</v>
      </c>
      <c r="J471" s="20" t="str">
        <v>Chuẩn hóa VND; gốc 70000000; phần lẻ 0.000000000000 đ</v>
      </c>
      <c r="K471" s="20" t="str">
        <v>2.xlsx | 订单!1438</v>
      </c>
      <c r="L471" s="20" t="str"/>
    </row>
    <row r="472" ht="48" customHeight="1">
      <c r="A472" s="2" t="str">
        <v>S2-02112-TT</v>
      </c>
      <c r="B472" s="2" t="str">
        <v>KH071</v>
      </c>
      <c r="C472" s="2" t="str">
        <v>2026-10-14</v>
      </c>
      <c r="D472" s="2" t="str">
        <v>THU_TIEN</v>
      </c>
      <c r="E472" s="2" t="str"/>
      <c r="F472" s="2" t="str"/>
      <c r="G472" s="2" t="str"/>
      <c r="H472" s="19" t="n">
        <v>41617997</v>
      </c>
      <c r="I472" s="20" t="str">
        <v>Thu tiền khách hàng Chuyển khoản ngân hàng货款通过银行转账</v>
      </c>
      <c r="J472" s="20" t="str">
        <v>Chuẩn hóa VND; gốc 41617997; phần lẻ 0.000000000000 đ</v>
      </c>
      <c r="K472" s="20" t="str">
        <v>2.xlsx | 订单!2112</v>
      </c>
      <c r="L472" s="20" t="str"/>
    </row>
    <row r="473" ht="48" customHeight="1">
      <c r="A473" s="25" t="str">
        <v>S2-02166-BH</v>
      </c>
      <c r="B473" s="25" t="str">
        <v>KH071</v>
      </c>
      <c r="C473" s="25" t="str">
        <v>2026-10-14</v>
      </c>
      <c r="D473" s="25" t="str">
        <v>BAN_HANG</v>
      </c>
      <c r="E473" s="25" t="str">
        <v>BH2026100132</v>
      </c>
      <c r="F473" s="25" t="str"/>
      <c r="G473" s="25" t="str">
        <v>BH2026100132</v>
      </c>
      <c r="H473" s="26" t="n">
        <v>61917999.94</v>
      </c>
      <c r="I473" s="27" t="str">
        <v>xuất bán  Công Ty TNHH Gia Bảo HP 销售给嘉宝HP有限责任公司</v>
      </c>
      <c r="J473" s="27" t="str">
        <v>ĐÃ CÓ ERP — bỏ qua dòng này; giữ chứng từ ERP</v>
      </c>
      <c r="K473" s="27" t="str">
        <v>2.xlsx | 订单!2166-2176</v>
      </c>
      <c r="L473" s="27" t="str"/>
    </row>
    <row r="474" ht="48" customHeight="1">
      <c r="A474" s="2" t="str">
        <v>S2-00373-BH</v>
      </c>
      <c r="B474" s="2" t="str">
        <v>KH074</v>
      </c>
      <c r="C474" s="2" t="str">
        <v>2025-12-30</v>
      </c>
      <c r="D474" s="2" t="str">
        <v>BAN_HANG</v>
      </c>
      <c r="E474" s="2" t="str"/>
      <c r="F474" s="2" t="str">
        <v>00000025</v>
      </c>
      <c r="G474" s="2" t="str"/>
      <c r="H474" s="19" t="n">
        <v>38107984</v>
      </c>
      <c r="I474" s="20" t="str">
        <v>xuất bán CÔNG TY TNHH THƯƠNG MẠI VÀ DỊCH VỤ THẢO NGUYÊN HD向HD草原贸易服务有限责任公司销售产品</v>
      </c>
      <c r="J474" s="20" t="str">
        <v>Chuẩn hóa VND; gốc 38107985.76; phần lẻ -1.760000000000 đ</v>
      </c>
      <c r="K474" s="20" t="str">
        <v>2.xlsx | 订单!373-385</v>
      </c>
      <c r="L474" s="20" t="str"/>
    </row>
    <row r="475" ht="48" customHeight="1">
      <c r="A475" s="2" t="str">
        <v>S2-00386-BH</v>
      </c>
      <c r="B475" s="2" t="str">
        <v>KH074</v>
      </c>
      <c r="C475" s="2" t="str">
        <v>2025-12-30</v>
      </c>
      <c r="D475" s="2" t="str">
        <v>BAN_HANG</v>
      </c>
      <c r="E475" s="2" t="str"/>
      <c r="F475" s="2" t="str">
        <v>00000063</v>
      </c>
      <c r="G475" s="2" t="str"/>
      <c r="H475" s="19" t="n">
        <v>4300000</v>
      </c>
      <c r="I475" s="20" t="str">
        <v>xuất bán CÔNG TY TNHH THƯƠNG MẠI VÀ DỊCH VỤ THẢO NGUYÊN HD向HD草原贸易服务有限责任公司销售产品</v>
      </c>
      <c r="J475" s="20" t="str">
        <v>Chuẩn hóa VND; gốc 4300000.56; phần lẻ -0.560000000000 đ</v>
      </c>
      <c r="K475" s="20" t="str">
        <v>2.xlsx | 订单!386-387</v>
      </c>
      <c r="L475" s="20" t="str"/>
    </row>
    <row r="476" ht="48" customHeight="1">
      <c r="A476" s="2" t="str">
        <v>S2-00388-BH</v>
      </c>
      <c r="B476" s="2" t="str">
        <v>KH074</v>
      </c>
      <c r="C476" s="2" t="str">
        <v>2025-12-30</v>
      </c>
      <c r="D476" s="2" t="str">
        <v>BAN_HANG</v>
      </c>
      <c r="E476" s="2" t="str"/>
      <c r="F476" s="2" t="str">
        <v>00000098</v>
      </c>
      <c r="G476" s="2" t="str"/>
      <c r="H476" s="19" t="n">
        <v>20448003</v>
      </c>
      <c r="I476" s="20" t="str">
        <v>xuất bán CÔNG TY TNHH THƯƠNG MẠI VÀ DỊCH VỤ THẢO NGUYÊN HD向HD草原贸易服务有限责任公司销售产品</v>
      </c>
      <c r="J476" s="20" t="str">
        <v>Chuẩn hóa VND; gốc 20448002.88; phần lẻ 0.120000000000 đ</v>
      </c>
      <c r="K476" s="20" t="str">
        <v>2.xlsx | 订单!388-390</v>
      </c>
      <c r="L476" s="20" t="str"/>
    </row>
    <row r="477" ht="48" customHeight="1">
      <c r="A477" s="2" t="str">
        <v>S2-00392-VC</v>
      </c>
      <c r="B477" s="2" t="str">
        <v>KH074</v>
      </c>
      <c r="C477" s="2" t="str">
        <v>2025-12-30</v>
      </c>
      <c r="D477" s="2" t="str">
        <v>PHI_VAN_CHUYEN</v>
      </c>
      <c r="E477" s="2" t="str"/>
      <c r="F477" s="2" t="str"/>
      <c r="G477" s="2" t="str"/>
      <c r="H477" s="19" t="n">
        <v>1257120</v>
      </c>
      <c r="I477" s="20" t="str">
        <v>Giảm 2%đơn 30/12  phí vận chuyển</v>
      </c>
      <c r="J477" s="20" t="str">
        <v>Chuẩn hóa VND; gốc 1257119.784; phần lẻ 0.216000000000 đ</v>
      </c>
      <c r="K477" s="20" t="str">
        <v>2.xlsx | 订单!392</v>
      </c>
      <c r="L477" s="21" t="str">
        <v>Dòng không có ngày ghi sổ — tạm lấy ngày dòng trước 2025-12-30</v>
      </c>
    </row>
    <row r="478" ht="48" customHeight="1">
      <c r="A478" s="2" t="str">
        <v>S2-00393-TT</v>
      </c>
      <c r="B478" s="2" t="str">
        <v>KH074</v>
      </c>
      <c r="C478" s="2" t="str">
        <v>2026-02-01</v>
      </c>
      <c r="D478" s="2" t="str">
        <v>THU_TIEN</v>
      </c>
      <c r="E478" s="2" t="str">
        <v>NTTK00012</v>
      </c>
      <c r="F478" s="2" t="str"/>
      <c r="G478" s="2" t="str"/>
      <c r="H478" s="19" t="n">
        <v>18656000</v>
      </c>
      <c r="I478" s="20" t="str">
        <v>Thu tiền khách hàng Chuyển khoản ngân hàng货款通过银行转账</v>
      </c>
      <c r="J478" s="20" t="str">
        <v>Chuẩn hóa VND; gốc 18656000; phần lẻ 0.000000000000 đ</v>
      </c>
      <c r="K478" s="20" t="str">
        <v>2.xlsx | 订单!393</v>
      </c>
      <c r="L478" s="20" t="str"/>
    </row>
    <row r="479" ht="48" customHeight="1">
      <c r="A479" s="2" t="str">
        <v>S2-00419-BH</v>
      </c>
      <c r="B479" s="2" t="str">
        <v>KH074</v>
      </c>
      <c r="C479" s="2" t="str">
        <v>2026-02-06</v>
      </c>
      <c r="D479" s="2" t="str">
        <v>BAN_HANG</v>
      </c>
      <c r="E479" s="2" t="str"/>
      <c r="F479" s="2" t="str">
        <v>00000166</v>
      </c>
      <c r="G479" s="2" t="str"/>
      <c r="H479" s="19" t="n">
        <v>5800000</v>
      </c>
      <c r="I479" s="20" t="str">
        <v>xuất bán CÔNG TY TNHH THƯƠNG MẠI VÀ DỊCH VỤ THẢO NGUYÊN HD向HD草原贸易服务有限责任公司销售产品</v>
      </c>
      <c r="J479" s="20" t="str">
        <v>Chuẩn hóa VND; gốc 5800000.032; phần lẻ -0.032000000000 đ</v>
      </c>
      <c r="K479" s="20" t="str">
        <v>2.xlsx | 订单!419</v>
      </c>
      <c r="L479" s="20" t="str"/>
    </row>
    <row r="480" ht="48" customHeight="1">
      <c r="A480" s="2" t="str">
        <v>S2-00420-TT</v>
      </c>
      <c r="B480" s="2" t="str">
        <v>KH074</v>
      </c>
      <c r="C480" s="2" t="str">
        <v>2026-02-06</v>
      </c>
      <c r="D480" s="2" t="str">
        <v>THU_TIEN</v>
      </c>
      <c r="E480" s="2" t="str"/>
      <c r="F480" s="2" t="str"/>
      <c r="G480" s="2" t="str"/>
      <c r="H480" s="19" t="n">
        <v>68674055</v>
      </c>
      <c r="I480" s="20" t="str">
        <v>Thu tiền khách hàng Chuyển khoản ngân hàng货款通过银行转账</v>
      </c>
      <c r="J480" s="20" t="str">
        <v>Chuẩn hóa VND; gốc 68674055; phần lẻ 0.000000000000 đ</v>
      </c>
      <c r="K480" s="20" t="str">
        <v>2.xlsx | 订单!420</v>
      </c>
      <c r="L480" s="21" t="str">
        <v>Dòng không có ngày ghi sổ — tạm lấy ngày dòng trước 2026-02-06</v>
      </c>
    </row>
    <row r="481" ht="48" customHeight="1">
      <c r="A481" s="2" t="str">
        <v>S2-00399-TT</v>
      </c>
      <c r="B481" s="2" t="str">
        <v>KH074</v>
      </c>
      <c r="C481" s="2" t="str">
        <v>2026-02-15</v>
      </c>
      <c r="D481" s="2" t="str">
        <v>THU_TIEN</v>
      </c>
      <c r="E481" s="2" t="str"/>
      <c r="F481" s="2" t="str"/>
      <c r="G481" s="2" t="str"/>
      <c r="H481" s="19" t="n">
        <v>35233986</v>
      </c>
      <c r="I481" s="20" t="str">
        <v>Thu tiền khách hàng Chuyển khoản ngân hàng货款通过银行转账</v>
      </c>
      <c r="J481" s="20" t="str">
        <v>Chuẩn hóa VND; gốc 35233986; phần lẻ 0.000000000000 đ</v>
      </c>
      <c r="K481" s="20" t="str">
        <v>2.xlsx | 订单!399</v>
      </c>
      <c r="L481" s="20" t="str"/>
    </row>
    <row r="482" ht="48" customHeight="1">
      <c r="A482" s="2" t="str">
        <v>S2-00394-BH</v>
      </c>
      <c r="B482" s="2" t="str">
        <v>KH074</v>
      </c>
      <c r="C482" s="2" t="str">
        <v>2026-03-02</v>
      </c>
      <c r="D482" s="2" t="str">
        <v>BAN_HANG</v>
      </c>
      <c r="E482" s="2" t="str"/>
      <c r="F482" s="2" t="str">
        <v>00000047</v>
      </c>
      <c r="G482" s="2" t="str"/>
      <c r="H482" s="19" t="n">
        <v>7802000</v>
      </c>
      <c r="I482" s="20" t="str">
        <v>xuất bán CÔNG TY TNHH THƯƠNG MẠI VÀ DỊCH VỤ THẢO NGUYÊN HD向HD草原贸易服务有限责任公司销售产品</v>
      </c>
      <c r="J482" s="20" t="str">
        <v>Chuẩn hóa VND; gốc 7801999.8552; phần lẻ 0.144800000000 đ</v>
      </c>
      <c r="K482" s="20" t="str">
        <v>2.xlsx | 订单!394-397</v>
      </c>
      <c r="L482" s="20" t="str"/>
    </row>
    <row r="483" ht="48" customHeight="1">
      <c r="A483" s="2" t="str">
        <v>S2-00398-BH</v>
      </c>
      <c r="B483" s="2" t="str">
        <v>KH074</v>
      </c>
      <c r="C483" s="2" t="str">
        <v>2026-03-02</v>
      </c>
      <c r="D483" s="2" t="str">
        <v>BAN_HANG</v>
      </c>
      <c r="E483" s="2" t="str"/>
      <c r="F483" s="2" t="str">
        <v>00000063</v>
      </c>
      <c r="G483" s="2" t="str"/>
      <c r="H483" s="19" t="n">
        <v>3680001</v>
      </c>
      <c r="I483" s="20" t="str">
        <v>xuất bán CÔNG TY TNHH THƯƠNG MẠI VÀ DỊCH VỤ THẢO NGUYÊN HD向HD草原贸易服务有限责任公司销售产品</v>
      </c>
      <c r="J483" s="20" t="str">
        <v>Chuẩn hóa VND; gốc 3680000.64; phần lẻ 0.360000000000 đ</v>
      </c>
      <c r="K483" s="20" t="str">
        <v>2.xlsx | 订单!398</v>
      </c>
      <c r="L483" s="20" t="str"/>
    </row>
    <row r="484" ht="48" customHeight="1">
      <c r="A484" s="2" t="str">
        <v>S2-00400-BH</v>
      </c>
      <c r="B484" s="2" t="str">
        <v>KH074</v>
      </c>
      <c r="C484" s="2" t="str">
        <v>2026-03-02</v>
      </c>
      <c r="D484" s="2" t="str">
        <v>BAN_HANG</v>
      </c>
      <c r="E484" s="2" t="str"/>
      <c r="F484" s="2" t="str">
        <v>00000098</v>
      </c>
      <c r="G484" s="2" t="str"/>
      <c r="H484" s="19" t="n">
        <v>4200000</v>
      </c>
      <c r="I484" s="20" t="str">
        <v>Xuất bán cho CÔNG TY TNHH THƯƠNG MẠI VÀ DỊCH VỤ THẢO NGUYÊN HD</v>
      </c>
      <c r="J484" s="20" t="str">
        <v>Chuẩn hóa VND; gốc 4199999.9472; phần lẻ 0.052800000000 đ</v>
      </c>
      <c r="K484" s="20" t="str">
        <v>2.xlsx | 订单!400</v>
      </c>
      <c r="L484" s="20" t="str"/>
    </row>
    <row r="485" ht="48" customHeight="1">
      <c r="A485" s="2" t="str">
        <v>S2-00401-TT</v>
      </c>
      <c r="B485" s="2" t="str">
        <v>KH074</v>
      </c>
      <c r="C485" s="2" t="str">
        <v>2026-03-02</v>
      </c>
      <c r="D485" s="2" t="str">
        <v>THU_TIEN</v>
      </c>
      <c r="E485" s="2" t="str"/>
      <c r="F485" s="2" t="str"/>
      <c r="G485" s="2" t="str"/>
      <c r="H485" s="19" t="n">
        <v>23390844</v>
      </c>
      <c r="I485" s="20" t="str">
        <v>Thu tiền khách hàng Chuyển khoản ngân hàng货款通过银行转账</v>
      </c>
      <c r="J485" s="20" t="str">
        <v>Chuẩn hóa VND; gốc 23390844; phần lẻ 0.000000000000 đ</v>
      </c>
      <c r="K485" s="20" t="str">
        <v>2.xlsx | 订单!401</v>
      </c>
      <c r="L485" s="21" t="str">
        <v>Dòng không có ngày ghi sổ — tạm lấy ngày dòng trước 2026-03-02</v>
      </c>
    </row>
    <row r="486" ht="48" customHeight="1">
      <c r="A486" s="2" t="str">
        <v>S2-00402-TH</v>
      </c>
      <c r="B486" s="2" t="str">
        <v>KH074</v>
      </c>
      <c r="C486" s="2" t="str">
        <v>2026-03-02</v>
      </c>
      <c r="D486" s="2" t="str">
        <v>TRA_HANG</v>
      </c>
      <c r="E486" s="2" t="str"/>
      <c r="F486" s="2" t="str"/>
      <c r="G486" s="2" t="str"/>
      <c r="H486" s="19" t="n">
        <v>11539985</v>
      </c>
      <c r="I486" s="20" t="str">
        <v>Điều chỉnh giảm</v>
      </c>
      <c r="J486" s="20" t="str">
        <v>Chuẩn hóa VND; gốc 11539985.76; phần lẻ -0.760000000000 đ</v>
      </c>
      <c r="K486" s="20" t="str">
        <v>2.xlsx | 订单!402-405</v>
      </c>
      <c r="L486" s="21" t="str">
        <v>Dòng không có ngày ghi sổ — tạm lấy ngày dòng trước 2026-03-02</v>
      </c>
    </row>
    <row r="487" ht="48" customHeight="1">
      <c r="A487" s="2" t="str">
        <v>S2-00406-BH</v>
      </c>
      <c r="B487" s="2" t="str">
        <v>KH074</v>
      </c>
      <c r="C487" s="2" t="str">
        <v>2026-04-05</v>
      </c>
      <c r="D487" s="2" t="str">
        <v>BAN_HANG</v>
      </c>
      <c r="E487" s="2" t="str"/>
      <c r="F487" s="2" t="str">
        <v>00000137</v>
      </c>
      <c r="G487" s="2" t="str"/>
      <c r="H487" s="19" t="n">
        <v>68614001</v>
      </c>
      <c r="I487" s="20" t="str">
        <v>xuất bán CÔNG TY TNHH THƯƠNG MẠI VÀ DỊCH VỤ THẢO NGUYÊN HD向HD草原贸易服务有限责任公司销售产品</v>
      </c>
      <c r="J487" s="20" t="str">
        <v>Chuẩn hóa VND; gốc 68614000.6356; phần lẻ 0.364400000000 đ</v>
      </c>
      <c r="K487" s="20" t="str">
        <v>2.xlsx | 订单!406-417</v>
      </c>
      <c r="L487" s="20" t="str"/>
    </row>
    <row r="488" ht="48" customHeight="1">
      <c r="A488" s="2" t="str">
        <v>S2-00418-BH</v>
      </c>
      <c r="B488" s="2" t="str">
        <v>KH074</v>
      </c>
      <c r="C488" s="2" t="str">
        <v>2026-04-05</v>
      </c>
      <c r="D488" s="2" t="str">
        <v>BAN_HANG</v>
      </c>
      <c r="E488" s="2" t="str"/>
      <c r="F488" s="2" t="str">
        <v>00000160</v>
      </c>
      <c r="G488" s="2" t="str"/>
      <c r="H488" s="19" t="n">
        <v>5800000</v>
      </c>
      <c r="I488" s="20" t="str">
        <v>xuất bán CÔNG TY TNHH THƯƠNG MẠI VÀ DỊCH VỤ THẢO NGUYÊN HD向HD草原贸易服务有限责任公司销售产品</v>
      </c>
      <c r="J488" s="20" t="str">
        <v>Chuẩn hóa VND; gốc 5800000.032; phần lẻ -0.032000000000 đ</v>
      </c>
      <c r="K488" s="20" t="str">
        <v>2.xlsx | 订单!418</v>
      </c>
      <c r="L488" s="20" t="str"/>
    </row>
    <row r="489" ht="48" customHeight="1">
      <c r="A489" s="2" t="str">
        <v>S2-00421-BH</v>
      </c>
      <c r="B489" s="2" t="str">
        <v>KH074</v>
      </c>
      <c r="C489" s="2" t="str">
        <v>2026-06-10</v>
      </c>
      <c r="D489" s="2" t="str">
        <v>BAN_HANG</v>
      </c>
      <c r="E489" s="2" t="str"/>
      <c r="F489" s="2" t="str">
        <v>00000174</v>
      </c>
      <c r="G489" s="2" t="str"/>
      <c r="H489" s="19" t="n">
        <v>18360000</v>
      </c>
      <c r="I489" s="20" t="str">
        <v>xuất bán CÔNG TY TNHH THƯƠNG MẠI VÀ DỊCH VỤ THẢO NGUYÊN HD向HD草原贸易服务有限责任公司销售产品</v>
      </c>
      <c r="J489" s="20" t="str">
        <v>Chuẩn hóa VND; gốc 18359999.8272; phần lẻ 0.172800000000 đ</v>
      </c>
      <c r="K489" s="20" t="str">
        <v>2.xlsx | 订单!421-422</v>
      </c>
      <c r="L489" s="20" t="str"/>
    </row>
    <row r="490" ht="48" customHeight="1">
      <c r="A490" s="2" t="str">
        <v>S2-00423-BH</v>
      </c>
      <c r="B490" s="2" t="str">
        <v>KH074</v>
      </c>
      <c r="C490" s="2" t="str">
        <v>2026-06-10</v>
      </c>
      <c r="D490" s="2" t="str">
        <v>BAN_HANG</v>
      </c>
      <c r="E490" s="2" t="str"/>
      <c r="F490" s="2" t="str">
        <v>chưa xuất HĐ</v>
      </c>
      <c r="G490" s="2" t="str"/>
      <c r="H490" s="19" t="n">
        <v>16500000</v>
      </c>
      <c r="I490" s="20" t="str">
        <v>xuất bán CÔNG TY TNHH THƯƠNG MẠI VÀ DỊCH VỤ THẢO NGUYÊN HD向HD草原贸易服务有限责任公司销售产品</v>
      </c>
      <c r="J490" s="20" t="str">
        <v>Chuẩn hóa VND; gốc 16500000.024; phần lẻ -0.024000000000 đ</v>
      </c>
      <c r="K490" s="20" t="str">
        <v>2.xlsx | 订单!423</v>
      </c>
      <c r="L490" s="20" t="str"/>
    </row>
    <row r="491" ht="48" customHeight="1">
      <c r="A491" s="2" t="str">
        <v>S2-00424-BH</v>
      </c>
      <c r="B491" s="2" t="str">
        <v>KH074</v>
      </c>
      <c r="C491" s="2" t="str">
        <v>2026-06-18</v>
      </c>
      <c r="D491" s="2" t="str">
        <v>BAN_HANG</v>
      </c>
      <c r="E491" s="2" t="str"/>
      <c r="F491" s="2" t="str">
        <v>00000250</v>
      </c>
      <c r="G491" s="2" t="str"/>
      <c r="H491" s="19" t="n">
        <v>19560000</v>
      </c>
      <c r="I491" s="20" t="str">
        <v>xuất bán CÔNG TY TNHH THƯƠNG MẠI VÀ DỊCH VỤ THẢO NGUYÊN HD向HD草原贸易服务有限责任公司销售产品</v>
      </c>
      <c r="J491" s="20" t="str">
        <v>Chuẩn hóa VND; gốc 19559999.9016; phần lẻ 0.098400000000 đ</v>
      </c>
      <c r="K491" s="20" t="str">
        <v>2.xlsx | 订单!424-425</v>
      </c>
      <c r="L491" s="20" t="str"/>
    </row>
    <row r="492" ht="48" customHeight="1">
      <c r="A492" s="2" t="str">
        <v>S2-00426-VC</v>
      </c>
      <c r="B492" s="2" t="str">
        <v>KH074</v>
      </c>
      <c r="C492" s="2" t="str">
        <v>2026-06-18</v>
      </c>
      <c r="D492" s="2" t="str">
        <v>PHI_VAN_CHUYEN</v>
      </c>
      <c r="E492" s="2" t="str"/>
      <c r="F492" s="2" t="str"/>
      <c r="G492" s="2" t="str"/>
      <c r="H492" s="19" t="n">
        <v>220000</v>
      </c>
      <c r="I492" s="20" t="str">
        <v>Tiền vận chuyển</v>
      </c>
      <c r="J492" s="20" t="str">
        <v>Chuẩn hóa VND; gốc 220000; phần lẻ 0.000000000000 đ</v>
      </c>
      <c r="K492" s="20" t="str">
        <v>2.xlsx | 订单!426</v>
      </c>
      <c r="L492" s="20" t="str"/>
    </row>
    <row r="493" ht="48" customHeight="1">
      <c r="A493" s="2" t="str">
        <v>S2-00427-BH</v>
      </c>
      <c r="B493" s="2" t="str">
        <v>KH074</v>
      </c>
      <c r="C493" s="2" t="str">
        <v>2026-07-07</v>
      </c>
      <c r="D493" s="2" t="str">
        <v>BAN_HANG</v>
      </c>
      <c r="E493" s="2" t="str"/>
      <c r="F493" s="2" t="str">
        <v>00000250</v>
      </c>
      <c r="G493" s="2" t="str"/>
      <c r="H493" s="19" t="n">
        <v>26400000</v>
      </c>
      <c r="I493" s="20" t="str">
        <v>xuất bán CÔNG TY TNHH THƯƠNG MẠI VÀ DỊCH VỤ THẢO NGUYÊN HD向HD草原贸易服务有限责任公司销售产品</v>
      </c>
      <c r="J493" s="20" t="str">
        <v>Chuẩn hóa VND; gốc 26399999.844; phần lẻ 0.156000000000 đ</v>
      </c>
      <c r="K493" s="20" t="str">
        <v>2.xlsx | 订单!427</v>
      </c>
      <c r="L493" s="20" t="str"/>
    </row>
    <row r="494" ht="48" customHeight="1">
      <c r="A494" s="2" t="str">
        <v>S2-00428-BH</v>
      </c>
      <c r="B494" s="2" t="str">
        <v>KH074</v>
      </c>
      <c r="C494" s="2" t="str">
        <v>2026-07-07</v>
      </c>
      <c r="D494" s="2" t="str">
        <v>BAN_HANG</v>
      </c>
      <c r="E494" s="2" t="str"/>
      <c r="F494" s="2" t="str">
        <v>00000216</v>
      </c>
      <c r="G494" s="2" t="str"/>
      <c r="H494" s="19" t="n">
        <v>1500000</v>
      </c>
      <c r="I494" s="20" t="str">
        <v>xuất bán CÔNG TY TNHH THƯƠNG MẠI VÀ DỊCH VỤ THẢO NGUYÊN HD向HD草原贸易服务有限责任公司销售产品</v>
      </c>
      <c r="J494" s="20" t="str">
        <v>Chuẩn hóa VND; gốc 1499999.9904; phần lẻ 0.009600000000 đ</v>
      </c>
      <c r="K494" s="20" t="str">
        <v>2.xlsx | 订单!428</v>
      </c>
      <c r="L494" s="20" t="str"/>
    </row>
    <row r="495" ht="48" customHeight="1">
      <c r="A495" s="2" t="str">
        <v>S2-00429-VC</v>
      </c>
      <c r="B495" s="2" t="str">
        <v>KH074</v>
      </c>
      <c r="C495" s="2" t="str">
        <v>2026-08-07</v>
      </c>
      <c r="D495" s="2" t="str">
        <v>PHI_VAN_CHUYEN</v>
      </c>
      <c r="E495" s="2" t="str"/>
      <c r="F495" s="2" t="str"/>
      <c r="G495" s="2" t="str"/>
      <c r="H495" s="19" t="n">
        <v>425000</v>
      </c>
      <c r="I495" s="20" t="str">
        <v>Tiền vận chuyển</v>
      </c>
      <c r="J495" s="20" t="str">
        <v>Chuẩn hóa VND; gốc 425000; phần lẻ 0.000000000000 đ</v>
      </c>
      <c r="K495" s="20" t="str">
        <v>2.xlsx | 订单!429</v>
      </c>
      <c r="L495" s="20" t="str"/>
    </row>
    <row r="496" ht="48" customHeight="1">
      <c r="A496" s="2" t="str">
        <v>S2-01241-BH</v>
      </c>
      <c r="B496" s="2" t="str">
        <v>KH074</v>
      </c>
      <c r="C496" s="2" t="str">
        <v>2026-08-14</v>
      </c>
      <c r="D496" s="2" t="str">
        <v>BAN_HANG</v>
      </c>
      <c r="E496" s="2" t="str">
        <v>BH2026080005</v>
      </c>
      <c r="F496" s="2" t="str">
        <v>00000333</v>
      </c>
      <c r="G496" s="2" t="str"/>
      <c r="H496" s="19" t="n">
        <v>36330000</v>
      </c>
      <c r="I496" s="20" t="str">
        <v>xuất bán CÔNG TY TNHH THƯƠNG MẠI VÀ DỊCH VỤ THẢO NGUYÊN HD向HD草原贸易服务有限责任公司销售产品</v>
      </c>
      <c r="J496" s="20" t="str">
        <v>Chuẩn hóa VND; gốc 36329999.8824; phần lẻ 0.117600000000 đ</v>
      </c>
      <c r="K496" s="20" t="str">
        <v>2.xlsx | 订单!1241-1245</v>
      </c>
      <c r="L496" s="20" t="str"/>
    </row>
    <row r="497" ht="48" customHeight="1">
      <c r="A497" s="2" t="str">
        <v>S2-01318-VC</v>
      </c>
      <c r="B497" s="2" t="str">
        <v>KH074</v>
      </c>
      <c r="C497" s="2" t="str">
        <v>2026-08-19</v>
      </c>
      <c r="D497" s="2" t="str">
        <v>PHI_VAN_CHUYEN</v>
      </c>
      <c r="E497" s="2" t="str"/>
      <c r="F497" s="2" t="str"/>
      <c r="G497" s="2" t="str"/>
      <c r="H497" s="19" t="n">
        <v>580000</v>
      </c>
      <c r="I497" s="20" t="str">
        <v>khách hàng tự  trả tiền vận chuyển客户自行支付运输费</v>
      </c>
      <c r="J497" s="20" t="str">
        <v>Chuẩn hóa VND; gốc 580000; phần lẻ 0.000000000000 đ</v>
      </c>
      <c r="K497" s="20" t="str">
        <v>2.xlsx | 订单!1318</v>
      </c>
      <c r="L497" s="20" t="str"/>
    </row>
    <row r="498" ht="48" customHeight="1">
      <c r="A498" s="2" t="str">
        <v>S2-01447-BH</v>
      </c>
      <c r="B498" s="2" t="str">
        <v>KH074</v>
      </c>
      <c r="C498" s="2" t="str">
        <v>2026-08-28</v>
      </c>
      <c r="D498" s="2" t="str">
        <v>BAN_HANG</v>
      </c>
      <c r="E498" s="2" t="str">
        <v>BH2026080032</v>
      </c>
      <c r="F498" s="2" t="str">
        <v>00000333</v>
      </c>
      <c r="G498" s="2" t="str"/>
      <c r="H498" s="19" t="n">
        <v>40650000</v>
      </c>
      <c r="I498" s="20" t="str">
        <v>xuất bán CÔNG TY TNHH THƯƠNG MẠI VÀ DỊCH VỤ THẢO NGUYÊN HD向HD草原贸易服务有限责任公司销售产品</v>
      </c>
      <c r="J498" s="20" t="str">
        <v>Chuẩn hóa VND; gốc 40650000.12; phần lẻ -0.120000000000 đ</v>
      </c>
      <c r="K498" s="20" t="str">
        <v>2.xlsx | 订单!1447-1450</v>
      </c>
      <c r="L498" s="20" t="str"/>
    </row>
    <row r="499" ht="48" customHeight="1">
      <c r="A499" s="2" t="str">
        <v>S2-01476-VC</v>
      </c>
      <c r="B499" s="2" t="str">
        <v>KH074</v>
      </c>
      <c r="C499" s="2" t="str">
        <v>2026-08-29</v>
      </c>
      <c r="D499" s="2" t="str">
        <v>PHI_VAN_CHUYEN</v>
      </c>
      <c r="E499" s="2" t="str"/>
      <c r="F499" s="2" t="str"/>
      <c r="G499" s="2" t="str"/>
      <c r="H499" s="19" t="n">
        <v>600000</v>
      </c>
      <c r="I499" s="20" t="str">
        <v>khách hàng tự  trả tiền vận chuyển客户自行支付运输费</v>
      </c>
      <c r="J499" s="20" t="str">
        <v>Chuẩn hóa VND; gốc 600000; phần lẻ 0.000000000000 đ</v>
      </c>
      <c r="K499" s="20" t="str">
        <v>2.xlsx | 订单!1476</v>
      </c>
      <c r="L499" s="20" t="str"/>
    </row>
    <row r="500" ht="48" customHeight="1">
      <c r="A500" s="2" t="str">
        <v>S2-01477-TT</v>
      </c>
      <c r="B500" s="2" t="str">
        <v>KH074</v>
      </c>
      <c r="C500" s="2" t="str">
        <v>2026-08-29</v>
      </c>
      <c r="D500" s="2" t="str">
        <v>THU_TIEN</v>
      </c>
      <c r="E500" s="2" t="str"/>
      <c r="F500" s="2" t="str"/>
      <c r="G500" s="2" t="str"/>
      <c r="H500" s="19" t="n">
        <v>50000000</v>
      </c>
      <c r="I500" s="20" t="str">
        <v>Thu tiền khách hàng Chuyển khoản ngân hàng货款通过银行转账</v>
      </c>
      <c r="J500" s="20" t="str">
        <v>Chuẩn hóa VND; gốc 50000000; phần lẻ 0.000000000000 đ</v>
      </c>
      <c r="K500" s="20" t="str">
        <v>2.xlsx | 订单!1477</v>
      </c>
      <c r="L500" s="20" t="str"/>
    </row>
    <row r="501" ht="48" customHeight="1">
      <c r="A501" s="2" t="str">
        <v>S2-01955-BH</v>
      </c>
      <c r="B501" s="2" t="str">
        <v>KH074</v>
      </c>
      <c r="C501" s="2" t="str">
        <v>2026-09-28</v>
      </c>
      <c r="D501" s="2" t="str">
        <v>BAN_HANG</v>
      </c>
      <c r="E501" s="2" t="str">
        <v>BH2026090101</v>
      </c>
      <c r="F501" s="2" t="str">
        <v>00000333</v>
      </c>
      <c r="G501" s="2" t="str"/>
      <c r="H501" s="19" t="n">
        <v>36960000</v>
      </c>
      <c r="I501" s="20" t="str">
        <v>xuất bán CÔNG TY TNHH THƯƠNG MẠI VÀ DỊCH VỤ THẢO NGUYÊN HD向HD草原贸易服务有限责任公司销售产品</v>
      </c>
      <c r="J501" s="20" t="str">
        <v>Chuẩn hóa VND; gốc 36959999.9328; phần lẻ 0.067200000000 đ</v>
      </c>
      <c r="K501" s="20" t="str">
        <v>2.xlsx | 订单!1955-1958</v>
      </c>
      <c r="L501" s="20" t="str"/>
    </row>
    <row r="502" ht="48" customHeight="1">
      <c r="A502" s="2" t="str">
        <v>S2-01966-VC</v>
      </c>
      <c r="B502" s="2" t="str">
        <v>KH074</v>
      </c>
      <c r="C502" s="2" t="str">
        <v>2026-09-29</v>
      </c>
      <c r="D502" s="2" t="str">
        <v>PHI_VAN_CHUYEN</v>
      </c>
      <c r="E502" s="2" t="str"/>
      <c r="F502" s="2" t="str"/>
      <c r="G502" s="2" t="str"/>
      <c r="H502" s="19" t="n">
        <v>550000</v>
      </c>
      <c r="I502" s="20" t="str">
        <v>khách hàng tự  trả tiền vận chuyển客户自行支付运输费</v>
      </c>
      <c r="J502" s="20" t="str">
        <v>Chuẩn hóa VND; gốc 550000; phần lẻ 0.000000000000 đ</v>
      </c>
      <c r="K502" s="20" t="str">
        <v>2.xlsx | 订单!1966</v>
      </c>
      <c r="L502" s="20" t="str"/>
    </row>
    <row r="503" ht="48" customHeight="1">
      <c r="A503" s="2" t="str">
        <v>S2-00907-BH</v>
      </c>
      <c r="B503" s="2" t="str">
        <v>KH076</v>
      </c>
      <c r="C503" s="2" t="str">
        <v>2025-12-31</v>
      </c>
      <c r="D503" s="2" t="str">
        <v>BAN_HANG</v>
      </c>
      <c r="E503" s="2" t="str"/>
      <c r="F503" s="2" t="str">
        <v>00000031</v>
      </c>
      <c r="G503" s="2" t="str"/>
      <c r="H503" s="19" t="n">
        <v>22471997</v>
      </c>
      <c r="I503" s="20" t="str">
        <v>xuất bán cho CÔNG TY TNHH THƯƠNG MẠI VÀ DỊCH VỤ ĐỨC ĐÀN</v>
      </c>
      <c r="J503" s="20" t="str">
        <v>Chuẩn hóa VND; gốc 22471996.32; phần lẻ 0.680000000000 đ</v>
      </c>
      <c r="K503" s="20" t="str">
        <v>2.xlsx | 订单!907-911</v>
      </c>
      <c r="L503" s="20" t="str"/>
    </row>
    <row r="504" ht="48" customHeight="1">
      <c r="A504" s="2" t="str">
        <v>S2-00913-BH</v>
      </c>
      <c r="B504" s="2" t="str">
        <v>KH076</v>
      </c>
      <c r="C504" s="2" t="str">
        <v>2025-12-31</v>
      </c>
      <c r="D504" s="2" t="str">
        <v>BAN_HANG</v>
      </c>
      <c r="E504" s="2" t="str"/>
      <c r="F504" s="2" t="str">
        <v>chưa xuất HĐ</v>
      </c>
      <c r="G504" s="2" t="str"/>
      <c r="H504" s="19" t="n">
        <v>78306004</v>
      </c>
      <c r="I504" s="20" t="str">
        <v>xuất bán cho CÔNG TY TNHH THƯƠNG MẠI VÀ DỊCH VỤ ĐỨC ĐÀN</v>
      </c>
      <c r="J504" s="20" t="str">
        <v>Chuẩn hóa VND; gốc 78306004.8; phần lẻ -0.800000000000 đ</v>
      </c>
      <c r="K504" s="20" t="str">
        <v>2.xlsx | 订单!913-918</v>
      </c>
      <c r="L504" s="20" t="str"/>
    </row>
    <row r="505" ht="48" customHeight="1">
      <c r="A505" s="25" t="str">
        <v>S2-02006-BH</v>
      </c>
      <c r="B505" s="25" t="str">
        <v>KH080</v>
      </c>
      <c r="C505" s="25" t="str">
        <v>2026-10-03</v>
      </c>
      <c r="D505" s="25" t="str">
        <v>BAN_HANG</v>
      </c>
      <c r="E505" s="25" t="str">
        <v>BH2026100109</v>
      </c>
      <c r="F505" s="25" t="str"/>
      <c r="G505" s="25" t="str">
        <v>BH2026100109</v>
      </c>
      <c r="H505" s="26" t="n">
        <v>12480000.09</v>
      </c>
      <c r="I505" s="27" t="str">
        <v>xuất bán cho CÔNG TY TNHH DỊCH VỤ THƯƠNG MẠI VÀ TỔNG HỢP AN THỊNH（安盛综合贸易服务有限公司销售产品</v>
      </c>
      <c r="J505" s="27" t="str">
        <v>ĐÃ CÓ ERP — bỏ qua dòng này; giữ chứng từ ERP</v>
      </c>
      <c r="K505" s="27" t="str">
        <v>2.xlsx | 订单!2006-2008</v>
      </c>
      <c r="L505" s="27" t="str"/>
    </row>
    <row r="506" ht="48" customHeight="1">
      <c r="A506" s="2" t="str">
        <v>S2-02212-TT</v>
      </c>
      <c r="B506" s="2" t="str">
        <v>KH080</v>
      </c>
      <c r="C506" s="2" t="str">
        <v>2026-10-16</v>
      </c>
      <c r="D506" s="2" t="str">
        <v>THU_TIEN</v>
      </c>
      <c r="E506" s="2" t="str"/>
      <c r="F506" s="2" t="str"/>
      <c r="G506" s="2" t="str"/>
      <c r="H506" s="19" t="n">
        <v>12480000</v>
      </c>
      <c r="I506" s="20" t="str">
        <v>Thu tiền khách hàng Chuyển khoản ngân hàng货款通过银行转账</v>
      </c>
      <c r="J506" s="20" t="str">
        <v>Chuẩn hóa VND; gốc 12480000; phần lẻ 0.000000000000 đ</v>
      </c>
      <c r="K506" s="20" t="str">
        <v>2.xlsx | 订单!2212</v>
      </c>
      <c r="L506" s="20" t="str"/>
    </row>
    <row r="507" ht="48" customHeight="1">
      <c r="A507" s="2" t="str">
        <v>S2-01143-BH</v>
      </c>
      <c r="B507" s="2" t="str">
        <v>KH082</v>
      </c>
      <c r="C507" s="2" t="str">
        <v>2026-08-10</v>
      </c>
      <c r="D507" s="2" t="str">
        <v>BAN_HANG</v>
      </c>
      <c r="E507" s="2" t="str">
        <v>BH013/0826</v>
      </c>
      <c r="F507" s="2" t="str">
        <v>00000267</v>
      </c>
      <c r="G507" s="2" t="str"/>
      <c r="H507" s="19" t="n">
        <v>2700000</v>
      </c>
      <c r="I507" s="20" t="str">
        <v>Xuất bán CÔNG TY TNHH THIẾT BỊ BẾP VÀ GIA DỤNG AN PHÚ向(安富厨具及家用电器有限责任公司)销售产品</v>
      </c>
      <c r="J507" s="20" t="str">
        <v>Chuẩn hóa VND; gốc 2699999.9892; phần lẻ 0.010800000000 đ</v>
      </c>
      <c r="K507" s="20" t="str">
        <v>2.xlsx | 订单!1143</v>
      </c>
      <c r="L507" s="20" t="str"/>
    </row>
    <row r="508" ht="48" customHeight="1">
      <c r="A508" s="2" t="str">
        <v>S2-01742-TT</v>
      </c>
      <c r="B508" s="2" t="str">
        <v>KH082</v>
      </c>
      <c r="C508" s="2" t="str">
        <v>2026-09-16</v>
      </c>
      <c r="D508" s="2" t="str">
        <v>THU_TIEN</v>
      </c>
      <c r="E508" s="2" t="str"/>
      <c r="F508" s="2" t="str"/>
      <c r="G508" s="2" t="str"/>
      <c r="H508" s="19" t="n">
        <v>2700000</v>
      </c>
      <c r="I508" s="20" t="str">
        <v>Thu tiền khách hàng Chuyển khoản ngân hàng货款通过银行转账</v>
      </c>
      <c r="J508" s="20" t="str">
        <v>Chuẩn hóa VND; gốc 2700000; phần lẻ 0.000000000000 đ</v>
      </c>
      <c r="K508" s="20" t="str">
        <v>2.xlsx | 订单!1742</v>
      </c>
      <c r="L508" s="20" t="str"/>
    </row>
    <row r="509" ht="48" customHeight="1">
      <c r="A509" s="2" t="str">
        <v>S2-01289-BH</v>
      </c>
      <c r="B509" s="2" t="str">
        <v>KH083</v>
      </c>
      <c r="C509" s="2" t="str">
        <v>2026-08-17</v>
      </c>
      <c r="D509" s="2" t="str">
        <v>BAN_HANG</v>
      </c>
      <c r="E509" s="2" t="str">
        <v>BH2026080012</v>
      </c>
      <c r="F509" s="2" t="str">
        <v>00000273</v>
      </c>
      <c r="G509" s="2" t="str"/>
      <c r="H509" s="19" t="n">
        <v>3200000</v>
      </c>
      <c r="I509" s="20" t="str">
        <v>xuất bán Nguyễn Đức Tuấn向阮德俊销售产品</v>
      </c>
      <c r="J509" s="20" t="str">
        <v>Chuẩn hóa VND; gốc 3199999.9968; phần lẻ 0.003200000000 đ</v>
      </c>
      <c r="K509" s="20" t="str">
        <v>2.xlsx | 订单!1289</v>
      </c>
      <c r="L509" s="20" t="str"/>
    </row>
    <row r="510" ht="48" customHeight="1">
      <c r="A510" s="2" t="str">
        <v>S2-01290-TT</v>
      </c>
      <c r="B510" s="2" t="str">
        <v>KH083</v>
      </c>
      <c r="C510" s="2" t="str">
        <v>2026-08-17</v>
      </c>
      <c r="D510" s="2" t="str">
        <v>THU_TIEN</v>
      </c>
      <c r="E510" s="2" t="str">
        <v>BH2026080012</v>
      </c>
      <c r="F510" s="2" t="str"/>
      <c r="G510" s="2" t="str"/>
      <c r="H510" s="19" t="n">
        <v>3200000</v>
      </c>
      <c r="I510" s="20" t="str">
        <v>Thu tiền khách hàng Chuyển khoản ngân hàng货款通过银行转账</v>
      </c>
      <c r="J510" s="20" t="str">
        <v>Chuẩn hóa VND; gốc 3200000; phần lẻ 0.000000000000 đ</v>
      </c>
      <c r="K510" s="20" t="str">
        <v>2.xlsx | 订单!1290</v>
      </c>
      <c r="L510" s="20" t="str"/>
    </row>
    <row r="511" ht="48" customHeight="1">
      <c r="A511" s="2" t="str">
        <v>S2-01646-BH</v>
      </c>
      <c r="B511" s="2" t="str">
        <v>KH083</v>
      </c>
      <c r="C511" s="2" t="str">
        <v>2026-09-11</v>
      </c>
      <c r="D511" s="2" t="str">
        <v>BAN_HANG</v>
      </c>
      <c r="E511" s="2" t="str">
        <v>BH2026090057</v>
      </c>
      <c r="F511" s="2" t="str">
        <v>00000306</v>
      </c>
      <c r="G511" s="2" t="str"/>
      <c r="H511" s="19" t="n">
        <v>1960000</v>
      </c>
      <c r="I511" s="20" t="str">
        <v>xuất bán Nguyễn Đức Tuấn向阮德俊销售产品</v>
      </c>
      <c r="J511" s="20" t="str">
        <v>Chuẩn hóa VND; gốc 1960000.0056; phần lẻ -0.005600000000 đ</v>
      </c>
      <c r="K511" s="20" t="str">
        <v>2.xlsx | 订单!1646</v>
      </c>
      <c r="L511" s="20" t="str"/>
    </row>
    <row r="512" ht="48" customHeight="1">
      <c r="A512" s="2" t="str">
        <v>S2-01719-TT</v>
      </c>
      <c r="B512" s="2" t="str">
        <v>KH083</v>
      </c>
      <c r="C512" s="2" t="str">
        <v>2026-09-14</v>
      </c>
      <c r="D512" s="2" t="str">
        <v>THU_TIEN</v>
      </c>
      <c r="E512" s="2" t="str"/>
      <c r="F512" s="2" t="str"/>
      <c r="G512" s="2" t="str"/>
      <c r="H512" s="19" t="n">
        <v>1960000</v>
      </c>
      <c r="I512" s="20" t="str">
        <v>Thu tiền khách hàng Chuyển khoản ngân hàng货款通过银行转账</v>
      </c>
      <c r="J512" s="20" t="str">
        <v>Chuẩn hóa VND; gốc 1960000; phần lẻ 0.000000000000 đ</v>
      </c>
      <c r="K512" s="20" t="str">
        <v>2.xlsx | 订单!1719</v>
      </c>
      <c r="L512" s="20" t="str"/>
    </row>
    <row r="513" ht="48" customHeight="1">
      <c r="A513" s="25" t="str">
        <v>S2-02191-BH</v>
      </c>
      <c r="B513" s="25" t="str">
        <v>KH083</v>
      </c>
      <c r="C513" s="25" t="str">
        <v>2026-10-15</v>
      </c>
      <c r="D513" s="25" t="str">
        <v>BAN_HANG</v>
      </c>
      <c r="E513" s="25" t="str">
        <v>BH2026100134</v>
      </c>
      <c r="F513" s="25" t="str">
        <v>00000349</v>
      </c>
      <c r="G513" s="25" t="str">
        <v>BH2026100134</v>
      </c>
      <c r="H513" s="26" t="n">
        <v>2400000</v>
      </c>
      <c r="I513" s="27" t="str">
        <v>xuất bán Nguyễn Đức Tuấn向阮德俊销售产品</v>
      </c>
      <c r="J513" s="27" t="str">
        <v>ĐÃ CÓ ERP — bỏ qua dòng này; giữ chứng từ ERP</v>
      </c>
      <c r="K513" s="27" t="str">
        <v>2.xlsx | 订单!2191</v>
      </c>
      <c r="L513" s="27" t="str"/>
    </row>
    <row r="514" ht="48" customHeight="1">
      <c r="A514" s="2" t="str">
        <v>S2-00807-BH</v>
      </c>
      <c r="B514" s="2" t="str">
        <v>KH084</v>
      </c>
      <c r="C514" s="2" t="str">
        <v>2026-01-21</v>
      </c>
      <c r="D514" s="2" t="str">
        <v>BAN_HANG</v>
      </c>
      <c r="E514" s="2" t="str"/>
      <c r="F514" s="2" t="str">
        <v>00000028</v>
      </c>
      <c r="G514" s="2" t="str"/>
      <c r="H514" s="19" t="n">
        <v>7612000</v>
      </c>
      <c r="I514" s="20" t="str">
        <v>xuất bán CÔNG TY TNHH THƯƠNG MẠI THIẾT BỊ ĐIỆN CÔNG NGHIỆP VĨNH PHÚC向永福工业电气设备贸易有限责任公司销售产品</v>
      </c>
      <c r="J514" s="20" t="str">
        <v>Chuẩn hóa VND; gốc 7612000; phần lẻ 0.000000000000 đ</v>
      </c>
      <c r="K514" s="20" t="str">
        <v>2.xlsx | 订单!807-808</v>
      </c>
      <c r="L514" s="20" t="str"/>
    </row>
    <row r="515" ht="48" customHeight="1">
      <c r="A515" s="2" t="str">
        <v>S2-00809-BH</v>
      </c>
      <c r="B515" s="2" t="str">
        <v>KH084</v>
      </c>
      <c r="C515" s="2" t="str">
        <v>2026-01-21</v>
      </c>
      <c r="D515" s="2" t="str">
        <v>BAN_HANG</v>
      </c>
      <c r="E515" s="2" t="str"/>
      <c r="F515" s="2" t="str">
        <v>00000085</v>
      </c>
      <c r="G515" s="2" t="str"/>
      <c r="H515" s="19" t="n">
        <v>3680000</v>
      </c>
      <c r="I515" s="20" t="str">
        <v>xuất bán CÔNG TY TNHH THƯƠNG MẠI THIẾT BỊ ĐIỆN CÔNG NGHIỆP VĨNH PHÚC向永福工业电气设备贸易有限责任公司销售产品</v>
      </c>
      <c r="J515" s="20" t="str">
        <v>Chuẩn hóa VND; gốc 3680000; phần lẻ 0.000000000000 đ</v>
      </c>
      <c r="K515" s="20" t="str">
        <v>2.xlsx | 订单!809</v>
      </c>
      <c r="L515" s="20" t="str"/>
    </row>
    <row r="516" ht="48" customHeight="1">
      <c r="A516" s="2" t="str">
        <v>S2-00810-BH</v>
      </c>
      <c r="B516" s="2" t="str">
        <v>KH084</v>
      </c>
      <c r="C516" s="2" t="str">
        <v>2026-01-21</v>
      </c>
      <c r="D516" s="2" t="str">
        <v>BAN_HANG</v>
      </c>
      <c r="E516" s="2" t="str"/>
      <c r="F516" s="2" t="str">
        <v>00000090</v>
      </c>
      <c r="G516" s="2" t="str"/>
      <c r="H516" s="19" t="n">
        <v>3900000</v>
      </c>
      <c r="I516" s="20" t="str">
        <v>xuất bán CÔNG TY TNHH THƯƠNG MẠI THIẾT BỊ ĐIỆN CÔNG NGHIỆP VĨNH PHÚC向永福工业电气设备贸易有限责任公司销售产品</v>
      </c>
      <c r="J516" s="20" t="str">
        <v>Chuẩn hóa VND; gốc 3900000; phần lẻ 0.000000000000 đ</v>
      </c>
      <c r="K516" s="20" t="str">
        <v>2.xlsx | 订单!810</v>
      </c>
      <c r="L516" s="20" t="str"/>
    </row>
    <row r="517" ht="48" customHeight="1">
      <c r="A517" s="2" t="str">
        <v>S2-00811-BH</v>
      </c>
      <c r="B517" s="2" t="str">
        <v>KH084</v>
      </c>
      <c r="C517" s="2" t="str">
        <v>2026-01-21</v>
      </c>
      <c r="D517" s="2" t="str">
        <v>BAN_HANG</v>
      </c>
      <c r="E517" s="2" t="str"/>
      <c r="F517" s="2" t="str">
        <v>00000083</v>
      </c>
      <c r="G517" s="2" t="str"/>
      <c r="H517" s="19" t="n">
        <v>12671999</v>
      </c>
      <c r="I517" s="20" t="str">
        <v>xuất bán CÔNG TY TNHH THƯƠNG MẠI THIẾT BỊ ĐIỆN CÔNG NGHIỆP VĨNH PHÚC向永福工业电气设备贸易有限责任公司销售产品</v>
      </c>
      <c r="J517" s="20" t="str">
        <v>Chuẩn hóa VND; gốc 12671999; phần lẻ 0.000000000000 đ</v>
      </c>
      <c r="K517" s="20" t="str">
        <v>2.xlsx | 订单!811</v>
      </c>
      <c r="L517" s="20" t="str"/>
    </row>
    <row r="518" ht="48" customHeight="1">
      <c r="A518" s="2" t="str">
        <v>S2-00812-BH</v>
      </c>
      <c r="B518" s="2" t="str">
        <v>KH084</v>
      </c>
      <c r="C518" s="2" t="str">
        <v>2026-01-21</v>
      </c>
      <c r="D518" s="2" t="str">
        <v>BAN_HANG</v>
      </c>
      <c r="E518" s="2" t="str"/>
      <c r="F518" s="2" t="str">
        <v>00000103</v>
      </c>
      <c r="G518" s="2" t="str"/>
      <c r="H518" s="19" t="n">
        <v>3120000</v>
      </c>
      <c r="I518" s="20" t="str">
        <v>xuất bán CÔNG TY TNHH THƯƠNG MẠI THIẾT BỊ ĐIỆN CÔNG NGHIỆP VĨNH PHÚC向永福工业电气设备贸易有限责任公司销售产品</v>
      </c>
      <c r="J518" s="20" t="str">
        <v>Chuẩn hóa VND; gốc 3120000; phần lẻ 0.000000000000 đ</v>
      </c>
      <c r="K518" s="20" t="str">
        <v>2.xlsx | 订单!812</v>
      </c>
      <c r="L518" s="20" t="str"/>
    </row>
    <row r="519" ht="48" customHeight="1">
      <c r="A519" s="2" t="str">
        <v>S2-00814-BH</v>
      </c>
      <c r="B519" s="2" t="str">
        <v>KH084</v>
      </c>
      <c r="C519" s="2" t="str">
        <v>2026-01-30</v>
      </c>
      <c r="D519" s="2" t="str">
        <v>BAN_HANG</v>
      </c>
      <c r="E519" s="2" t="str"/>
      <c r="F519" s="2" t="str">
        <v>00000034</v>
      </c>
      <c r="G519" s="2" t="str"/>
      <c r="H519" s="19" t="n">
        <v>11418000</v>
      </c>
      <c r="I519" s="20" t="str">
        <v>xuất bán CÔNG TY TNHH THƯƠNG MẠI THIẾT BỊ ĐIỆN CÔNG NGHIỆP VĨNH PHÚC向永福工业电气设备贸易有限责任公司销售产品</v>
      </c>
      <c r="J519" s="20" t="str">
        <v>Chuẩn hóa VND; gốc 11418000; phần lẻ 0.000000000000 đ</v>
      </c>
      <c r="K519" s="20" t="str">
        <v>2.xlsx | 订单!814-815</v>
      </c>
      <c r="L519" s="20" t="str"/>
    </row>
    <row r="520" ht="48" customHeight="1">
      <c r="A520" s="2" t="str">
        <v>S2-00816-BH</v>
      </c>
      <c r="B520" s="2" t="str">
        <v>KH084</v>
      </c>
      <c r="C520" s="2" t="str">
        <v>2026-01-30</v>
      </c>
      <c r="D520" s="2" t="str">
        <v>BAN_HANG</v>
      </c>
      <c r="E520" s="2" t="str"/>
      <c r="F520" s="2" t="str">
        <v>00000064</v>
      </c>
      <c r="G520" s="2" t="str"/>
      <c r="H520" s="19" t="n">
        <v>17200000</v>
      </c>
      <c r="I520" s="20" t="str">
        <v>xuất bán CÔNG TY TNHH THƯƠNG MẠI THIẾT BỊ ĐIỆN CÔNG NGHIỆP VĨNH PHÚC向永福工业电气设备贸易有限责任公司销售产品</v>
      </c>
      <c r="J520" s="20" t="str">
        <v>Chuẩn hóa VND; gốc 17200000; phần lẻ 0.000000000000 đ</v>
      </c>
      <c r="K520" s="20" t="str">
        <v>2.xlsx | 订单!816-817</v>
      </c>
      <c r="L520" s="20" t="str"/>
    </row>
    <row r="521" ht="48" customHeight="1">
      <c r="A521" s="2" t="str">
        <v>S2-00818-BH</v>
      </c>
      <c r="B521" s="2" t="str">
        <v>KH084</v>
      </c>
      <c r="C521" s="2" t="str">
        <v>2026-01-30</v>
      </c>
      <c r="D521" s="2" t="str">
        <v>BAN_HANG</v>
      </c>
      <c r="E521" s="2" t="str"/>
      <c r="F521" s="2" t="str">
        <v>00000090</v>
      </c>
      <c r="G521" s="2" t="str"/>
      <c r="H521" s="19" t="n">
        <v>3900000</v>
      </c>
      <c r="I521" s="20" t="str">
        <v>xuất bán CÔNG TY TNHH THƯƠNG MẠI THIẾT BỊ ĐIỆN CÔNG NGHIỆP VĨNH PHÚC向永福工业电气设备贸易有限责任公司销售产品</v>
      </c>
      <c r="J521" s="20" t="str">
        <v>Chuẩn hóa VND; gốc 3900000.1; phần lẻ -0.100000000000 đ</v>
      </c>
      <c r="K521" s="20" t="str">
        <v>2.xlsx | 订单!818</v>
      </c>
      <c r="L521" s="20" t="str"/>
    </row>
    <row r="522" ht="48" customHeight="1">
      <c r="A522" s="2" t="str">
        <v>S2-00819-BH</v>
      </c>
      <c r="B522" s="2" t="str">
        <v>KH084</v>
      </c>
      <c r="C522" s="2" t="str">
        <v>2026-01-30</v>
      </c>
      <c r="D522" s="2" t="str">
        <v>BAN_HANG</v>
      </c>
      <c r="E522" s="2" t="str"/>
      <c r="F522" s="2" t="str">
        <v>00000103</v>
      </c>
      <c r="G522" s="2" t="str"/>
      <c r="H522" s="19" t="n">
        <v>3120000</v>
      </c>
      <c r="I522" s="20" t="str">
        <v>xuất bán CÔNG TY TNHH THƯƠNG MẠI THIẾT BỊ ĐIỆN CÔNG NGHIỆP VĨNH PHÚC向永福工业电气设备贸易有限责任公司销售产品</v>
      </c>
      <c r="J522" s="20" t="str">
        <v>Chuẩn hóa VND; gốc 3120000; phần lẻ 0.000000000000 đ</v>
      </c>
      <c r="K522" s="20" t="str">
        <v>2.xlsx | 订单!819</v>
      </c>
      <c r="L522" s="20" t="str"/>
    </row>
    <row r="523" ht="48" customHeight="1">
      <c r="A523" s="2" t="str">
        <v>S2-00821-TT</v>
      </c>
      <c r="B523" s="2" t="str">
        <v>KH084</v>
      </c>
      <c r="C523" s="2" t="str">
        <v>2026-01-30</v>
      </c>
      <c r="D523" s="2" t="str">
        <v>THU_TIEN</v>
      </c>
      <c r="E523" s="2" t="str"/>
      <c r="F523" s="2" t="str"/>
      <c r="G523" s="2" t="str"/>
      <c r="H523" s="19" t="n">
        <v>19030000</v>
      </c>
      <c r="I523" s="20" t="str">
        <v>Thu tiền khách hàng Chuyển khoản ngân hàng货款通过银行转账</v>
      </c>
      <c r="J523" s="20" t="str">
        <v>Chuẩn hóa VND; gốc 19030000; phần lẻ 0.000000000000 đ</v>
      </c>
      <c r="K523" s="20" t="str">
        <v>2.xlsx | 订单!821</v>
      </c>
      <c r="L523" s="20" t="str"/>
    </row>
    <row r="524" ht="48" customHeight="1">
      <c r="A524" s="2" t="str">
        <v>S2-00822-TT</v>
      </c>
      <c r="B524" s="2" t="str">
        <v>KH084</v>
      </c>
      <c r="C524" s="2" t="str">
        <v>2026-02-10</v>
      </c>
      <c r="D524" s="2" t="str">
        <v>THU_TIEN</v>
      </c>
      <c r="E524" s="2" t="str"/>
      <c r="F524" s="2" t="str"/>
      <c r="G524" s="2" t="str"/>
      <c r="H524" s="19" t="n">
        <v>17200000</v>
      </c>
      <c r="I524" s="20" t="str">
        <v>Thu tiền khách hàng Chuyển khoản ngân hàng货款通过银行转账</v>
      </c>
      <c r="J524" s="20" t="str">
        <v>Chuẩn hóa VND; gốc 17200000; phần lẻ 0.000000000000 đ</v>
      </c>
      <c r="K524" s="20" t="str">
        <v>2.xlsx | 订单!822</v>
      </c>
      <c r="L524" s="21" t="str">
        <v>Ngày 2026-10-02 sau mốc của khối nhập tay (≤ 2026-08-15) → đảo ngày/tháng thành 2026-02-10</v>
      </c>
    </row>
    <row r="525" ht="48" customHeight="1">
      <c r="A525" s="2" t="str">
        <v>S2-00823-BH</v>
      </c>
      <c r="B525" s="2" t="str">
        <v>KH084</v>
      </c>
      <c r="C525" s="2" t="str">
        <v>2026-02-26</v>
      </c>
      <c r="D525" s="2" t="str">
        <v>BAN_HANG</v>
      </c>
      <c r="E525" s="2" t="str"/>
      <c r="F525" s="2" t="str">
        <v>00000084</v>
      </c>
      <c r="G525" s="2" t="str"/>
      <c r="H525" s="19" t="n">
        <v>9996000</v>
      </c>
      <c r="I525" s="20" t="str">
        <v>xuất bán CÔNG TY TNHH THƯƠNG MẠI THIẾT BỊ ĐIỆN CÔNG NGHIỆP VĨNH PHÚC向永福工业电气设备贸易有限责任公司销售产品</v>
      </c>
      <c r="J525" s="20" t="str">
        <v>Chuẩn hóa VND; gốc 9996000; phần lẻ 0.000000000000 đ</v>
      </c>
      <c r="K525" s="20" t="str">
        <v>2.xlsx | 订单!823-825</v>
      </c>
      <c r="L525" s="20" t="str"/>
    </row>
    <row r="526" ht="48" customHeight="1">
      <c r="A526" s="2" t="str">
        <v>S2-00826-BH</v>
      </c>
      <c r="B526" s="2" t="str">
        <v>KH084</v>
      </c>
      <c r="C526" s="2" t="str">
        <v>2026-02-26</v>
      </c>
      <c r="D526" s="2" t="str">
        <v>BAN_HANG</v>
      </c>
      <c r="E526" s="2" t="str"/>
      <c r="F526" s="2" t="str">
        <v>00000103</v>
      </c>
      <c r="G526" s="2" t="str"/>
      <c r="H526" s="19" t="n">
        <v>3120000</v>
      </c>
      <c r="I526" s="20" t="str">
        <v>xuất bán CÔNG TY TNHH THƯƠNG MẠI THIẾT BỊ ĐIỆN CÔNG NGHIỆP VĨNH PHÚC向永福工业电气设备贸易有限责任公司销售产品</v>
      </c>
      <c r="J526" s="20" t="str">
        <v>Chuẩn hóa VND; gốc 3120000; phần lẻ 0.000000000000 đ</v>
      </c>
      <c r="K526" s="20" t="str">
        <v>2.xlsx | 订单!826</v>
      </c>
      <c r="L526" s="20" t="str"/>
    </row>
    <row r="527" ht="48" customHeight="1">
      <c r="A527" s="2" t="str">
        <v>S2-00827-BH</v>
      </c>
      <c r="B527" s="2" t="str">
        <v>KH084</v>
      </c>
      <c r="C527" s="2" t="str">
        <v>2026-02-26</v>
      </c>
      <c r="D527" s="2" t="str">
        <v>BAN_HANG</v>
      </c>
      <c r="E527" s="2" t="str"/>
      <c r="F527" s="2" t="str">
        <v>00000083</v>
      </c>
      <c r="G527" s="2" t="str"/>
      <c r="H527" s="19" t="n">
        <v>16940000</v>
      </c>
      <c r="I527" s="20" t="str">
        <v>xuất bán CÔNG TY TNHH THƯƠNG MẠI THIẾT BỊ ĐIỆN CÔNG NGHIỆP VĨNH PHÚC向永福工业电气设备贸易有限责任公司销售产品</v>
      </c>
      <c r="J527" s="20" t="str">
        <v>Chuẩn hóa VND; gốc 16940000; phần lẻ 0.000000000000 đ</v>
      </c>
      <c r="K527" s="20" t="str">
        <v>2.xlsx | 订单!827-829</v>
      </c>
      <c r="L527" s="20" t="str"/>
    </row>
    <row r="528" ht="48" customHeight="1">
      <c r="A528" s="2" t="str">
        <v>S2-00830-TT</v>
      </c>
      <c r="B528" s="2" t="str">
        <v>KH084</v>
      </c>
      <c r="C528" s="2" t="str">
        <v>2026-02-27</v>
      </c>
      <c r="D528" s="2" t="str">
        <v>THU_TIEN</v>
      </c>
      <c r="E528" s="2" t="str"/>
      <c r="F528" s="2" t="str"/>
      <c r="G528" s="2" t="str"/>
      <c r="H528" s="19" t="n">
        <v>29611999</v>
      </c>
      <c r="I528" s="20" t="str">
        <v>Thu tiền khách hàng Chuyển khoản ngân hàng货款通过银行转账</v>
      </c>
      <c r="J528" s="20" t="str">
        <v>Chuẩn hóa VND; gốc 29611999; phần lẻ 0.000000000000 đ</v>
      </c>
      <c r="K528" s="20" t="str">
        <v>2.xlsx | 订单!830</v>
      </c>
      <c r="L528" s="20" t="str"/>
    </row>
    <row r="529" ht="48" customHeight="1">
      <c r="A529" s="2" t="str">
        <v>S2-00831-TT</v>
      </c>
      <c r="B529" s="2" t="str">
        <v>KH084</v>
      </c>
      <c r="C529" s="2" t="str">
        <v>2026-02-28</v>
      </c>
      <c r="D529" s="2" t="str">
        <v>THU_TIEN</v>
      </c>
      <c r="E529" s="2" t="str"/>
      <c r="F529" s="2" t="str"/>
      <c r="G529" s="2" t="str"/>
      <c r="H529" s="19" t="n">
        <v>13676000</v>
      </c>
      <c r="I529" s="20" t="str">
        <v>Thu tiền khách hàng Chuyển khoản ngân hàng货款通过银行转账</v>
      </c>
      <c r="J529" s="20" t="str">
        <v>Chuẩn hóa VND; gốc 13676000; phần lẻ 0.000000000000 đ</v>
      </c>
      <c r="K529" s="20" t="str">
        <v>2.xlsx | 订单!831</v>
      </c>
      <c r="L529" s="20" t="str"/>
    </row>
    <row r="530" ht="48" customHeight="1">
      <c r="A530" s="2" t="str">
        <v>S2-00832-TT</v>
      </c>
      <c r="B530" s="2" t="str">
        <v>KH084</v>
      </c>
      <c r="C530" s="2" t="str">
        <v>2026-04-09</v>
      </c>
      <c r="D530" s="2" t="str">
        <v>THU_TIEN</v>
      </c>
      <c r="E530" s="2" t="str"/>
      <c r="F530" s="2" t="str"/>
      <c r="G530" s="2" t="str"/>
      <c r="H530" s="19" t="n">
        <v>17160000</v>
      </c>
      <c r="I530" s="20" t="str">
        <v>Thu tiền khách hàng Chuyển khoản ngân hàng货款通过银行转账</v>
      </c>
      <c r="J530" s="20" t="str">
        <v>Chuẩn hóa VND; gốc 17160000; phần lẻ 0.000000000000 đ</v>
      </c>
      <c r="K530" s="20" t="str">
        <v>2.xlsx | 订单!832</v>
      </c>
      <c r="L530" s="21" t="str">
        <v>Ngày 2026-09-04 sau mốc của khối nhập tay (≤ 2026-08-15) → đảo ngày/tháng thành 2026-04-09</v>
      </c>
    </row>
    <row r="531" ht="48" customHeight="1">
      <c r="A531" s="2" t="str">
        <v>S2-00833-BH</v>
      </c>
      <c r="B531" s="2" t="str">
        <v>KH084</v>
      </c>
      <c r="C531" s="2" t="str">
        <v>2026-06-18</v>
      </c>
      <c r="D531" s="2" t="str">
        <v>BAN_HANG</v>
      </c>
      <c r="E531" s="2" t="str"/>
      <c r="F531" s="2" t="str">
        <v>00000179</v>
      </c>
      <c r="G531" s="2" t="str"/>
      <c r="H531" s="19" t="n">
        <v>26394000</v>
      </c>
      <c r="I531" s="20" t="str">
        <v>xuất bán CÔNG TY TNHH THƯƠNG MẠI THIẾT BỊ ĐIỆN CÔNG NGHIỆP VĨNH PHÚC向永福工业电气设备贸易有限责任公司销售产品</v>
      </c>
      <c r="J531" s="20" t="str">
        <v>Chuẩn hóa VND; gốc 26394000; phần lẻ 0.000000000000 đ</v>
      </c>
      <c r="K531" s="20" t="str">
        <v>2.xlsx | 订单!833-836</v>
      </c>
      <c r="L531" s="20" t="str"/>
    </row>
    <row r="532" ht="48" customHeight="1">
      <c r="A532" s="2" t="str">
        <v>S2-00837-BH</v>
      </c>
      <c r="B532" s="2" t="str">
        <v>KH084</v>
      </c>
      <c r="C532" s="2" t="str">
        <v>2026-06-18</v>
      </c>
      <c r="D532" s="2" t="str">
        <v>BAN_HANG</v>
      </c>
      <c r="E532" s="2" t="str"/>
      <c r="F532" s="2" t="str">
        <v>00000239</v>
      </c>
      <c r="G532" s="2" t="str"/>
      <c r="H532" s="19" t="n">
        <v>8900000</v>
      </c>
      <c r="I532" s="20" t="str">
        <v>xuất bán CÔNG TY TNHH THƯƠNG MẠI THIẾT BỊ ĐIỆN CÔNG NGHIỆP VĨNH PHÚC向永福工业电气设备贸易有限责任公司销售产品</v>
      </c>
      <c r="J532" s="20" t="str">
        <v>Chuẩn hóa VND; gốc 8900000; phần lẻ 0.000000000000 đ</v>
      </c>
      <c r="K532" s="20" t="str">
        <v>2.xlsx | 订单!837</v>
      </c>
      <c r="L532" s="20" t="str"/>
    </row>
    <row r="533" ht="48" customHeight="1">
      <c r="A533" s="2" t="str">
        <v>S2-00838-TT</v>
      </c>
      <c r="B533" s="2" t="str">
        <v>KH084</v>
      </c>
      <c r="C533" s="2" t="str">
        <v>2026-06-22</v>
      </c>
      <c r="D533" s="2" t="str">
        <v>THU_TIEN</v>
      </c>
      <c r="E533" s="2" t="str"/>
      <c r="F533" s="2" t="str"/>
      <c r="G533" s="2" t="str"/>
      <c r="H533" s="19" t="n">
        <v>26394001</v>
      </c>
      <c r="I533" s="20" t="str">
        <v>Thu tiền khách hàng Chuyển khoản ngân hàng货款通过银行转账</v>
      </c>
      <c r="J533" s="20" t="str">
        <v>Chuẩn hóa VND; gốc 26394001; phần lẻ 0.000000000000 đ</v>
      </c>
      <c r="K533" s="20" t="str">
        <v>2.xlsx | 订单!838</v>
      </c>
      <c r="L533" s="20" t="str"/>
    </row>
    <row r="534" ht="48" customHeight="1">
      <c r="A534" s="2" t="str">
        <v>S2-00839-TT</v>
      </c>
      <c r="B534" s="2" t="str">
        <v>KH084</v>
      </c>
      <c r="C534" s="2" t="str">
        <v>2026-07-27</v>
      </c>
      <c r="D534" s="2" t="str">
        <v>THU_TIEN</v>
      </c>
      <c r="E534" s="2" t="str"/>
      <c r="F534" s="2" t="str"/>
      <c r="G534" s="2" t="str"/>
      <c r="H534" s="19" t="n">
        <v>8900000</v>
      </c>
      <c r="I534" s="20" t="str">
        <v>Thu tiền khách hàng Chuyển khoản ngân hàng货款通过银行转账</v>
      </c>
      <c r="J534" s="20" t="str">
        <v>Chuẩn hóa VND; gốc 8900000; phần lẻ 0.000000000000 đ</v>
      </c>
      <c r="K534" s="20" t="str">
        <v>2.xlsx | 订单!839</v>
      </c>
      <c r="L534" s="20" t="str"/>
    </row>
    <row r="535" ht="48" customHeight="1">
      <c r="A535" s="2" t="str">
        <v>S2-01194-BH</v>
      </c>
      <c r="B535" s="2" t="str">
        <v>KH084</v>
      </c>
      <c r="C535" s="2" t="str">
        <v>2026-08-11</v>
      </c>
      <c r="D535" s="2" t="str">
        <v>BAN_HANG</v>
      </c>
      <c r="E535" s="2" t="str">
        <v>BH017/0826</v>
      </c>
      <c r="F535" s="2" t="str">
        <v>00000269</v>
      </c>
      <c r="G535" s="2" t="str"/>
      <c r="H535" s="19" t="n">
        <v>22830000</v>
      </c>
      <c r="I535" s="20" t="str">
        <v>xuất bán CÔNG TY TNHH THƯƠNG MẠI THIẾT BỊ ĐIỆN CÔNG NGHIỆP VĨNH PHÚC向永福工业电气设备贸易有限责任公司销售产品</v>
      </c>
      <c r="J535" s="20" t="str">
        <v>Chuẩn hóa VND; gốc 22829999.9256; phần lẻ 0.074400000000 đ</v>
      </c>
      <c r="K535" s="20" t="str">
        <v>2.xlsx | 订单!1194-1197,1201-1202</v>
      </c>
      <c r="L535" s="20" t="str"/>
    </row>
    <row r="536" ht="48" customHeight="1">
      <c r="A536" s="2" t="str">
        <v>S2-01198-BH</v>
      </c>
      <c r="B536" s="2" t="str">
        <v>KH084</v>
      </c>
      <c r="C536" s="2" t="str">
        <v>2026-08-11</v>
      </c>
      <c r="D536" s="2" t="str">
        <v>BAN_HANG</v>
      </c>
      <c r="E536" s="2" t="str">
        <v>BH017/0826</v>
      </c>
      <c r="F536" s="2" t="str"/>
      <c r="G536" s="2" t="str"/>
      <c r="H536" s="19" t="n">
        <v>30210000</v>
      </c>
      <c r="I536" s="20" t="str">
        <v>xuất bán CÔNG TY TNHH THƯƠNG MẠI THIẾT BỊ ĐIỆN CÔNG NGHIỆP VĨNH PHÚC向永福工业电气设备贸易有限责任公司销售产品</v>
      </c>
      <c r="J536" s="20" t="str">
        <v>Chuẩn hóa VND; gốc 30209999.9868; phần lẻ 0.013200000000 đ</v>
      </c>
      <c r="K536" s="20" t="str">
        <v>2.xlsx | 订单!1198-1200</v>
      </c>
      <c r="L536" s="20" t="str"/>
    </row>
    <row r="537" ht="48" customHeight="1">
      <c r="A537" s="2" t="str">
        <v>S2-01268-TT</v>
      </c>
      <c r="B537" s="2" t="str">
        <v>KH084</v>
      </c>
      <c r="C537" s="2" t="str">
        <v>2026-08-14</v>
      </c>
      <c r="D537" s="2" t="str">
        <v>THU_TIEN</v>
      </c>
      <c r="E537" s="2" t="str"/>
      <c r="F537" s="2" t="str"/>
      <c r="G537" s="2" t="str"/>
      <c r="H537" s="19" t="n">
        <v>22830000</v>
      </c>
      <c r="I537" s="20" t="str">
        <v>Thu tiền khách hàng Chuyển khoản ngân hàng货款通过银行转账</v>
      </c>
      <c r="J537" s="20" t="str">
        <v>Chuẩn hóa VND; gốc 22830000; phần lẻ 0.000000000000 đ</v>
      </c>
      <c r="K537" s="20" t="str">
        <v>2.xlsx | 订单!1268</v>
      </c>
      <c r="L537" s="20" t="str"/>
    </row>
    <row r="538" ht="48" customHeight="1">
      <c r="A538" s="2" t="str">
        <v>S2-01319-BH</v>
      </c>
      <c r="B538" s="2" t="str">
        <v>KH084</v>
      </c>
      <c r="C538" s="2" t="str">
        <v>2026-08-20</v>
      </c>
      <c r="D538" s="2" t="str">
        <v>BAN_HANG</v>
      </c>
      <c r="E538" s="2" t="str">
        <v>BH2026080016</v>
      </c>
      <c r="F538" s="2" t="str">
        <v>00000330, 00000284</v>
      </c>
      <c r="G538" s="2" t="str"/>
      <c r="H538" s="19" t="n">
        <v>15480000</v>
      </c>
      <c r="I538" s="20" t="str">
        <v>xuất bán CÔNG TY TNHH THƯƠNG MẠI THIẾT BỊ ĐIỆN CÔNG NGHIỆP VĨNH PHÚC向永福工业电气设备贸易有限责任公司销售产品</v>
      </c>
      <c r="J538" s="20" t="str">
        <v>Chuẩn hóa VND; gốc 15479999.9748; phần lẻ 0.025200000000 đ</v>
      </c>
      <c r="K538" s="20" t="str">
        <v>2.xlsx | 订单!1319-1320</v>
      </c>
      <c r="L538" s="20" t="str"/>
    </row>
    <row r="539" ht="48" customHeight="1">
      <c r="A539" s="2" t="str">
        <v>S2-01394-TT</v>
      </c>
      <c r="B539" s="2" t="str">
        <v>KH084</v>
      </c>
      <c r="C539" s="2" t="str">
        <v>2026-08-25</v>
      </c>
      <c r="D539" s="2" t="str">
        <v>THU_TIEN</v>
      </c>
      <c r="E539" s="2" t="str"/>
      <c r="F539" s="2" t="str"/>
      <c r="G539" s="2" t="str"/>
      <c r="H539" s="19" t="n">
        <v>5280000</v>
      </c>
      <c r="I539" s="20" t="str">
        <v>Thu tiền khách hàng Chuyển khoản ngân hàng货款通过银行转账</v>
      </c>
      <c r="J539" s="20" t="str">
        <v>Chuẩn hóa VND; gốc 5280000; phần lẻ 0.000000000000 đ</v>
      </c>
      <c r="K539" s="20" t="str">
        <v>2.xlsx | 订单!1394</v>
      </c>
      <c r="L539" s="20" t="str"/>
    </row>
    <row r="540" ht="48" customHeight="1">
      <c r="A540" s="2" t="str">
        <v>S2-01442-BH</v>
      </c>
      <c r="B540" s="2" t="str">
        <v>KH084</v>
      </c>
      <c r="C540" s="2" t="str">
        <v>2026-08-28</v>
      </c>
      <c r="D540" s="2" t="str">
        <v>BAN_HANG</v>
      </c>
      <c r="E540" s="2" t="str">
        <v>BH2026080031</v>
      </c>
      <c r="F540" s="2" t="str">
        <v>00000330, 00000295</v>
      </c>
      <c r="G540" s="2" t="str"/>
      <c r="H540" s="19" t="n">
        <v>18414000</v>
      </c>
      <c r="I540" s="20" t="str">
        <v>xuất bán CÔNG TY TNHH THƯƠNG MẠI THIẾT BỊ ĐIỆN CÔNG NGHIỆP VĨNH PHÚC向永福工业电气设备贸易有限责任公司销售产品</v>
      </c>
      <c r="J540" s="20" t="str">
        <v>Chuẩn hóa VND; gốc 18413999.8488; phần lẻ 0.151200000000 đ</v>
      </c>
      <c r="K540" s="20" t="str">
        <v>2.xlsx | 订单!1442-1444</v>
      </c>
      <c r="L540" s="20" t="str"/>
    </row>
    <row r="541" ht="48" customHeight="1">
      <c r="A541" s="2" t="str">
        <v>S2-01809-TT</v>
      </c>
      <c r="B541" s="2" t="str">
        <v>KH084</v>
      </c>
      <c r="C541" s="2" t="str">
        <v>2026-09-10</v>
      </c>
      <c r="D541" s="2" t="str">
        <v>THU_TIEN</v>
      </c>
      <c r="E541" s="2" t="str"/>
      <c r="F541" s="2" t="str"/>
      <c r="G541" s="2" t="str"/>
      <c r="H541" s="19" t="n">
        <v>7164000</v>
      </c>
      <c r="I541" s="20" t="str">
        <v>Thu tiền khách hàng Chuyển khoản ngân hàng货款通过银行转账</v>
      </c>
      <c r="J541" s="20" t="str">
        <v>Chuẩn hóa VND; gốc 7164000; phần lẻ 0.000000000000 đ</v>
      </c>
      <c r="K541" s="20" t="str">
        <v>2.xlsx | 订单!1809</v>
      </c>
      <c r="L541" s="20" t="str"/>
    </row>
    <row r="542" ht="48" customHeight="1">
      <c r="A542" s="2" t="str">
        <v>S2-01810-BH</v>
      </c>
      <c r="B542" s="2" t="str">
        <v>KH084</v>
      </c>
      <c r="C542" s="2" t="str">
        <v>2026-09-18</v>
      </c>
      <c r="D542" s="2" t="str">
        <v>BAN_HANG</v>
      </c>
      <c r="E542" s="2" t="str">
        <v>BH2026090079</v>
      </c>
      <c r="F542" s="2" t="str">
        <v>00000330</v>
      </c>
      <c r="G542" s="2" t="str"/>
      <c r="H542" s="19" t="n">
        <v>57414000</v>
      </c>
      <c r="I542" s="20" t="str">
        <v>xuất bán CÔNG TY TNHH THƯƠNG MẠI THIẾT BỊ ĐIỆN CÔNG NGHIỆP VĨNH PHÚC向永福工业电气设备贸易有限责任公司销售产品</v>
      </c>
      <c r="J542" s="20" t="str">
        <v>Chuẩn hóa VND; gốc 57414000.0636; phần lẻ -0.063600000000 đ</v>
      </c>
      <c r="K542" s="20" t="str">
        <v>2.xlsx | 订单!1810-1816</v>
      </c>
      <c r="L542" s="20" t="str"/>
    </row>
    <row r="543" ht="48" customHeight="1">
      <c r="A543" s="2" t="str">
        <v>S2-02000-TT</v>
      </c>
      <c r="B543" s="2" t="str">
        <v>KH084</v>
      </c>
      <c r="C543" s="2" t="str">
        <v>2026-10-02</v>
      </c>
      <c r="D543" s="2" t="str">
        <v>THU_TIEN</v>
      </c>
      <c r="E543" s="2" t="str"/>
      <c r="F543" s="2" t="str"/>
      <c r="G543" s="2" t="str"/>
      <c r="H543" s="19" t="n">
        <v>64350000</v>
      </c>
      <c r="I543" s="20" t="str">
        <v>Thu tiền khách hàng Chuyển khoản ngân hàng货款通过银行转账</v>
      </c>
      <c r="J543" s="20" t="str">
        <v>Chuẩn hóa VND; gốc 64350000; phần lẻ 0.000000000000 đ</v>
      </c>
      <c r="K543" s="20" t="str">
        <v>2.xlsx | 订单!2000</v>
      </c>
      <c r="L543" s="20" t="str"/>
    </row>
    <row r="544" ht="48" customHeight="1">
      <c r="A544" s="2" t="str">
        <v>S2-00153-VC</v>
      </c>
      <c r="B544" s="2" t="str">
        <v>KH086</v>
      </c>
      <c r="C544" s="2" t="str">
        <v>2026-01-04</v>
      </c>
      <c r="D544" s="2" t="str">
        <v>PHI_VAN_CHUYEN</v>
      </c>
      <c r="E544" s="2" t="str"/>
      <c r="F544" s="2" t="str"/>
      <c r="G544" s="2" t="str"/>
      <c r="H544" s="19" t="n">
        <v>757230</v>
      </c>
      <c r="I544" s="20" t="str">
        <v>NPP thanh toán cước xe(1% đơn 30/03/2026)</v>
      </c>
      <c r="J544" s="20" t="str">
        <v>Chuẩn hóa VND; gốc 757230.000228; phần lẻ -0.000228000000 đ</v>
      </c>
      <c r="K544" s="20" t="str">
        <v>2.xlsx | 订单!153</v>
      </c>
      <c r="L544" s="20" t="str"/>
    </row>
    <row r="545" ht="48" customHeight="1">
      <c r="A545" s="2" t="str">
        <v>S2-00154-TT</v>
      </c>
      <c r="B545" s="2" t="str">
        <v>KH086</v>
      </c>
      <c r="C545" s="2" t="str">
        <v>2026-03-04</v>
      </c>
      <c r="D545" s="2" t="str">
        <v>THU_TIEN</v>
      </c>
      <c r="E545" s="2" t="str"/>
      <c r="F545" s="2" t="str"/>
      <c r="G545" s="2" t="str"/>
      <c r="H545" s="19" t="n">
        <v>40000000</v>
      </c>
      <c r="I545" s="20" t="str">
        <v>Thu tiền khách hàng Chuyển khoản ngân hàng货款通过银行转账</v>
      </c>
      <c r="J545" s="20" t="str">
        <v>Chuẩn hóa VND; gốc 40000000; phần lẻ 0.000000000000 đ</v>
      </c>
      <c r="K545" s="20" t="str">
        <v>2.xlsx | 订单!154</v>
      </c>
      <c r="L545" s="20" t="str"/>
    </row>
    <row r="546" ht="48" customHeight="1">
      <c r="A546" s="2" t="str">
        <v>S2-00134-BH</v>
      </c>
      <c r="B546" s="2" t="str">
        <v>KH086</v>
      </c>
      <c r="C546" s="2" t="str">
        <v>2026-03-30</v>
      </c>
      <c r="D546" s="2" t="str">
        <v>BAN_HANG</v>
      </c>
      <c r="E546" s="2" t="str"/>
      <c r="F546" s="2" t="str">
        <v>00000106</v>
      </c>
      <c r="G546" s="2" t="str"/>
      <c r="H546" s="19" t="n">
        <v>70983000</v>
      </c>
      <c r="I546" s="20" t="str">
        <v>Xuất bán cho Vương Tuyết Mai 销售给王雪梅</v>
      </c>
      <c r="J546" s="20" t="str">
        <v>Chuẩn hóa VND; gốc 70983000.0324; phần lẻ -0.032400000000 đ</v>
      </c>
      <c r="K546" s="20" t="str">
        <v>2.xlsx | 订单!134-151</v>
      </c>
      <c r="L546" s="20" t="str"/>
    </row>
    <row r="547" ht="48" customHeight="1">
      <c r="A547" s="2" t="str">
        <v>S2-00152-BH</v>
      </c>
      <c r="B547" s="2" t="str">
        <v>KH086</v>
      </c>
      <c r="C547" s="2" t="str">
        <v>2026-03-30</v>
      </c>
      <c r="D547" s="2" t="str">
        <v>BAN_HANG</v>
      </c>
      <c r="E547" s="2" t="str"/>
      <c r="F547" s="2" t="str"/>
      <c r="G547" s="2" t="str"/>
      <c r="H547" s="19" t="n">
        <v>4740000</v>
      </c>
      <c r="I547" s="20" t="str">
        <v>Xuất bán cho Vương Tuyết Mai 销售给王雪梅</v>
      </c>
      <c r="J547" s="20" t="str">
        <v>Chuẩn hóa VND; gốc 4739999.9904; phần lẻ 0.009600000000 đ</v>
      </c>
      <c r="K547" s="20" t="str">
        <v>2.xlsx | 订单!152</v>
      </c>
      <c r="L547" s="20" t="str"/>
    </row>
    <row r="548" ht="48" customHeight="1">
      <c r="A548" s="2" t="str">
        <v>S2-00155-BH</v>
      </c>
      <c r="B548" s="2" t="str">
        <v>KH086</v>
      </c>
      <c r="C548" s="2" t="str">
        <v>2026-06-04</v>
      </c>
      <c r="D548" s="2" t="str">
        <v>BAN_HANG</v>
      </c>
      <c r="E548" s="2" t="str"/>
      <c r="F548" s="2" t="str">
        <v>00000203</v>
      </c>
      <c r="G548" s="2" t="str"/>
      <c r="H548" s="19" t="n">
        <v>13849995</v>
      </c>
      <c r="I548" s="20" t="str">
        <v>Xuất bán cho Vương Tuyết Mai 销售给王雪梅</v>
      </c>
      <c r="J548" s="20" t="str">
        <v>Chuẩn hóa VND; gốc 13849995.6; phần lẻ -0.600000000000 đ</v>
      </c>
      <c r="K548" s="20" t="str">
        <v>2.xlsx | 订单!155-156</v>
      </c>
      <c r="L548" s="20" t="str"/>
    </row>
    <row r="549" ht="48" customHeight="1">
      <c r="A549" s="2" t="str">
        <v>S2-00157-BH</v>
      </c>
      <c r="B549" s="2" t="str">
        <v>KH086</v>
      </c>
      <c r="C549" s="2" t="str">
        <v>2026-06-25</v>
      </c>
      <c r="D549" s="2" t="str">
        <v>BAN_HANG</v>
      </c>
      <c r="E549" s="2" t="str"/>
      <c r="F549" s="2" t="str">
        <v>00000249</v>
      </c>
      <c r="G549" s="2" t="str"/>
      <c r="H549" s="19" t="n">
        <v>18600000</v>
      </c>
      <c r="I549" s="20" t="str">
        <v>Xuất bán cho Vương Tuyết Mai 销售给王雪梅</v>
      </c>
      <c r="J549" s="20" t="str">
        <v>Chuẩn hóa VND; gốc 18599999.868; phần lẻ 0.132000000000 đ</v>
      </c>
      <c r="K549" s="20" t="str">
        <v>2.xlsx | 订单!157-158</v>
      </c>
      <c r="L549" s="20" t="str"/>
    </row>
    <row r="550" ht="48" customHeight="1">
      <c r="A550" s="2" t="str">
        <v>S2-00159-TT</v>
      </c>
      <c r="B550" s="2" t="str">
        <v>KH086</v>
      </c>
      <c r="C550" s="2" t="str">
        <v>2026-07-14</v>
      </c>
      <c r="D550" s="2" t="str">
        <v>THU_TIEN</v>
      </c>
      <c r="E550" s="2" t="str"/>
      <c r="F550" s="2" t="str"/>
      <c r="G550" s="2" t="str"/>
      <c r="H550" s="19" t="n">
        <v>30000000</v>
      </c>
      <c r="I550" s="20" t="str">
        <v>Thu tiền khách hàng Chuyển khoản ngân hàng货款通过银行转账</v>
      </c>
      <c r="J550" s="20" t="str">
        <v>Chuẩn hóa VND; gốc 30000000; phần lẻ 0.000000000000 đ</v>
      </c>
      <c r="K550" s="20" t="str">
        <v>2.xlsx | 订单!159</v>
      </c>
      <c r="L550" s="20" t="str"/>
    </row>
    <row r="551" ht="48" customHeight="1">
      <c r="A551" s="2" t="str">
        <v>S2-01685-BH</v>
      </c>
      <c r="B551" s="2" t="str">
        <v>KH086</v>
      </c>
      <c r="C551" s="2" t="str">
        <v>2026-09-12</v>
      </c>
      <c r="D551" s="2" t="str">
        <v>BAN_HANG</v>
      </c>
      <c r="E551" s="2" t="str">
        <v>BH2026090066</v>
      </c>
      <c r="F551" s="2" t="str">
        <v>00000350</v>
      </c>
      <c r="G551" s="2" t="str"/>
      <c r="H551" s="19" t="n">
        <v>25650000</v>
      </c>
      <c r="I551" s="20" t="str">
        <v>Xuất bán cho Vương Tuyết Mai 销售给王雪梅</v>
      </c>
      <c r="J551" s="20" t="str">
        <v>Chuẩn hóa VND; gốc 25649999.946; phần lẻ 0.054000000000 đ</v>
      </c>
      <c r="K551" s="20" t="str">
        <v>2.xlsx | 订单!1685-1687</v>
      </c>
      <c r="L551" s="20" t="str"/>
    </row>
    <row r="552" ht="48" customHeight="1">
      <c r="A552" s="2" t="str">
        <v>S2-01737-TH</v>
      </c>
      <c r="B552" s="2" t="str">
        <v>KH086</v>
      </c>
      <c r="C552" s="2" t="str">
        <v>2026-09-15</v>
      </c>
      <c r="D552" s="2" t="str">
        <v>TRA_HANG</v>
      </c>
      <c r="E552" s="2" t="str">
        <v>NK2026090017</v>
      </c>
      <c r="F552" s="2" t="str"/>
      <c r="G552" s="2" t="str"/>
      <c r="H552" s="19" t="n">
        <v>30632996</v>
      </c>
      <c r="I552" s="20" t="str">
        <v>Trả lại hàng bán退货</v>
      </c>
      <c r="J552" s="20" t="str">
        <v>Chuẩn hóa VND; gốc 30632996.3508; phần lẻ -0.350800000000 đ</v>
      </c>
      <c r="K552" s="20" t="str">
        <v>2.xlsx | 订单!1737-1741</v>
      </c>
      <c r="L552" s="20" t="str"/>
    </row>
    <row r="553" ht="48" customHeight="1">
      <c r="A553" s="2" t="str">
        <v>S2-01296-BH</v>
      </c>
      <c r="B553" s="2" t="str">
        <v>KH088</v>
      </c>
      <c r="C553" s="2" t="str">
        <v>2026-08-18</v>
      </c>
      <c r="D553" s="2" t="str">
        <v>BAN_HANG</v>
      </c>
      <c r="E553" s="2" t="str">
        <v>BH2026080015</v>
      </c>
      <c r="F553" s="2" t="str">
        <v>00000277, 00000329</v>
      </c>
      <c r="G553" s="2" t="str"/>
      <c r="H553" s="19" t="n">
        <v>72716000</v>
      </c>
      <c r="I553" s="20" t="str">
        <v>xuất bán cho CÔNG TY TNHH THƯƠNG MẠI &amp; DỊCH VỤ SƠN HIỀN SL销售给山贤SL贸易服务有限责任公司</v>
      </c>
      <c r="J553" s="20" t="str">
        <v>Chuẩn hóa VND; gốc 72715999.7304; phần lẻ 0.269600000000 đ</v>
      </c>
      <c r="K553" s="20" t="str">
        <v>2.xlsx | 订单!1296-1316</v>
      </c>
      <c r="L553" s="20" t="str"/>
    </row>
    <row r="554" ht="48" customHeight="1">
      <c r="A554" s="2" t="str">
        <v>S2-01349-TT</v>
      </c>
      <c r="B554" s="2" t="str">
        <v>KH088</v>
      </c>
      <c r="C554" s="2" t="str">
        <v>2026-08-24</v>
      </c>
      <c r="D554" s="2" t="str">
        <v>THU_TIEN</v>
      </c>
      <c r="E554" s="2" t="str"/>
      <c r="F554" s="2" t="str"/>
      <c r="G554" s="2" t="str"/>
      <c r="H554" s="19" t="n">
        <v>45466002</v>
      </c>
      <c r="I554" s="20" t="str">
        <v>Thu tiền khách hàng Chuyển khoản ngân hàng货款通过银行转账</v>
      </c>
      <c r="J554" s="20" t="str">
        <v>Chuẩn hóa VND; gốc 45466002; phần lẻ 0.000000000000 đ</v>
      </c>
      <c r="K554" s="20" t="str">
        <v>2.xlsx | 订单!1349</v>
      </c>
      <c r="L554" s="20" t="str"/>
    </row>
    <row r="555" ht="48" customHeight="1">
      <c r="A555" s="2" t="str">
        <v>S2-01417-BH</v>
      </c>
      <c r="B555" s="2" t="str">
        <v>KH088</v>
      </c>
      <c r="C555" s="2" t="str">
        <v>2026-08-27</v>
      </c>
      <c r="D555" s="2" t="str">
        <v>BAN_HANG</v>
      </c>
      <c r="E555" s="2" t="str">
        <v>BH2026080029</v>
      </c>
      <c r="F555" s="2" t="str">
        <v>00000329, 00000292</v>
      </c>
      <c r="G555" s="2" t="str"/>
      <c r="H555" s="19" t="n">
        <v>83657999</v>
      </c>
      <c r="I555" s="20" t="str">
        <v>xuất bán cho CÔNG TY TNHH THƯƠNG MẠI &amp; DỊCH VỤ SƠN HIỀN SL销售给山贤SL贸易服务有限责任公司</v>
      </c>
      <c r="J555" s="20" t="str">
        <v>Chuẩn hóa VND; gốc 83657999.6208; phần lẻ -0.620800000000 đ</v>
      </c>
      <c r="K555" s="20" t="str">
        <v>2.xlsx | 订单!1417-1432</v>
      </c>
      <c r="L555" s="20" t="str"/>
    </row>
    <row r="556" ht="48" customHeight="1">
      <c r="A556" s="2" t="str">
        <v>S2-01967-TT</v>
      </c>
      <c r="B556" s="2" t="str">
        <v>KH088</v>
      </c>
      <c r="C556" s="2" t="str">
        <v>2026-09-10</v>
      </c>
      <c r="D556" s="2" t="str">
        <v>THU_TIEN</v>
      </c>
      <c r="E556" s="2" t="str"/>
      <c r="F556" s="2" t="str"/>
      <c r="G556" s="2" t="str"/>
      <c r="H556" s="19" t="n">
        <v>38778000</v>
      </c>
      <c r="I556" s="20" t="str">
        <v>Thu tiền khách hàng Chuyển khoản ngân hàng货款通过银行转账</v>
      </c>
      <c r="J556" s="20" t="str">
        <v>Chuẩn hóa VND; gốc 38778000; phần lẻ 0.000000000000 đ</v>
      </c>
      <c r="K556" s="20" t="str">
        <v>2.xlsx | 订单!1967</v>
      </c>
      <c r="L556" s="20" t="str"/>
    </row>
    <row r="557" ht="48" customHeight="1">
      <c r="A557" s="2" t="str">
        <v>S2-01206-BH</v>
      </c>
      <c r="B557" s="2" t="str">
        <v>KH089</v>
      </c>
      <c r="C557" s="2" t="str">
        <v>2026-08-11</v>
      </c>
      <c r="D557" s="2" t="str">
        <v>BAN_HANG</v>
      </c>
      <c r="E557" s="2" t="str">
        <v>BH018/0826</v>
      </c>
      <c r="F557" s="2" t="str">
        <v>00000002</v>
      </c>
      <c r="G557" s="2" t="str"/>
      <c r="H557" s="19" t="n">
        <v>1730000</v>
      </c>
      <c r="I557" s="20" t="str">
        <v>xuất bán Nguyễn Văn Y阮文义销售产品</v>
      </c>
      <c r="J557" s="20" t="str">
        <v>Chuẩn hóa VND; gốc 1729999.998; phần lẻ 0.002000000000 đ</v>
      </c>
      <c r="K557" s="20" t="str">
        <v>2.xlsx | 订单!1206-1207</v>
      </c>
      <c r="L557" s="20" t="str"/>
    </row>
    <row r="558" ht="48" customHeight="1">
      <c r="A558" s="2" t="str">
        <v>S2-01223-TT</v>
      </c>
      <c r="B558" s="2" t="str">
        <v>KH089</v>
      </c>
      <c r="C558" s="2" t="str">
        <v>2026-08-12</v>
      </c>
      <c r="D558" s="2" t="str">
        <v>THU_TIEN</v>
      </c>
      <c r="E558" s="2" t="str"/>
      <c r="F558" s="2" t="str"/>
      <c r="G558" s="2" t="str"/>
      <c r="H558" s="19" t="n">
        <v>1730000</v>
      </c>
      <c r="I558" s="20" t="str">
        <v>Thu tiền khách hàng Chuyển khoản ngân hàng货款通过银行转账</v>
      </c>
      <c r="J558" s="20" t="str">
        <v>Chuẩn hóa VND; gốc 1730000; phần lẻ 0.000000000000 đ</v>
      </c>
      <c r="K558" s="20" t="str">
        <v>2.xlsx | 订单!1223</v>
      </c>
      <c r="L558" s="20" t="str"/>
    </row>
    <row r="559" ht="48" customHeight="1">
      <c r="A559" s="2" t="str">
        <v>S2-01395-BH</v>
      </c>
      <c r="B559" s="2" t="str">
        <v>KH089</v>
      </c>
      <c r="C559" s="2" t="str">
        <v>2026-08-26</v>
      </c>
      <c r="D559" s="2" t="str">
        <v>BAN_HANG</v>
      </c>
      <c r="E559" s="2" t="str">
        <v>BH2026080026</v>
      </c>
      <c r="F559" s="2" t="str"/>
      <c r="G559" s="2" t="str"/>
      <c r="H559" s="19" t="n">
        <v>430000</v>
      </c>
      <c r="I559" s="20" t="str">
        <v>xuất bán Nguyễn Văn Y阮文义销售产品</v>
      </c>
      <c r="J559" s="20" t="str">
        <v>Chuẩn hóa VND; gốc 430000.002; phần lẻ -0.002000000000 đ</v>
      </c>
      <c r="K559" s="20" t="str">
        <v>2.xlsx | 订单!1395</v>
      </c>
      <c r="L559" s="20" t="str"/>
    </row>
    <row r="560" ht="48" customHeight="1">
      <c r="A560" s="2" t="str">
        <v>S2-01475-TT</v>
      </c>
      <c r="B560" s="2" t="str">
        <v>KH089</v>
      </c>
      <c r="C560" s="2" t="str">
        <v>2026-08-29</v>
      </c>
      <c r="D560" s="2" t="str">
        <v>THU_TIEN</v>
      </c>
      <c r="E560" s="2" t="str"/>
      <c r="F560" s="2" t="str"/>
      <c r="G560" s="2" t="str"/>
      <c r="H560" s="19" t="n">
        <v>430000</v>
      </c>
      <c r="I560" s="20" t="str">
        <v>Thu tiền khách hàng Chuyển khoản ngân hàng货款通过银行转账</v>
      </c>
      <c r="J560" s="20" t="str">
        <v>Chuẩn hóa VND; gốc 430000; phần lẻ 0.000000000000 đ</v>
      </c>
      <c r="K560" s="20" t="str">
        <v>2.xlsx | 订单!1475</v>
      </c>
      <c r="L560" s="20" t="str"/>
    </row>
    <row r="561" ht="48" customHeight="1">
      <c r="A561" s="2" t="str">
        <v>S2-01703-BH</v>
      </c>
      <c r="B561" s="2" t="str">
        <v>KH090</v>
      </c>
      <c r="C561" s="2" t="str">
        <v>2026-09-08</v>
      </c>
      <c r="D561" s="2" t="str">
        <v>BAN_HANG</v>
      </c>
      <c r="E561" s="2" t="str">
        <v>BH2026090050</v>
      </c>
      <c r="F561" s="2" t="str">
        <v>00000308</v>
      </c>
      <c r="G561" s="2" t="str"/>
      <c r="H561" s="19" t="n">
        <v>36722000</v>
      </c>
      <c r="I561" s="20" t="str">
        <v>xuất bán cho CÔNG TY CỔ PHẦN ĐIỆN MÁY TÂY BẮC销售给西北电器股份公司</v>
      </c>
      <c r="J561" s="20" t="str">
        <v>Chuẩn hóa VND; gốc 36722000.0088; phần lẻ -0.008800000000 đ</v>
      </c>
      <c r="K561" s="20" t="str">
        <v>2.xlsx | 订单!1703-1714</v>
      </c>
      <c r="L561" s="20" t="str"/>
    </row>
    <row r="562" ht="48" customHeight="1">
      <c r="A562" s="2" t="str">
        <v>S2-01511-BH</v>
      </c>
      <c r="B562" s="2" t="str">
        <v>KH091</v>
      </c>
      <c r="C562" s="2" t="str">
        <v>2026-08-29</v>
      </c>
      <c r="D562" s="2" t="str">
        <v>BAN_HANG</v>
      </c>
      <c r="E562" s="2" t="str">
        <v>BH2026080036</v>
      </c>
      <c r="F562" s="2" t="str">
        <v>00000326, 00000288</v>
      </c>
      <c r="G562" s="2" t="str"/>
      <c r="H562" s="19" t="n">
        <v>62828000</v>
      </c>
      <c r="I562" s="20" t="str">
        <v>Xuất bán cho CÔNG TY TNHH ÁNH LUẬT销售给安律有限责任公司</v>
      </c>
      <c r="J562" s="20" t="str">
        <v>Chuẩn hóa VND; gốc 62827999.7256; phần lẻ 0.274400000000 đ</v>
      </c>
      <c r="K562" s="20" t="str">
        <v>2.xlsx | 订单!1511-1519</v>
      </c>
      <c r="L562" s="20" t="str"/>
    </row>
    <row r="563" ht="48" customHeight="1">
      <c r="A563" s="2" t="str">
        <v>S2-01718-VC</v>
      </c>
      <c r="B563" s="2" t="str">
        <v>KH091</v>
      </c>
      <c r="C563" s="2" t="str">
        <v>2026-09-08</v>
      </c>
      <c r="D563" s="2" t="str">
        <v>PHI_VAN_CHUYEN</v>
      </c>
      <c r="E563" s="2" t="str"/>
      <c r="F563" s="2" t="str"/>
      <c r="G563" s="2" t="str"/>
      <c r="H563" s="19" t="n">
        <v>700000</v>
      </c>
      <c r="I563" s="20" t="str">
        <v>khách hàng tự  trả tiền vận chuyển客户自行支付运输费</v>
      </c>
      <c r="J563" s="20" t="str">
        <v>Chuẩn hóa VND; gốc 700000; phần lẻ 0.000000000000 đ</v>
      </c>
      <c r="K563" s="20" t="str">
        <v>2.xlsx | 订单!1718</v>
      </c>
      <c r="L563" s="20" t="str"/>
    </row>
    <row r="564" ht="48" customHeight="1">
      <c r="A564" s="2" t="str">
        <v>S2-01670-BH</v>
      </c>
      <c r="B564" s="2" t="str">
        <v>KH091</v>
      </c>
      <c r="C564" s="2" t="str">
        <v>2026-09-11</v>
      </c>
      <c r="D564" s="2" t="str">
        <v>BAN_HANG</v>
      </c>
      <c r="E564" s="2" t="str">
        <v>BH2026090058</v>
      </c>
      <c r="F564" s="2" t="str">
        <v>00000326</v>
      </c>
      <c r="G564" s="2" t="str"/>
      <c r="H564" s="19" t="n">
        <v>18900000</v>
      </c>
      <c r="I564" s="20" t="str">
        <v>Xuất bán cho CÔNG TY TNHH ÁNH LUẬT销售给安律有限责任公司</v>
      </c>
      <c r="J564" s="20" t="str">
        <v>Chuẩn hóa VND; gốc 18900000.054; phần lẻ -0.054000000000 đ</v>
      </c>
      <c r="K564" s="20" t="str">
        <v>2.xlsx | 订单!1670-1671</v>
      </c>
      <c r="L564" s="20" t="str"/>
    </row>
    <row r="565" ht="48" customHeight="1">
      <c r="A565" s="2" t="str">
        <v>S2-01717-VC</v>
      </c>
      <c r="B565" s="2" t="str">
        <v>KH091</v>
      </c>
      <c r="C565" s="2" t="str">
        <v>2026-09-12</v>
      </c>
      <c r="D565" s="2" t="str">
        <v>PHI_VAN_CHUYEN</v>
      </c>
      <c r="E565" s="2" t="str"/>
      <c r="F565" s="2" t="str"/>
      <c r="G565" s="2" t="str"/>
      <c r="H565" s="19" t="n">
        <v>280000</v>
      </c>
      <c r="I565" s="20" t="str">
        <v>khách hàng tự  trả tiền vận chuyển客户自行支付运输费</v>
      </c>
      <c r="J565" s="20" t="str">
        <v>Chuẩn hóa VND; gốc 280000; phần lẻ 0.000000000000 đ</v>
      </c>
      <c r="K565" s="20" t="str">
        <v>2.xlsx | 订单!1717</v>
      </c>
      <c r="L565" s="20" t="str"/>
    </row>
    <row r="566" ht="48" customHeight="1">
      <c r="A566" s="2" t="str">
        <v>S2-01792-BH</v>
      </c>
      <c r="B566" s="2" t="str">
        <v>KH091</v>
      </c>
      <c r="C566" s="2" t="str">
        <v>2026-09-17</v>
      </c>
      <c r="D566" s="2" t="str">
        <v>BAN_HANG</v>
      </c>
      <c r="E566" s="2" t="str">
        <v>BH2026090075</v>
      </c>
      <c r="F566" s="2" t="str"/>
      <c r="G566" s="2" t="str"/>
      <c r="H566" s="19" t="n">
        <v>10200000</v>
      </c>
      <c r="I566" s="20" t="str">
        <v>Xuất bán cho CÔNG TY TNHH ÁNH LUẬT销售给安律有限责任公司</v>
      </c>
      <c r="J566" s="20" t="str">
        <v>Chuẩn hóa VND; gốc 10200000.006; phần lẻ -0.006000000000 đ</v>
      </c>
      <c r="K566" s="20" t="str">
        <v>2.xlsx | 订单!1792</v>
      </c>
      <c r="L566" s="20" t="str"/>
    </row>
    <row r="567" ht="48" customHeight="1">
      <c r="A567" s="2" t="str">
        <v>S2-01827-VC</v>
      </c>
      <c r="B567" s="2" t="str">
        <v>KH091</v>
      </c>
      <c r="C567" s="2" t="str">
        <v>2026-09-21</v>
      </c>
      <c r="D567" s="2" t="str">
        <v>PHI_VAN_CHUYEN</v>
      </c>
      <c r="E567" s="2" t="str"/>
      <c r="F567" s="2" t="str"/>
      <c r="G567" s="2" t="str"/>
      <c r="H567" s="19" t="n">
        <v>150000</v>
      </c>
      <c r="I567" s="20" t="str">
        <v>khách hàng tự  trả tiền vận chuyển客户自行支付运输费</v>
      </c>
      <c r="J567" s="20" t="str">
        <v>Chuẩn hóa VND; gốc 150000; phần lẻ 0.000000000000 đ</v>
      </c>
      <c r="K567" s="20" t="str">
        <v>2.xlsx | 订单!1827</v>
      </c>
      <c r="L567" s="20" t="str"/>
    </row>
    <row r="568" ht="48" customHeight="1">
      <c r="A568" s="2" t="str">
        <v>S2-01968-TT</v>
      </c>
      <c r="B568" s="2" t="str">
        <v>KH091</v>
      </c>
      <c r="C568" s="2" t="str">
        <v>2026-09-30</v>
      </c>
      <c r="D568" s="2" t="str">
        <v>THU_TIEN</v>
      </c>
      <c r="E568" s="2" t="str"/>
      <c r="F568" s="2" t="str"/>
      <c r="G568" s="2" t="str"/>
      <c r="H568" s="19" t="n">
        <v>50000000</v>
      </c>
      <c r="I568" s="20" t="str">
        <v>Thu tiền khách hàng Chuyển khoản ngân hàng货款通过银行转账</v>
      </c>
      <c r="J568" s="20" t="str">
        <v>Chuẩn hóa VND; gốc 50000000; phần lẻ 0.000000000000 đ</v>
      </c>
      <c r="K568" s="20" t="str">
        <v>2.xlsx | 订单!1968</v>
      </c>
      <c r="L568" s="21" t="str">
        <v>Ngày ghi sổ trống — dùng ngày có căn cứ: 2.xlsx | Ánh Luật !C26 và 订单!D1968: khoản thu 50.000.000</v>
      </c>
    </row>
    <row r="569" ht="48" customHeight="1">
      <c r="A569" s="25" t="str">
        <v>S2-02091-BH</v>
      </c>
      <c r="B569" s="25" t="str">
        <v>KH091</v>
      </c>
      <c r="C569" s="25" t="str">
        <v>2026-10-12</v>
      </c>
      <c r="D569" s="25" t="str">
        <v>BAN_HANG</v>
      </c>
      <c r="E569" s="25" t="str">
        <v>BH2026100126</v>
      </c>
      <c r="F569" s="25" t="str">
        <v>00000343</v>
      </c>
      <c r="G569" s="25" t="str">
        <v>BH2026100126</v>
      </c>
      <c r="H569" s="26" t="n">
        <v>56517999.71</v>
      </c>
      <c r="I569" s="27" t="str">
        <v>Xuất bán cho CÔNG TY TNHH ÁNH LUẬT销售给安律有限责任公司</v>
      </c>
      <c r="J569" s="27" t="str">
        <v>ĐÃ CÓ ERP — bỏ qua dòng này; giữ chứng từ ERP</v>
      </c>
      <c r="K569" s="27" t="str">
        <v>2.xlsx | 订单!2091-2099</v>
      </c>
      <c r="L569" s="27" t="str"/>
    </row>
    <row r="570" ht="48" customHeight="1">
      <c r="A570" s="25" t="str">
        <v>S2-02113-BH</v>
      </c>
      <c r="B570" s="25" t="str">
        <v>KH091</v>
      </c>
      <c r="C570" s="25" t="str">
        <v>2026-10-13</v>
      </c>
      <c r="D570" s="25" t="str">
        <v>BAN_HANG</v>
      </c>
      <c r="E570" s="25" t="str">
        <v>BH2026100129</v>
      </c>
      <c r="F570" s="25" t="str"/>
      <c r="G570" s="25" t="str">
        <v>BH2026100129</v>
      </c>
      <c r="H570" s="26" t="n">
        <v>59839999.77</v>
      </c>
      <c r="I570" s="27" t="str">
        <v>Xuất bán cho CÔNG TY TNHH ÁNH LUẬT销售给安律有限责任公司</v>
      </c>
      <c r="J570" s="27" t="str">
        <v>ĐÃ CÓ ERP — bỏ qua dòng này; giữ chứng từ ERP</v>
      </c>
      <c r="K570" s="27" t="str">
        <v>2.xlsx | 订单!2113-2119</v>
      </c>
      <c r="L570" s="27" t="str"/>
    </row>
    <row r="571" ht="48" customHeight="1">
      <c r="A571" s="2" t="str">
        <v>S2-02130-VC</v>
      </c>
      <c r="B571" s="2" t="str">
        <v>KH091</v>
      </c>
      <c r="C571" s="2" t="str">
        <v>2026-10-13</v>
      </c>
      <c r="D571" s="2" t="str">
        <v>PHI_VAN_CHUYEN</v>
      </c>
      <c r="E571" s="2" t="str"/>
      <c r="F571" s="2" t="str"/>
      <c r="G571" s="2" t="str"/>
      <c r="H571" s="19" t="n">
        <v>600000</v>
      </c>
      <c r="I571" s="20" t="str">
        <v>khách hàng tự  trả tiền vận chuyển客户自行支付运输费</v>
      </c>
      <c r="J571" s="20" t="str">
        <v>Chuẩn hóa VND; gốc 600000; phần lẻ 0.000000000000 đ</v>
      </c>
      <c r="K571" s="20" t="str">
        <v>2.xlsx | 订单!2130</v>
      </c>
      <c r="L571" s="20" t="str"/>
    </row>
    <row r="572" ht="48" customHeight="1">
      <c r="A572" s="2" t="str">
        <v>S2-02131-VC</v>
      </c>
      <c r="B572" s="2" t="str">
        <v>KH091</v>
      </c>
      <c r="C572" s="2" t="str">
        <v>2026-10-14</v>
      </c>
      <c r="D572" s="2" t="str">
        <v>PHI_VAN_CHUYEN</v>
      </c>
      <c r="E572" s="2" t="str"/>
      <c r="F572" s="2" t="str"/>
      <c r="G572" s="2" t="str"/>
      <c r="H572" s="19" t="n">
        <v>650000</v>
      </c>
      <c r="I572" s="20" t="str">
        <v>khách hàng tự  trả tiền vận chuyển客户自行支付运输费</v>
      </c>
      <c r="J572" s="20" t="str">
        <v>Chuẩn hóa VND; gốc 650000; phần lẻ 0.000000000000 đ</v>
      </c>
      <c r="K572" s="20" t="str">
        <v>2.xlsx | 订单!2131</v>
      </c>
      <c r="L572" s="20" t="str"/>
    </row>
    <row r="573" ht="48" customHeight="1">
      <c r="A573" s="2" t="str">
        <v>S2-02204-TH</v>
      </c>
      <c r="B573" s="2" t="str">
        <v>KH091</v>
      </c>
      <c r="C573" s="2" t="str">
        <v>2026-10-16</v>
      </c>
      <c r="D573" s="2" t="str">
        <v>TRA_HANG</v>
      </c>
      <c r="E573" s="2" t="str">
        <v>NK2026100031</v>
      </c>
      <c r="F573" s="2" t="str"/>
      <c r="G573" s="2" t="str"/>
      <c r="H573" s="19" t="n">
        <v>14160000</v>
      </c>
      <c r="I573" s="20" t="str">
        <v>Trả lại hàng bán 退货</v>
      </c>
      <c r="J573" s="20" t="str">
        <v>Chuẩn hóa VND; gốc 14159999.6532; phần lẻ 0.346800000000 đ</v>
      </c>
      <c r="K573" s="20" t="str">
        <v>2.xlsx | 订单!2204-2207</v>
      </c>
      <c r="L573" s="20" t="str"/>
    </row>
    <row r="574" ht="48" customHeight="1">
      <c r="A574" s="2" t="str">
        <v>S2-01744-BH</v>
      </c>
      <c r="B574" s="2" t="str">
        <v>KH092</v>
      </c>
      <c r="C574" s="2" t="str">
        <v>2026-09-14</v>
      </c>
      <c r="D574" s="2" t="str">
        <v>BAN_HANG</v>
      </c>
      <c r="E574" s="2" t="str">
        <v>BH2026090067</v>
      </c>
      <c r="F574" s="2" t="str"/>
      <c r="G574" s="2" t="str"/>
      <c r="H574" s="19" t="n">
        <v>12754000</v>
      </c>
      <c r="I574" s="20" t="str">
        <v>xuất bán cho CÔNG TY TNHH NỘI THẤT T&amp;H HOMES</v>
      </c>
      <c r="J574" s="20" t="str">
        <v>Chuẩn hóa VND; gốc 12754000.0224; phần lẻ -0.022400000000 đ</v>
      </c>
      <c r="K574" s="20" t="str">
        <v>2.xlsx | 订单!1744-1756</v>
      </c>
      <c r="L574" s="20" t="str"/>
    </row>
    <row r="575" ht="48" customHeight="1">
      <c r="A575" s="2" t="str">
        <v>S2-01873-BH</v>
      </c>
      <c r="B575" s="2" t="str">
        <v>KH092</v>
      </c>
      <c r="C575" s="2" t="str">
        <v>2026-09-25</v>
      </c>
      <c r="D575" s="2" t="str">
        <v>BAN_HANG</v>
      </c>
      <c r="E575" s="2" t="str">
        <v>BH2026090092</v>
      </c>
      <c r="F575" s="2" t="str"/>
      <c r="G575" s="2" t="str"/>
      <c r="H575" s="19" t="n">
        <v>3855000</v>
      </c>
      <c r="I575" s="20" t="str">
        <v>xuất bán cho CÔNG TY TNHH NỘI THẤT T&amp;H HOMES</v>
      </c>
      <c r="J575" s="20" t="str">
        <v>Chuẩn hóa VND; gốc 3854999.9844; phần lẻ 0.015600000000 đ</v>
      </c>
      <c r="K575" s="20" t="str">
        <v>2.xlsx | 订单!1873-1876</v>
      </c>
      <c r="L575" s="20" t="str"/>
    </row>
    <row r="576" ht="48" customHeight="1">
      <c r="A576" s="25" t="str">
        <v>S2-02002-BH</v>
      </c>
      <c r="B576" s="25" t="str">
        <v>KH092</v>
      </c>
      <c r="C576" s="25" t="str">
        <v>2026-10-03</v>
      </c>
      <c r="D576" s="25" t="str">
        <v>BAN_HANG</v>
      </c>
      <c r="E576" s="25" t="str">
        <v>BH2026100110</v>
      </c>
      <c r="F576" s="25" t="str"/>
      <c r="G576" s="25" t="str">
        <v>BH2026100110</v>
      </c>
      <c r="H576" s="26" t="n">
        <v>3501000</v>
      </c>
      <c r="I576" s="27" t="str">
        <v>xuất bán cho CÔNG TY TNHH NỘI THẤT T&amp;H HOMES</v>
      </c>
      <c r="J576" s="27" t="str">
        <v>ĐÃ CÓ ERP — bỏ qua dòng này; giữ chứng từ ERP</v>
      </c>
      <c r="K576" s="27" t="str">
        <v>2.xlsx | 订单!2002-2004</v>
      </c>
      <c r="L576" s="27" t="str"/>
    </row>
    <row r="577" ht="48" customHeight="1">
      <c r="A577" s="25" t="str">
        <v>S2-02049-BH</v>
      </c>
      <c r="B577" s="25" t="str">
        <v>KH092</v>
      </c>
      <c r="C577" s="25" t="str">
        <v>2026-10-07</v>
      </c>
      <c r="D577" s="25" t="str">
        <v>BAN_HANG</v>
      </c>
      <c r="E577" s="25" t="str">
        <v>BH2026100116</v>
      </c>
      <c r="F577" s="25" t="str"/>
      <c r="G577" s="25" t="str">
        <v>BH2026100116</v>
      </c>
      <c r="H577" s="26" t="n">
        <v>1574000</v>
      </c>
      <c r="I577" s="27" t="str">
        <v>xuất bán cho CÔNG TY TNHH NỘI THẤT T&amp;H HOMES</v>
      </c>
      <c r="J577" s="27" t="str">
        <v>ĐÃ CÓ ERP — bỏ qua dòng này; giữ chứng từ ERP</v>
      </c>
      <c r="K577" s="27" t="str">
        <v>2.xlsx | 订单!2049-2050</v>
      </c>
      <c r="L577" s="27" t="str"/>
    </row>
    <row r="578" ht="48" customHeight="1">
      <c r="A578" s="2" t="str">
        <v>S2-01906-BH</v>
      </c>
      <c r="B578" s="2" t="str">
        <v>KH094</v>
      </c>
      <c r="C578" s="2" t="str">
        <v>2026-09-25</v>
      </c>
      <c r="D578" s="2" t="str">
        <v>BAN_HANG</v>
      </c>
      <c r="E578" s="2" t="str">
        <v>BH2026090093</v>
      </c>
      <c r="F578" s="2" t="str"/>
      <c r="G578" s="2" t="str"/>
      <c r="H578" s="19" t="n">
        <v>2827000</v>
      </c>
      <c r="I578" s="20" t="str">
        <v>Xuất bán cho  Nguyễn Tuấn Hoàng</v>
      </c>
      <c r="J578" s="20" t="str">
        <v>Chuẩn hóa VND; gốc 2827000; phần lẻ 0.000000000000 đ</v>
      </c>
      <c r="K578" s="20" t="str">
        <v>2.xlsx | 订单!1906-1908</v>
      </c>
      <c r="L578" s="20" t="str"/>
    </row>
    <row r="579" ht="48" customHeight="1">
      <c r="A579" s="2" t="str">
        <v>S2-02069-TT</v>
      </c>
      <c r="B579" s="2" t="str">
        <v>KH094</v>
      </c>
      <c r="C579" s="2" t="str">
        <v>2026-10-09</v>
      </c>
      <c r="D579" s="2" t="str">
        <v>THU_TIEN</v>
      </c>
      <c r="E579" s="2" t="str"/>
      <c r="F579" s="2" t="str"/>
      <c r="G579" s="2" t="str"/>
      <c r="H579" s="19" t="n">
        <v>2827000</v>
      </c>
      <c r="I579" s="20" t="str">
        <v>Thu tiền mặt của khách hàng 收取客户现金</v>
      </c>
      <c r="J579" s="20" t="str">
        <v>Chuẩn hóa VND; gốc 2827000; phần lẻ 0.000000000000 đ</v>
      </c>
      <c r="K579" s="20" t="str">
        <v>2.xlsx | 订单!2069</v>
      </c>
      <c r="L579" s="20" t="str"/>
    </row>
    <row r="580" ht="48" customHeight="1">
      <c r="A580" s="2" t="str">
        <v>S2-01100-BH</v>
      </c>
      <c r="B580" s="2" t="str">
        <v>KH095</v>
      </c>
      <c r="C580" s="2" t="str">
        <v>2026-08-08</v>
      </c>
      <c r="D580" s="2" t="str">
        <v>BAN_HANG</v>
      </c>
      <c r="E580" s="2" t="str">
        <v>BH010/0826</v>
      </c>
      <c r="F580" s="2" t="str"/>
      <c r="G580" s="2" t="str"/>
      <c r="H580" s="19" t="n">
        <v>390000</v>
      </c>
      <c r="I580" s="20" t="str">
        <v>Xuất bán cho Trần Ngọc Kiên 销售给陈玉坚</v>
      </c>
      <c r="J580" s="20" t="str">
        <v>Chuẩn hóa VND; gốc 389999.9988; phần lẻ 0.001200000000 đ</v>
      </c>
      <c r="K580" s="20" t="str">
        <v>2.xlsx | 订单!1100</v>
      </c>
      <c r="L580" s="20" t="str"/>
    </row>
    <row r="581" ht="48" customHeight="1">
      <c r="A581" s="2" t="str">
        <v>S2-01101-TT</v>
      </c>
      <c r="B581" s="2" t="str">
        <v>KH095</v>
      </c>
      <c r="C581" s="2" t="str">
        <v>2026-08-10</v>
      </c>
      <c r="D581" s="2" t="str">
        <v>THU_TIEN</v>
      </c>
      <c r="E581" s="2" t="str">
        <v>PT00165</v>
      </c>
      <c r="F581" s="2" t="str"/>
      <c r="G581" s="2" t="str"/>
      <c r="H581" s="19" t="n">
        <v>390000</v>
      </c>
      <c r="I581" s="20" t="str">
        <v>Thu tiền mặt của khách hàng 收取客户现金</v>
      </c>
      <c r="J581" s="20" t="str">
        <v>Chuẩn hóa VND; gốc 390000; phần lẻ 0.000000000000 đ</v>
      </c>
      <c r="K581" s="20" t="str">
        <v>2.xlsx | 订单!1101</v>
      </c>
      <c r="L581" s="20" t="str"/>
    </row>
    <row r="582" ht="48" customHeight="1">
      <c r="A582" s="25" t="str">
        <v>S2-02079-BH</v>
      </c>
      <c r="B582" s="25" t="str">
        <v>KH096</v>
      </c>
      <c r="C582" s="25" t="str">
        <v>2026-10-09</v>
      </c>
      <c r="D582" s="25" t="str">
        <v>BAN_HANG</v>
      </c>
      <c r="E582" s="25" t="str">
        <v>BH2026100127</v>
      </c>
      <c r="F582" s="25" t="str"/>
      <c r="G582" s="25" t="str">
        <v>BH2026100127</v>
      </c>
      <c r="H582" s="26" t="n">
        <v>880000.01</v>
      </c>
      <c r="I582" s="27" t="str">
        <v>Xuất bán cho Nguyễn Anh Tuấn</v>
      </c>
      <c r="J582" s="27" t="str">
        <v>ĐÃ CÓ ERP — bỏ qua dòng này; giữ chứng từ ERP</v>
      </c>
      <c r="K582" s="27" t="str">
        <v>2.xlsx | 订单!2079-2080</v>
      </c>
      <c r="L582" s="27" t="str"/>
    </row>
    <row r="583" ht="48" customHeight="1">
      <c r="A583" s="2" t="str">
        <v>S2-02218-TT</v>
      </c>
      <c r="B583" s="2" t="str">
        <v>KH096</v>
      </c>
      <c r="C583" s="2" t="str">
        <v>2026-10-17</v>
      </c>
      <c r="D583" s="2" t="str">
        <v>THU_TIEN</v>
      </c>
      <c r="E583" s="2" t="str"/>
      <c r="F583" s="2" t="str"/>
      <c r="G583" s="2" t="str"/>
      <c r="H583" s="19" t="n">
        <v>880000</v>
      </c>
      <c r="I583" s="20" t="str">
        <v>Thu tiền mặt của khách hàng</v>
      </c>
      <c r="J583" s="20" t="str">
        <v>Chuẩn hóa VND; gốc 880000; phần lẻ 0.000000000000 đ</v>
      </c>
      <c r="K583" s="20" t="str">
        <v>2.xlsx | 订单!2218</v>
      </c>
      <c r="L583" s="20" t="str"/>
    </row>
  </sheetData>
  <pageMargins left="0.7" right="0.7" top="0.75" bottom="0.75" header="0.3" footer="0.3"/>
  <tableParts count="1">
    <tablePart xmlns:r="http://schemas.openxmlformats.org/officeDocument/2006/relationships" r:id="Re84c4ceec33949e1"/>
  </tableParts>
</worksheet>
</file>

<file path=xl/worksheets/sheet3.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20" hidden="0" customWidth="1"/>
    <col min="2" max="2" width="24" hidden="0" customWidth="1"/>
    <col min="3" max="3" width="62" hidden="0" customWidth="1"/>
    <col min="4" max="4" width="11" hidden="0" customWidth="1"/>
    <col min="5" max="5" width="18" hidden="0" customWidth="1"/>
    <col min="6" max="6" width="24" hidden="0" customWidth="1"/>
    <col min="7" max="7" width="24" hidden="0" customWidth="1"/>
    <col min="8" max="8" width="38" hidden="0" customWidth="1"/>
  </cols>
  <sheetData>
    <row r="1" ht="42" customHeight="1">
      <c r="A1" s="5" t="str">
        <v>Mã dòng *</v>
      </c>
      <c r="B1" s="5" t="str">
        <v>Mã hàng</v>
      </c>
      <c r="C1" s="5" t="str">
        <v>Tên hàng</v>
      </c>
      <c r="D1" s="5" t="str">
        <v>ĐVT</v>
      </c>
      <c r="E1" s="5" t="str">
        <v>Số lượng</v>
      </c>
      <c r="F1" s="5" t="str">
        <v>Đơn giá</v>
      </c>
      <c r="G1" s="5" t="str">
        <v>Thành tiền</v>
      </c>
      <c r="H1" s="5" t="str">
        <v>Nguồn</v>
      </c>
    </row>
    <row r="2" ht="26" customHeight="1">
      <c r="A2" s="2" t="str">
        <v>S2-00016-BH</v>
      </c>
      <c r="B2" s="2" t="str">
        <v>INP1001</v>
      </c>
      <c r="C2" s="20" t="str">
        <v>Bộ nồi inox INP1001</v>
      </c>
      <c r="D2" s="2" t="str">
        <v>Bộ</v>
      </c>
      <c r="E2" s="2" t="str">
        <v>10</v>
      </c>
      <c r="F2" s="2" t="str">
        <v>480555.55</v>
      </c>
      <c r="G2" s="19" t="n">
        <v>5190000</v>
      </c>
      <c r="H2" s="2" t="str">
        <v>2.xlsx | 订单!Q16</v>
      </c>
    </row>
    <row r="3" ht="26" customHeight="1">
      <c r="A3" s="2" t="str">
        <v>S2-00016-BH</v>
      </c>
      <c r="B3" s="2" t="str">
        <v>NP1002</v>
      </c>
      <c r="C3" s="20" t="str">
        <v>Bộ nồi inox INP1002</v>
      </c>
      <c r="D3" s="2" t="str">
        <v>cái</v>
      </c>
      <c r="E3" s="2" t="str">
        <v>10</v>
      </c>
      <c r="F3" s="2" t="str">
        <v>647222.22</v>
      </c>
      <c r="G3" s="19" t="n">
        <v>6990000</v>
      </c>
      <c r="H3" s="2" t="str">
        <v>2.xlsx | 订单!Q17</v>
      </c>
    </row>
    <row r="4" ht="26" customHeight="1">
      <c r="A4" s="2" t="str">
        <v>S2-00016-BH</v>
      </c>
      <c r="B4" s="2" t="str">
        <v>INP1003</v>
      </c>
      <c r="C4" s="20" t="str">
        <v>Bộ nồi Inox INP1003 </v>
      </c>
      <c r="D4" s="2" t="str">
        <v>cái</v>
      </c>
      <c r="E4" s="2" t="str">
        <v>30</v>
      </c>
      <c r="F4" s="2" t="str">
        <v>314814.81</v>
      </c>
      <c r="G4" s="19" t="n">
        <v>10200000</v>
      </c>
      <c r="H4" s="2" t="str">
        <v>2.xlsx | 订单!Q18</v>
      </c>
    </row>
    <row r="5" ht="26" customHeight="1">
      <c r="A5" s="2" t="str">
        <v>S2-00016-BH</v>
      </c>
      <c r="B5" s="2" t="str">
        <v>INP1101</v>
      </c>
      <c r="C5" s="20" t="str">
        <v>Bộ nồi inox INP1101</v>
      </c>
      <c r="D5" s="2" t="str">
        <v>cái</v>
      </c>
      <c r="E5" s="2" t="str">
        <v>10</v>
      </c>
      <c r="F5" s="2" t="str">
        <v>483333.33</v>
      </c>
      <c r="G5" s="19" t="n">
        <v>5220000</v>
      </c>
      <c r="H5" s="2" t="str">
        <v>2.xlsx | 订单!Q19</v>
      </c>
    </row>
    <row r="6" ht="26" customHeight="1">
      <c r="A6" s="2" t="str">
        <v>S2-00016-BH</v>
      </c>
      <c r="B6" s="2" t="str">
        <v>INP1401</v>
      </c>
      <c r="C6" s="20" t="str">
        <v>Nồi áp suất 4.5L INP1401</v>
      </c>
      <c r="D6" s="2" t="str">
        <v>cái</v>
      </c>
      <c r="E6" s="2" t="str">
        <v>10</v>
      </c>
      <c r="F6" s="2" t="str">
        <v>824074.07</v>
      </c>
      <c r="G6" s="19" t="n">
        <v>8900000</v>
      </c>
      <c r="H6" s="2" t="str">
        <v>2.xlsx | 订单!Q20</v>
      </c>
    </row>
    <row r="7" ht="26" customHeight="1">
      <c r="A7" s="2" t="str">
        <v>S2-00016-BH</v>
      </c>
      <c r="B7" s="2" t="str">
        <v>INP1402</v>
      </c>
      <c r="C7" s="20" t="str">
        <v>Nồi áp suất 6L INP1402</v>
      </c>
      <c r="D7" s="2" t="str">
        <v>cái</v>
      </c>
      <c r="E7" s="2" t="str">
        <v>10</v>
      </c>
      <c r="F7" s="2" t="str">
        <v>937962.96</v>
      </c>
      <c r="G7" s="19" t="n">
        <v>10130000</v>
      </c>
      <c r="H7" s="2" t="str">
        <v>2.xlsx | 订单!Q21</v>
      </c>
    </row>
    <row r="8" ht="26" customHeight="1">
      <c r="A8" s="2" t="str">
        <v>S2-00016-BH</v>
      </c>
      <c r="B8" s="2" t="str">
        <v>INP1501</v>
      </c>
      <c r="C8" s="20" t="str">
        <v>Ấm đun nước 3L INP1501</v>
      </c>
      <c r="D8" s="2" t="str">
        <v>cái</v>
      </c>
      <c r="E8" s="2" t="str">
        <v>12</v>
      </c>
      <c r="F8" s="2" t="str">
        <v>111111.11</v>
      </c>
      <c r="G8" s="19" t="n">
        <v>1440000</v>
      </c>
      <c r="H8" s="2" t="str">
        <v>2.xlsx | 订单!Q22</v>
      </c>
    </row>
    <row r="9" ht="26" customHeight="1">
      <c r="A9" s="2" t="str">
        <v>S2-00016-BH</v>
      </c>
      <c r="B9" s="2" t="str">
        <v>INP1502</v>
      </c>
      <c r="C9" s="20" t="str">
        <v>Ấm đun nước 4L INP1502</v>
      </c>
      <c r="D9" s="2" t="str">
        <v>cái</v>
      </c>
      <c r="E9" s="2" t="str">
        <v>12</v>
      </c>
      <c r="F9" s="2" t="str">
        <v>120370.37</v>
      </c>
      <c r="G9" s="19" t="n">
        <v>1560000</v>
      </c>
      <c r="H9" s="2" t="str">
        <v>2.xlsx | 订单!Q23</v>
      </c>
    </row>
    <row r="10" ht="26" customHeight="1">
      <c r="A10" s="2" t="str">
        <v>S2-00016-BH</v>
      </c>
      <c r="B10" s="2" t="str">
        <v>INP1503</v>
      </c>
      <c r="C10" s="20" t="str">
        <v>Ấm đun nước 5L INP1503</v>
      </c>
      <c r="D10" s="2" t="str">
        <v>cái</v>
      </c>
      <c r="E10" s="2" t="str">
        <v>12</v>
      </c>
      <c r="F10" s="2" t="str">
        <v>129629.62</v>
      </c>
      <c r="G10" s="19" t="n">
        <v>1680000</v>
      </c>
      <c r="H10" s="2" t="str">
        <v>2.xlsx | 订单!Q24</v>
      </c>
    </row>
    <row r="11" ht="26" customHeight="1">
      <c r="A11" s="2" t="str">
        <v>S2-00016-BH</v>
      </c>
      <c r="B11" s="2" t="str">
        <v>INP2003</v>
      </c>
      <c r="C11" s="20" t="str">
        <v>Bộ nồi inox INP2003</v>
      </c>
      <c r="D11" s="2" t="str">
        <v>bộ</v>
      </c>
      <c r="E11" s="2" t="str">
        <v>10</v>
      </c>
      <c r="F11" s="2" t="str">
        <v>1185185.18</v>
      </c>
      <c r="G11" s="19" t="n">
        <v>12800000</v>
      </c>
      <c r="H11" s="2" t="str">
        <v>2.xlsx | 订单!Q25</v>
      </c>
    </row>
    <row r="12" ht="26" customHeight="1">
      <c r="A12" s="2" t="str">
        <v>S2-00016-BH</v>
      </c>
      <c r="B12" s="2" t="str">
        <v>INP2101</v>
      </c>
      <c r="C12" s="20" t="str">
        <v>Chảo inox chống dính đúc nguyên khốiINP2101</v>
      </c>
      <c r="D12" s="2" t="str">
        <v>cái</v>
      </c>
      <c r="E12" s="2" t="str">
        <v>20</v>
      </c>
      <c r="F12" s="2" t="str">
        <v>234259.25</v>
      </c>
      <c r="G12" s="19" t="n">
        <v>5060000</v>
      </c>
      <c r="H12" s="2" t="str">
        <v>2.xlsx | 订单!Q26</v>
      </c>
    </row>
    <row r="13" ht="26" customHeight="1">
      <c r="A13" s="2" t="str">
        <v>S2-00016-BH</v>
      </c>
      <c r="B13" s="2" t="str">
        <v>INP2102</v>
      </c>
      <c r="C13" s="20" t="str">
        <v>Chảo inox chống dính đúc nguyên khốiINP2102</v>
      </c>
      <c r="D13" s="2" t="str">
        <v>cái</v>
      </c>
      <c r="E13" s="2" t="str">
        <v>20</v>
      </c>
      <c r="F13" s="2" t="str">
        <v>256481.48</v>
      </c>
      <c r="G13" s="19" t="n">
        <v>5540000</v>
      </c>
      <c r="H13" s="2" t="str">
        <v>2.xlsx | 订单!Q27</v>
      </c>
    </row>
    <row r="14" ht="26" customHeight="1">
      <c r="A14" s="2" t="str">
        <v>S2-00016-BH</v>
      </c>
      <c r="B14" s="2" t="str">
        <v>INP2103</v>
      </c>
      <c r="C14" s="20" t="str">
        <v>Chảo inox chống dính đúc nguyên khốiINP2103</v>
      </c>
      <c r="D14" s="2" t="str">
        <v>cái</v>
      </c>
      <c r="E14" s="2" t="str">
        <v>20</v>
      </c>
      <c r="F14" s="2" t="str">
        <v>281481.48</v>
      </c>
      <c r="G14" s="19" t="n">
        <v>6080000</v>
      </c>
      <c r="H14" s="2" t="str">
        <v>2.xlsx | 订单!Q28</v>
      </c>
    </row>
    <row r="15" ht="26" customHeight="1">
      <c r="A15" s="2" t="str">
        <v>S2-00016-BH</v>
      </c>
      <c r="B15" s="2" t="str">
        <v>INP2105</v>
      </c>
      <c r="C15" s="20" t="str">
        <v>Chảo inox đúc nguyên khối (không chống dính)INP2105</v>
      </c>
      <c r="D15" s="2" t="str">
        <v>cái</v>
      </c>
      <c r="E15" s="2" t="str">
        <v>20</v>
      </c>
      <c r="F15" s="2" t="str">
        <v>240740.74</v>
      </c>
      <c r="G15" s="19" t="n">
        <v>5200000</v>
      </c>
      <c r="H15" s="2" t="str">
        <v>2.xlsx | 订单!Q29</v>
      </c>
    </row>
    <row r="16" ht="26" customHeight="1">
      <c r="A16" s="2" t="str">
        <v>S2-00016-BH</v>
      </c>
      <c r="B16" s="2" t="str">
        <v>INP2106</v>
      </c>
      <c r="C16" s="20" t="str">
        <v>Chảo inox đúc nguyên khối (không chống dính)INP2106</v>
      </c>
      <c r="D16" s="2" t="str">
        <v>cái</v>
      </c>
      <c r="E16" s="2" t="str">
        <v>20</v>
      </c>
      <c r="F16" s="2" t="str">
        <v>259259.25</v>
      </c>
      <c r="G16" s="19" t="n">
        <v>5600000</v>
      </c>
      <c r="H16" s="2" t="str">
        <v>2.xlsx | 订单!Q30</v>
      </c>
    </row>
    <row r="17" ht="26" customHeight="1">
      <c r="A17" s="2" t="str">
        <v>S2-00016-BH</v>
      </c>
      <c r="B17" s="2" t="str">
        <v>INP2108</v>
      </c>
      <c r="C17" s="20" t="str">
        <v>Chảo inox đúc nguyên khối (không chống dính)INP2108</v>
      </c>
      <c r="D17" s="2" t="str">
        <v>cái</v>
      </c>
      <c r="E17" s="2" t="str">
        <v>20</v>
      </c>
      <c r="F17" s="2" t="str">
        <v>226851.85</v>
      </c>
      <c r="G17" s="19" t="n">
        <v>4900000</v>
      </c>
      <c r="H17" s="2" t="str">
        <v>2.xlsx | 订单!Q31</v>
      </c>
    </row>
    <row r="18" ht="26" customHeight="1">
      <c r="A18" s="2" t="str">
        <v>S2-00016-BH</v>
      </c>
      <c r="B18" s="2" t="str">
        <v>INP2109</v>
      </c>
      <c r="C18" s="20" t="str">
        <v>Chảo inox đúc nguyên khối (không chống dính)INP2109</v>
      </c>
      <c r="D18" s="2" t="str">
        <v>cái</v>
      </c>
      <c r="E18" s="2" t="str">
        <v>20</v>
      </c>
      <c r="F18" s="2" t="str">
        <v>240740.74</v>
      </c>
      <c r="G18" s="19" t="n">
        <v>5200000</v>
      </c>
      <c r="H18" s="2" t="str">
        <v>2.xlsx | 订单!Q32</v>
      </c>
    </row>
    <row r="19" ht="26" customHeight="1">
      <c r="A19" s="2" t="str">
        <v>S2-00016-BH</v>
      </c>
      <c r="B19" s="2" t="str">
        <v>INP2110</v>
      </c>
      <c r="C19" s="20" t="str">
        <v>Chảo inox đúc nguyên khối (không chống dính)INP2110</v>
      </c>
      <c r="D19" s="2" t="str">
        <v>cái</v>
      </c>
      <c r="E19" s="2" t="str">
        <v>20</v>
      </c>
      <c r="F19" s="2" t="str">
        <v>259259.25</v>
      </c>
      <c r="G19" s="19" t="n">
        <v>5600000</v>
      </c>
      <c r="H19" s="2" t="str">
        <v>2.xlsx | 订单!Q33</v>
      </c>
    </row>
    <row r="20" ht="26" customHeight="1">
      <c r="A20" s="2" t="str">
        <v>S2-00016-BH</v>
      </c>
      <c r="B20" s="2" t="str">
        <v>INP2111</v>
      </c>
      <c r="C20" s="20" t="str">
        <v>Chảo inox đúc nguyên khối (không chống dính)INP2111</v>
      </c>
      <c r="D20" s="2" t="str">
        <v>cái</v>
      </c>
      <c r="E20" s="2" t="str">
        <v>20</v>
      </c>
      <c r="F20" s="2" t="str">
        <v>277777.77</v>
      </c>
      <c r="G20" s="19" t="n">
        <v>6000000</v>
      </c>
      <c r="H20" s="2" t="str">
        <v>2.xlsx | 订单!Q34</v>
      </c>
    </row>
    <row r="21" ht="26" customHeight="1">
      <c r="A21" s="2" t="str">
        <v>S2-00016-BH</v>
      </c>
      <c r="B21" s="2" t="str">
        <v>INP2202</v>
      </c>
      <c r="C21" s="20" t="str">
        <v>Nồi luộc gà inox đúc nguyên khốiINP2202</v>
      </c>
      <c r="D21" s="2" t="str">
        <v>cái</v>
      </c>
      <c r="E21" s="2" t="str">
        <v>10</v>
      </c>
      <c r="F21" s="2" t="str">
        <v>844444.44</v>
      </c>
      <c r="G21" s="19" t="n">
        <v>9120000</v>
      </c>
      <c r="H21" s="2" t="str">
        <v>2.xlsx | 订单!Q35</v>
      </c>
    </row>
    <row r="22" ht="26" customHeight="1">
      <c r="A22" s="2" t="str">
        <v>S2-00016-BH</v>
      </c>
      <c r="B22" s="2" t="str">
        <v>INP3001</v>
      </c>
      <c r="C22" s="20" t="str">
        <v>Nồi gang tráng menINP3001</v>
      </c>
      <c r="D22" s="2" t="str">
        <v>cái</v>
      </c>
      <c r="E22" s="2" t="str">
        <v>10</v>
      </c>
      <c r="F22" s="2" t="str">
        <v>659259.25</v>
      </c>
      <c r="G22" s="19" t="n">
        <v>7120000</v>
      </c>
      <c r="H22" s="2" t="str">
        <v>2.xlsx | 订单!Q36</v>
      </c>
    </row>
    <row r="23" ht="26" customHeight="1">
      <c r="A23" s="2" t="str">
        <v>S2-00016-BH</v>
      </c>
      <c r="B23" s="2" t="str">
        <v>INP3002</v>
      </c>
      <c r="C23" s="20" t="str">
        <v>Nồi gang tráng menINP3002</v>
      </c>
      <c r="D23" s="2" t="str">
        <v>cái</v>
      </c>
      <c r="E23" s="2" t="str">
        <v>10</v>
      </c>
      <c r="F23" s="2" t="str">
        <v>569444.44</v>
      </c>
      <c r="G23" s="19" t="n">
        <v>6150000</v>
      </c>
      <c r="H23" s="2" t="str">
        <v>2.xlsx | 订单!Q37</v>
      </c>
    </row>
    <row r="24" ht="26" customHeight="1">
      <c r="A24" s="2" t="str">
        <v>S2-00016-BH</v>
      </c>
      <c r="B24" s="2" t="str">
        <v>INP3003</v>
      </c>
      <c r="C24" s="20" t="str">
        <v>Nồi gang tráng menINP3003</v>
      </c>
      <c r="D24" s="2" t="str">
        <v>cái</v>
      </c>
      <c r="E24" s="2" t="str">
        <v>12</v>
      </c>
      <c r="F24" s="2" t="str">
        <v>564815</v>
      </c>
      <c r="G24" s="19" t="n">
        <v>7320002</v>
      </c>
      <c r="H24" s="2" t="str">
        <v>2.xlsx | 订单!Q38</v>
      </c>
    </row>
    <row r="25" ht="26" customHeight="1">
      <c r="A25" s="2" t="str">
        <v>S2-00016-BH</v>
      </c>
      <c r="B25" s="2" t="str">
        <v>INP3004</v>
      </c>
      <c r="C25" s="20" t="str">
        <v>Nồi gang tráng menINP3004</v>
      </c>
      <c r="D25" s="2" t="str">
        <v>cái</v>
      </c>
      <c r="E25" s="2" t="str">
        <v>12</v>
      </c>
      <c r="F25" s="2" t="str">
        <v>358333.33</v>
      </c>
      <c r="G25" s="19" t="n">
        <v>4644000</v>
      </c>
      <c r="H25" s="2" t="str">
        <v>2.xlsx | 订单!Q39</v>
      </c>
    </row>
    <row r="26" ht="26" customHeight="1">
      <c r="A26" s="2" t="str">
        <v>S2-00016-BH</v>
      </c>
      <c r="B26" s="2" t="str">
        <v>INP3005</v>
      </c>
      <c r="C26" s="20" t="str">
        <v>Nồi gang tráng menINP3005</v>
      </c>
      <c r="D26" s="2" t="str">
        <v>cái</v>
      </c>
      <c r="E26" s="2" t="str">
        <v>12</v>
      </c>
      <c r="F26" s="2" t="str">
        <v>398148.08</v>
      </c>
      <c r="G26" s="19" t="n">
        <v>5159999</v>
      </c>
      <c r="H26" s="2" t="str">
        <v>2.xlsx | 订单!Q40</v>
      </c>
    </row>
    <row r="27" ht="26" customHeight="1">
      <c r="A27" s="2" t="str">
        <v>S2-00016-BH</v>
      </c>
      <c r="B27" s="2" t="str">
        <v>INP6601</v>
      </c>
      <c r="C27" s="20" t="str">
        <v>Máy sấy bát đĩa INP 6601</v>
      </c>
      <c r="D27" s="2" t="str">
        <v>cái</v>
      </c>
      <c r="E27" s="2" t="str">
        <v>10</v>
      </c>
      <c r="F27" s="2" t="str">
        <v>1203703.7</v>
      </c>
      <c r="G27" s="19" t="n">
        <v>13000000</v>
      </c>
      <c r="H27" s="2" t="str">
        <v>2.xlsx | 订单!Q41</v>
      </c>
    </row>
    <row r="28" ht="26" customHeight="1">
      <c r="A28" s="2" t="str">
        <v>S2-00016-BH</v>
      </c>
      <c r="B28" s="2" t="str">
        <v>INP6602</v>
      </c>
      <c r="C28" s="20" t="str">
        <v>Máy sấy bát đĩa INP6602</v>
      </c>
      <c r="D28" s="2" t="str">
        <v>cái</v>
      </c>
      <c r="E28" s="2" t="str">
        <v>10</v>
      </c>
      <c r="F28" s="2" t="str">
        <v>1361111.11</v>
      </c>
      <c r="G28" s="19" t="n">
        <v>14700000</v>
      </c>
      <c r="H28" s="2" t="str">
        <v>2.xlsx | 订单!Q42</v>
      </c>
    </row>
    <row r="29" ht="26" customHeight="1">
      <c r="A29" s="2" t="str">
        <v>S2-00016-BH</v>
      </c>
      <c r="B29" s="2" t="str">
        <v>INP6802</v>
      </c>
      <c r="C29" s="20" t="str">
        <v>Thùng đựng gạo inoxpran INP6802</v>
      </c>
      <c r="D29" s="2" t="str">
        <v>thùng</v>
      </c>
      <c r="E29" s="2" t="str">
        <v>4</v>
      </c>
      <c r="F29" s="2" t="str">
        <v>882407</v>
      </c>
      <c r="G29" s="19" t="n">
        <v>3811998</v>
      </c>
      <c r="H29" s="2" t="str">
        <v>2.xlsx | 订单!Q43</v>
      </c>
    </row>
    <row r="30" ht="26" customHeight="1">
      <c r="A30" s="2" t="str">
        <v>S2-00016-BH</v>
      </c>
      <c r="B30" s="2" t="str">
        <v>INP6501</v>
      </c>
      <c r="C30" s="20" t="str">
        <v>Máy làm tỏi đen đa năng INP6501</v>
      </c>
      <c r="D30" s="2" t="str">
        <v>cái</v>
      </c>
      <c r="E30" s="2" t="str">
        <v>12</v>
      </c>
      <c r="F30" s="2" t="str">
        <v>847222.22</v>
      </c>
      <c r="G30" s="19" t="n">
        <v>10980000</v>
      </c>
      <c r="H30" s="2" t="str">
        <v>2.xlsx | 订单!Q44</v>
      </c>
    </row>
    <row r="31" ht="26" customHeight="1">
      <c r="A31" s="2" t="str">
        <v>S2-00045-BH</v>
      </c>
      <c r="B31" s="2" t="str">
        <v>INP6001</v>
      </c>
      <c r="C31" s="20" t="str">
        <v>Nồi cơm điện tử (Nồi cơm điện đa năng giảm đường) INP6001</v>
      </c>
      <c r="D31" s="2" t="str">
        <v>cái</v>
      </c>
      <c r="E31" s="2" t="str">
        <v>8</v>
      </c>
      <c r="F31" s="2" t="str">
        <v>1138888.88</v>
      </c>
      <c r="G31" s="19" t="n">
        <v>9840000</v>
      </c>
      <c r="H31" s="2" t="str">
        <v>2.xlsx | 订单!Q45</v>
      </c>
    </row>
    <row r="32" ht="26" customHeight="1">
      <c r="A32" s="2" t="str">
        <v>S2-00045-BH</v>
      </c>
      <c r="B32" s="2" t="str">
        <v>INP6003</v>
      </c>
      <c r="C32" s="20" t="str">
        <v>Nồi cơm điện tử (Nồi cơm điện đa năng giảm đường) INP6003</v>
      </c>
      <c r="D32" s="2" t="str">
        <v>cái</v>
      </c>
      <c r="E32" s="2" t="str">
        <v>8</v>
      </c>
      <c r="F32" s="2" t="str">
        <v>851851.75</v>
      </c>
      <c r="G32" s="19" t="n">
        <v>7359999</v>
      </c>
      <c r="H32" s="2" t="str">
        <v>2.xlsx | 订单!Q46</v>
      </c>
    </row>
    <row r="33" ht="26" customHeight="1">
      <c r="A33" s="2" t="str">
        <v>S2-00047-BH</v>
      </c>
      <c r="B33" s="2" t="str">
        <v>INP6201</v>
      </c>
      <c r="C33" s="20" t="str">
        <v>Ấm điện siêu tốc INP6201 1,7 lít màu ghi</v>
      </c>
      <c r="D33" s="2" t="str">
        <v>cái</v>
      </c>
      <c r="E33" s="2" t="str">
        <v>12</v>
      </c>
      <c r="F33" s="2" t="str">
        <v>324074.07</v>
      </c>
      <c r="G33" s="19" t="n">
        <v>4200000</v>
      </c>
      <c r="H33" s="2" t="str">
        <v>2.xlsx | 订单!Q47</v>
      </c>
    </row>
    <row r="34" ht="26" customHeight="1">
      <c r="A34" s="2" t="str">
        <v>S2-00047-BH</v>
      </c>
      <c r="B34" s="2" t="str">
        <v>INP6202</v>
      </c>
      <c r="C34" s="20" t="str">
        <v>Ấm điện siêu tốc INP6202 1,7 lít màu đen</v>
      </c>
      <c r="D34" s="2" t="str">
        <v>cái</v>
      </c>
      <c r="E34" s="2" t="str">
        <v>12</v>
      </c>
      <c r="F34" s="2" t="str">
        <v>325925.92</v>
      </c>
      <c r="G34" s="19" t="n">
        <v>4224000</v>
      </c>
      <c r="H34" s="2" t="str">
        <v>2.xlsx | 订单!Q48</v>
      </c>
    </row>
    <row r="35" ht="26" customHeight="1">
      <c r="A35" s="2" t="str">
        <v>S2-00047-BH</v>
      </c>
      <c r="B35" s="2" t="str">
        <v>INP6203</v>
      </c>
      <c r="C35" s="20" t="str">
        <v>Ấm đun nước INP6203, 1.7L</v>
      </c>
      <c r="D35" s="2" t="str">
        <v>cái</v>
      </c>
      <c r="E35" s="2" t="str">
        <v>12</v>
      </c>
      <c r="F35" s="2" t="str">
        <v>349074.07</v>
      </c>
      <c r="G35" s="19" t="n">
        <v>4524000</v>
      </c>
      <c r="H35" s="2" t="str">
        <v>2.xlsx | 订单!Q49</v>
      </c>
    </row>
    <row r="36" ht="26" customHeight="1">
      <c r="A36" s="2" t="str">
        <v>S2-00047-BH</v>
      </c>
      <c r="B36" s="2" t="str">
        <v>INP6204</v>
      </c>
      <c r="C36" s="20" t="str">
        <v>Ấm đun nước INP6204, 1.0L</v>
      </c>
      <c r="D36" s="2" t="str">
        <v>cái</v>
      </c>
      <c r="E36" s="2" t="str">
        <v>12</v>
      </c>
      <c r="F36" s="2" t="str">
        <v>284259.25</v>
      </c>
      <c r="G36" s="19" t="n">
        <v>3684000</v>
      </c>
      <c r="H36" s="2" t="str">
        <v>2.xlsx | 订单!Q50</v>
      </c>
    </row>
    <row r="37" ht="26" customHeight="1">
      <c r="A37" s="2" t="str">
        <v>S2-00047-BH</v>
      </c>
      <c r="B37" s="2" t="str">
        <v>INP6205</v>
      </c>
      <c r="C37" s="20" t="str">
        <v>Ấm đun nước INP6205, 1.0L</v>
      </c>
      <c r="D37" s="2" t="str">
        <v>cái</v>
      </c>
      <c r="E37" s="2" t="str">
        <v>12</v>
      </c>
      <c r="F37" s="2" t="str">
        <v>280555.55</v>
      </c>
      <c r="G37" s="19" t="n">
        <v>3636000</v>
      </c>
      <c r="H37" s="2" t="str">
        <v>2.xlsx | 订单!Q51</v>
      </c>
    </row>
    <row r="38" ht="26" customHeight="1">
      <c r="A38" s="2" t="str">
        <v>S2-00047-BH</v>
      </c>
      <c r="B38" s="2" t="str">
        <v>INP6206</v>
      </c>
      <c r="C38" s="20" t="str">
        <v>Ấm đun nước INP6206, 1.7L</v>
      </c>
      <c r="D38" s="2" t="str">
        <v>cái</v>
      </c>
      <c r="E38" s="2" t="str">
        <v>12</v>
      </c>
      <c r="F38" s="2" t="str">
        <v>263888.88</v>
      </c>
      <c r="G38" s="19" t="n">
        <v>3420000</v>
      </c>
      <c r="H38" s="2" t="str">
        <v>2.xlsx | 订单!Q52</v>
      </c>
    </row>
    <row r="39" ht="26" customHeight="1">
      <c r="A39" s="2" t="str">
        <v>S2-00053-BH</v>
      </c>
      <c r="B39" s="2" t="str">
        <v>INP6501</v>
      </c>
      <c r="C39" s="20" t="str">
        <v>Máy làm tỏi đen đa năng INP6501</v>
      </c>
      <c r="D39" s="2" t="str">
        <v>cái</v>
      </c>
      <c r="E39" s="2" t="str">
        <v>12</v>
      </c>
      <c r="F39" s="2" t="str">
        <v>847222.22</v>
      </c>
      <c r="G39" s="19" t="n">
        <v>10980000</v>
      </c>
      <c r="H39" s="2" t="str">
        <v>2.xlsx | 订单!Q53</v>
      </c>
    </row>
    <row r="40" ht="26" customHeight="1">
      <c r="A40" s="2" t="str">
        <v>S2-00053-BH</v>
      </c>
      <c r="B40" s="2" t="str">
        <v>INP6701</v>
      </c>
      <c r="C40" s="20" t="str">
        <v>Máy xay thực phẩm INP6701</v>
      </c>
      <c r="D40" s="2" t="str">
        <v>cái</v>
      </c>
      <c r="E40" s="2" t="str">
        <v>16</v>
      </c>
      <c r="F40" s="2" t="str">
        <v>361111.11</v>
      </c>
      <c r="G40" s="19" t="n">
        <v>6240000</v>
      </c>
      <c r="H40" s="2" t="str">
        <v>2.xlsx | 订单!Q54</v>
      </c>
    </row>
    <row r="41" ht="26" customHeight="1">
      <c r="A41" s="2" t="str">
        <v>S2-00053-BH</v>
      </c>
      <c r="B41" s="2" t="str">
        <v>INP1201</v>
      </c>
      <c r="C41" s="20" t="str">
        <v>Nồi Inox INP1201</v>
      </c>
      <c r="D41" s="2" t="str">
        <v>cái</v>
      </c>
      <c r="E41" s="2" t="str">
        <v>10</v>
      </c>
      <c r="F41" s="2" t="str">
        <v>387962.96</v>
      </c>
      <c r="G41" s="19" t="n">
        <v>4190000</v>
      </c>
      <c r="H41" s="2" t="str">
        <v>2.xlsx | 订单!Q55</v>
      </c>
    </row>
    <row r="42" ht="26" customHeight="1">
      <c r="A42" s="2" t="str">
        <v>S2-00053-BH</v>
      </c>
      <c r="B42" s="2" t="str">
        <v>INP1202</v>
      </c>
      <c r="C42" s="20" t="str">
        <v>Nồi Inox INP1202</v>
      </c>
      <c r="D42" s="2" t="str">
        <v>cái</v>
      </c>
      <c r="E42" s="2" t="str">
        <v>10</v>
      </c>
      <c r="F42" s="2" t="str">
        <v>472222.22</v>
      </c>
      <c r="G42" s="19" t="n">
        <v>5100000</v>
      </c>
      <c r="H42" s="2" t="str">
        <v>2.xlsx | 订单!Q56</v>
      </c>
    </row>
    <row r="43" ht="26" customHeight="1">
      <c r="A43" s="2" t="str">
        <v>S2-00053-BH</v>
      </c>
      <c r="B43" s="2" t="str">
        <v>INP1203</v>
      </c>
      <c r="C43" s="20" t="str">
        <v>Nồi Inox INP1203</v>
      </c>
      <c r="D43" s="2" t="str">
        <v>nồi</v>
      </c>
      <c r="E43" s="2" t="str">
        <v>10</v>
      </c>
      <c r="F43" s="2" t="str">
        <v>492592.6</v>
      </c>
      <c r="G43" s="19" t="n">
        <v>5320000</v>
      </c>
      <c r="H43" s="2" t="str">
        <v>2.xlsx | 订单!Q57</v>
      </c>
    </row>
    <row r="44" ht="26" customHeight="1">
      <c r="A44" s="2" t="str">
        <v>S2-00058-TH</v>
      </c>
      <c r="B44" s="2" t="str">
        <v>INP6501</v>
      </c>
      <c r="C44" s="20" t="str">
        <v>Máy làm tỏi đen đa năng INP6501</v>
      </c>
      <c r="D44" s="2" t="str">
        <v>cái</v>
      </c>
      <c r="E44" s="2" t="str">
        <v>-12</v>
      </c>
      <c r="F44" s="2" t="str">
        <v>847222.22</v>
      </c>
      <c r="G44" s="19" t="n">
        <v>10980000</v>
      </c>
      <c r="H44" s="2" t="str">
        <v>2.xlsx | 订单!Q58</v>
      </c>
    </row>
    <row r="45" ht="26" customHeight="1">
      <c r="A45" s="2" t="str">
        <v>S2-00059-BH</v>
      </c>
      <c r="B45" s="2" t="str">
        <v>INP1001</v>
      </c>
      <c r="C45" s="20" t="str">
        <v>Bộ nồi inox INP1001</v>
      </c>
      <c r="D45" s="2" t="str">
        <v>Bộ</v>
      </c>
      <c r="E45" s="2" t="str">
        <v>16</v>
      </c>
      <c r="F45" s="2" t="str">
        <v>480555.55</v>
      </c>
      <c r="G45" s="19" t="n">
        <v>8304000</v>
      </c>
      <c r="H45" s="2" t="str">
        <v>2.xlsx | 订单!Q59</v>
      </c>
    </row>
    <row r="46" ht="26" customHeight="1">
      <c r="A46" s="2" t="str">
        <v>S2-00059-BH</v>
      </c>
      <c r="B46" s="2" t="str">
        <v>NP1002</v>
      </c>
      <c r="C46" s="20" t="str">
        <v>Bộ nồi inox INP1002</v>
      </c>
      <c r="D46" s="2" t="str">
        <v>Bộ</v>
      </c>
      <c r="E46" s="2" t="str">
        <v>16</v>
      </c>
      <c r="F46" s="2" t="str">
        <v>647222.22</v>
      </c>
      <c r="G46" s="19" t="n">
        <v>11184000</v>
      </c>
      <c r="H46" s="2" t="str">
        <v>2.xlsx | 订单!Q60</v>
      </c>
    </row>
    <row r="47" ht="26" customHeight="1">
      <c r="A47" s="2" t="str">
        <v>S2-00059-BH</v>
      </c>
      <c r="B47" s="2" t="str">
        <v>INP1003</v>
      </c>
      <c r="C47" s="20" t="str">
        <v>Bộ nồi Inox INP1003 </v>
      </c>
      <c r="D47" s="2" t="str">
        <v>Bộ</v>
      </c>
      <c r="E47" s="2" t="str">
        <v>12</v>
      </c>
      <c r="F47" s="2" t="str">
        <v>324074.07</v>
      </c>
      <c r="G47" s="19" t="n">
        <v>4200000</v>
      </c>
      <c r="H47" s="2" t="str">
        <v>2.xlsx | 订单!Q61</v>
      </c>
    </row>
    <row r="48" ht="26" customHeight="1">
      <c r="A48" s="2" t="str">
        <v>S2-00059-BH</v>
      </c>
      <c r="B48" s="2" t="str">
        <v>INP2002</v>
      </c>
      <c r="C48" s="20" t="str">
        <v>	Bộ nồi inox INP2002</v>
      </c>
      <c r="D48" s="2" t="str">
        <v>Bộ</v>
      </c>
      <c r="E48" s="2" t="str">
        <v>10</v>
      </c>
      <c r="F48" s="2" t="str">
        <v>851851.85</v>
      </c>
      <c r="G48" s="19" t="n">
        <v>9200000</v>
      </c>
      <c r="H48" s="2" t="str">
        <v>2.xlsx | 订单!Q62</v>
      </c>
    </row>
    <row r="49" ht="26" customHeight="1">
      <c r="A49" s="2" t="str">
        <v>S2-00059-BH</v>
      </c>
      <c r="B49" s="2" t="str">
        <v>INP6701</v>
      </c>
      <c r="C49" s="20" t="str">
        <v>Máy xay thực phẩm INP6701</v>
      </c>
      <c r="D49" s="2" t="str">
        <v>cái</v>
      </c>
      <c r="E49" s="2" t="str">
        <v>16</v>
      </c>
      <c r="F49" s="2" t="str">
        <v>382777.78</v>
      </c>
      <c r="G49" s="19" t="n">
        <v>6614400</v>
      </c>
      <c r="H49" s="2" t="str">
        <v>2.xlsx | 订单!Q63</v>
      </c>
    </row>
    <row r="50" ht="26" customHeight="1">
      <c r="A50" s="2" t="str">
        <v>S2-00064-BH</v>
      </c>
      <c r="B50" s="2" t="str">
        <v>INP6401</v>
      </c>
      <c r="C50" s="20" t="str">
        <v>Quạt đứng INP6401</v>
      </c>
      <c r="D50" s="2" t="str">
        <v>cái</v>
      </c>
      <c r="E50" s="2" t="str">
        <v>100</v>
      </c>
      <c r="F50" s="2" t="str">
        <v>509259.26</v>
      </c>
      <c r="G50" s="19" t="n">
        <v>55000000</v>
      </c>
      <c r="H50" s="2" t="str">
        <v>2.xlsx | 订单!Q64</v>
      </c>
    </row>
    <row r="51" ht="26" customHeight="1">
      <c r="A51" s="2" t="str">
        <v>S2-00065-BH</v>
      </c>
      <c r="B51" s="2" t="str">
        <v>INP6902</v>
      </c>
      <c r="C51" s="20" t="str">
        <v>Nồi áp suất điện INP6902</v>
      </c>
      <c r="D51" s="2" t="str">
        <v>Nồi</v>
      </c>
      <c r="E51" s="2" t="str">
        <v>40</v>
      </c>
      <c r="F51" s="2" t="str">
        <v>814814.81</v>
      </c>
      <c r="G51" s="19" t="n">
        <v>35200000</v>
      </c>
      <c r="H51" s="2" t="str">
        <v>2.xlsx | 订单!Q65</v>
      </c>
    </row>
    <row r="52" ht="26" customHeight="1">
      <c r="A52" s="2" t="str">
        <v>S2-00065-BH</v>
      </c>
      <c r="B52" s="2" t="str">
        <v>INP6903</v>
      </c>
      <c r="C52" s="20" t="str">
        <v>Nồi áp suất điện INP6903</v>
      </c>
      <c r="D52" s="2" t="str">
        <v>Nồi</v>
      </c>
      <c r="E52" s="2" t="str">
        <v>20</v>
      </c>
      <c r="F52" s="2" t="str">
        <v>907407.41</v>
      </c>
      <c r="G52" s="19" t="n">
        <v>19600000</v>
      </c>
      <c r="H52" s="2" t="str">
        <v>2.xlsx | 订单!Q66</v>
      </c>
    </row>
    <row r="53" ht="26" customHeight="1">
      <c r="A53" s="2" t="str">
        <v>S2-00067-BH</v>
      </c>
      <c r="B53" s="2" t="str">
        <v>INP6402</v>
      </c>
      <c r="C53" s="20" t="str">
        <v>Quạt điện đứng INP6402</v>
      </c>
      <c r="D53" s="2" t="str">
        <v>Cái</v>
      </c>
      <c r="E53" s="2" t="str">
        <v>50</v>
      </c>
      <c r="F53" s="2" t="str">
        <v>574074.07</v>
      </c>
      <c r="G53" s="19" t="n">
        <v>31000000</v>
      </c>
      <c r="H53" s="2" t="str">
        <v>2.xlsx | 订单!Q67</v>
      </c>
    </row>
    <row r="54" ht="26" customHeight="1">
      <c r="A54" s="2" t="str">
        <v>S2-00068-BH</v>
      </c>
      <c r="B54" s="2" t="str">
        <v>INP6403</v>
      </c>
      <c r="C54" s="20" t="str">
        <v>Quạt điện đứng INP6403</v>
      </c>
      <c r="D54" s="2" t="str">
        <v>Cái</v>
      </c>
      <c r="E54" s="2" t="str">
        <v>50</v>
      </c>
      <c r="F54" s="2" t="str">
        <v>694444.44</v>
      </c>
      <c r="G54" s="19" t="n">
        <v>37500000</v>
      </c>
      <c r="H54" s="2" t="str">
        <v>2.xlsx | 订单!Q68</v>
      </c>
    </row>
    <row r="55" ht="26" customHeight="1">
      <c r="A55" s="2" t="str">
        <v>S2-00070-BH</v>
      </c>
      <c r="B55" s="2" t="str">
        <v>INP6407</v>
      </c>
      <c r="C55" s="20" t="str">
        <v>	Quạt để bàn mini INP6407</v>
      </c>
      <c r="D55" s="2" t="str">
        <v>Cái</v>
      </c>
      <c r="E55" s="2" t="str">
        <v>36</v>
      </c>
      <c r="F55" s="2" t="str">
        <v>231481.48</v>
      </c>
      <c r="G55" s="19" t="n">
        <v>9000000</v>
      </c>
      <c r="H55" s="2" t="str">
        <v>2.xlsx | 订单!Q70</v>
      </c>
    </row>
    <row r="56" ht="26" customHeight="1">
      <c r="A56" s="2" t="str">
        <v>S2-00070-BH</v>
      </c>
      <c r="B56" s="2" t="str">
        <v>INP6408</v>
      </c>
      <c r="C56" s="20" t="str">
        <v>Quạt hai đầu đa năng để bàn INP6408</v>
      </c>
      <c r="D56" s="2" t="str">
        <v>Cái</v>
      </c>
      <c r="E56" s="2" t="str">
        <v>40</v>
      </c>
      <c r="F56" s="2" t="str">
        <v>185185.19</v>
      </c>
      <c r="G56" s="19" t="n">
        <v>8000000</v>
      </c>
      <c r="H56" s="2" t="str">
        <v>2.xlsx | 订单!Q71</v>
      </c>
    </row>
    <row r="57" ht="26" customHeight="1">
      <c r="A57" s="2" t="str">
        <v>S2-00070-BH</v>
      </c>
      <c r="B57" s="2" t="str">
        <v>INP6409</v>
      </c>
      <c r="C57" s="20" t="str">
        <v>	
Quạt để bàn mini INP6409</v>
      </c>
      <c r="D57" s="2" t="str">
        <v>Cái</v>
      </c>
      <c r="E57" s="2" t="str">
        <v>60</v>
      </c>
      <c r="F57" s="2" t="str">
        <v>203703.7</v>
      </c>
      <c r="G57" s="19" t="n">
        <v>13200000</v>
      </c>
      <c r="H57" s="2" t="str">
        <v>2.xlsx | 订单!Q72</v>
      </c>
    </row>
    <row r="58" ht="26" customHeight="1">
      <c r="A58" s="2" t="str">
        <v>S2-00070-BH</v>
      </c>
      <c r="B58" s="2" t="str">
        <v>INP6410</v>
      </c>
      <c r="C58" s="20" t="str">
        <v>	
Quạt để bàn mini INP6410</v>
      </c>
      <c r="D58" s="2" t="str">
        <v>Cái</v>
      </c>
      <c r="E58" s="2" t="str">
        <v>60</v>
      </c>
      <c r="F58" s="2" t="str">
        <v>231481.48</v>
      </c>
      <c r="G58" s="19" t="n">
        <v>15000000</v>
      </c>
      <c r="H58" s="2" t="str">
        <v>2.xlsx | 订单!Q73</v>
      </c>
    </row>
    <row r="59" ht="26" customHeight="1">
      <c r="A59" s="2" t="str">
        <v>S2-00070-BH</v>
      </c>
      <c r="B59" s="2" t="str">
        <v>INP6411</v>
      </c>
      <c r="C59" s="20" t="str">
        <v>Quạt tích điện INP6411</v>
      </c>
      <c r="D59" s="2" t="str">
        <v>Cái</v>
      </c>
      <c r="E59" s="2" t="str">
        <v>40</v>
      </c>
      <c r="F59" s="2" t="str">
        <v>425925.93</v>
      </c>
      <c r="G59" s="19" t="n">
        <v>18400000</v>
      </c>
      <c r="H59" s="2" t="str">
        <v>2.xlsx | 订单!Q74</v>
      </c>
    </row>
    <row r="60" ht="26" customHeight="1">
      <c r="A60" s="2" t="str">
        <v>S2-00075-BH</v>
      </c>
      <c r="B60" s="2" t="str">
        <v>INP2103</v>
      </c>
      <c r="C60" s="20" t="str">
        <v>Chảo inox chống dính đúc nguyên khốiINP2103</v>
      </c>
      <c r="D60" s="2" t="str">
        <v>Cái</v>
      </c>
      <c r="E60" s="2" t="str">
        <v>30</v>
      </c>
      <c r="F60" s="2" t="str">
        <v>281481.48</v>
      </c>
      <c r="G60" s="19" t="n">
        <v>9120000</v>
      </c>
      <c r="H60" s="2" t="str">
        <v>2.xlsx | 订单!Q75</v>
      </c>
    </row>
    <row r="61" ht="26" customHeight="1">
      <c r="A61" s="2" t="str">
        <v>S2-00075-BH</v>
      </c>
      <c r="B61" s="2" t="str">
        <v>INP2104</v>
      </c>
      <c r="C61" s="20" t="str">
        <v>Chảo inox chống dính đúc nguyên khối INP2104</v>
      </c>
      <c r="D61" s="2" t="str">
        <v>Cái</v>
      </c>
      <c r="E61" s="2" t="str">
        <v>20</v>
      </c>
      <c r="F61" s="2" t="str">
        <v>298148.15</v>
      </c>
      <c r="G61" s="19" t="n">
        <v>6440000</v>
      </c>
      <c r="H61" s="2" t="str">
        <v>2.xlsx | 订单!Q76</v>
      </c>
    </row>
    <row r="62" ht="26" customHeight="1">
      <c r="A62" s="2" t="str">
        <v>S2-00075-BH</v>
      </c>
      <c r="B62" s="2" t="str">
        <v>INP2106</v>
      </c>
      <c r="C62" s="20" t="str">
        <v>Chảo inox đúc nguyên khối (không chống dính)INP2106</v>
      </c>
      <c r="D62" s="2" t="str">
        <v>Cái</v>
      </c>
      <c r="E62" s="2" t="str">
        <v>30</v>
      </c>
      <c r="F62" s="2" t="str">
        <v>259259.25</v>
      </c>
      <c r="G62" s="19" t="n">
        <v>8399999</v>
      </c>
      <c r="H62" s="2" t="str">
        <v>2.xlsx | 订单!Q77</v>
      </c>
    </row>
    <row r="63" ht="26" customHeight="1">
      <c r="A63" s="2" t="str">
        <v>S2-00075-BH</v>
      </c>
      <c r="B63" s="2" t="str">
        <v>INP2107</v>
      </c>
      <c r="C63" s="20" t="str">
        <v>Chảo inox đúc nguyên khối (không chống dính) INP2107</v>
      </c>
      <c r="D63" s="2" t="str">
        <v>Cái</v>
      </c>
      <c r="E63" s="2" t="str">
        <v>30</v>
      </c>
      <c r="F63" s="2" t="str">
        <v>268518.52</v>
      </c>
      <c r="G63" s="19" t="n">
        <v>8700000</v>
      </c>
      <c r="H63" s="2" t="str">
        <v>2.xlsx | 订单!Q78</v>
      </c>
    </row>
    <row r="64" ht="26" customHeight="1">
      <c r="A64" s="2" t="str">
        <v>S2-00075-BH</v>
      </c>
      <c r="B64" s="2" t="str">
        <v>INP2110</v>
      </c>
      <c r="C64" s="20" t="str">
        <v>Chảo inox đúc nguyên khối (không chống dính)INP2110</v>
      </c>
      <c r="D64" s="2" t="str">
        <v>Cái</v>
      </c>
      <c r="E64" s="2" t="str">
        <v>40</v>
      </c>
      <c r="F64" s="2" t="str">
        <v>259259.25</v>
      </c>
      <c r="G64" s="19" t="n">
        <v>11199999</v>
      </c>
      <c r="H64" s="2" t="str">
        <v>2.xlsx | 订单!Q79</v>
      </c>
    </row>
    <row r="65" ht="26" customHeight="1">
      <c r="A65" s="2" t="str">
        <v>S2-00075-BH</v>
      </c>
      <c r="B65" s="2" t="str">
        <v>INP2111</v>
      </c>
      <c r="C65" s="20" t="str">
        <v>Chảo inox đúc nguyên khối (không chống dính)INP2111</v>
      </c>
      <c r="D65" s="2" t="str">
        <v>Cái</v>
      </c>
      <c r="E65" s="2" t="str">
        <v>20</v>
      </c>
      <c r="F65" s="2" t="str">
        <v>277777.8</v>
      </c>
      <c r="G65" s="19" t="n">
        <v>6000000</v>
      </c>
      <c r="H65" s="2" t="str">
        <v>2.xlsx | 订单!Q80</v>
      </c>
    </row>
    <row r="66" ht="26" customHeight="1">
      <c r="A66" s="2" t="str">
        <v>S2-00081-BH</v>
      </c>
      <c r="B66" s="2" t="str">
        <v>INP1001</v>
      </c>
      <c r="C66" s="20" t="str">
        <v>Bộ nồi inox INP1001</v>
      </c>
      <c r="D66" s="2" t="str">
        <v>Bộ</v>
      </c>
      <c r="E66" s="2" t="str">
        <v>20</v>
      </c>
      <c r="F66" s="2" t="str">
        <v>480555.55</v>
      </c>
      <c r="G66" s="19" t="n">
        <v>10380000</v>
      </c>
      <c r="H66" s="2" t="str">
        <v>2.xlsx | 订单!Q81</v>
      </c>
    </row>
    <row r="67" ht="26" customHeight="1">
      <c r="A67" s="2" t="str">
        <v>S2-00081-BH</v>
      </c>
      <c r="B67" s="2" t="str">
        <v>INP1101</v>
      </c>
      <c r="C67" s="20" t="str">
        <v>Bộ nồi inox INP1101</v>
      </c>
      <c r="D67" s="2" t="str">
        <v>cái</v>
      </c>
      <c r="E67" s="2" t="str">
        <v>20</v>
      </c>
      <c r="F67" s="2" t="str">
        <v>483333.33</v>
      </c>
      <c r="G67" s="19" t="n">
        <v>10440000</v>
      </c>
      <c r="H67" s="2" t="str">
        <v>2.xlsx | 订单!Q82</v>
      </c>
    </row>
    <row r="68" ht="26" customHeight="1">
      <c r="A68" s="2" t="str">
        <v>S2-00081-BH</v>
      </c>
      <c r="B68" s="2" t="str">
        <v>INP1003</v>
      </c>
      <c r="C68" s="20" t="str">
        <v>Bộ nồi Inox INP1003 </v>
      </c>
      <c r="D68" s="2" t="str">
        <v>cái</v>
      </c>
      <c r="E68" s="2" t="str">
        <v>40</v>
      </c>
      <c r="F68" s="2" t="str">
        <v>324074.07</v>
      </c>
      <c r="G68" s="19" t="n">
        <v>14000000</v>
      </c>
      <c r="H68" s="2" t="str">
        <v>2.xlsx | 订单!Q83</v>
      </c>
    </row>
    <row r="69" ht="26" customHeight="1">
      <c r="A69" s="2" t="str">
        <v>S2-00081-BH</v>
      </c>
      <c r="B69" s="2" t="str">
        <v>NP1002</v>
      </c>
      <c r="C69" s="20" t="str">
        <v>Bộ nồi inox INP1002</v>
      </c>
      <c r="D69" s="2" t="str">
        <v>Bộ</v>
      </c>
      <c r="E69" s="2" t="str">
        <v>10</v>
      </c>
      <c r="F69" s="2" t="str">
        <v>647222.22</v>
      </c>
      <c r="G69" s="19" t="n">
        <v>6990000</v>
      </c>
      <c r="H69" s="2" t="str">
        <v>2.xlsx | 订单!Q84</v>
      </c>
    </row>
    <row r="70" ht="26" customHeight="1">
      <c r="A70" s="2" t="str">
        <v>S2-00081-BH</v>
      </c>
      <c r="B70" s="2" t="str">
        <v>INP2102</v>
      </c>
      <c r="C70" s="20" t="str">
        <v>Chảo inox chống dính đúc nguyên khốiINP2102</v>
      </c>
      <c r="D70" s="2" t="str">
        <v>cái</v>
      </c>
      <c r="E70" s="2" t="str">
        <v>30</v>
      </c>
      <c r="F70" s="2" t="str">
        <v>256481.48</v>
      </c>
      <c r="G70" s="19" t="n">
        <v>8310000</v>
      </c>
      <c r="H70" s="2" t="str">
        <v>2.xlsx | 订单!Q85</v>
      </c>
    </row>
    <row r="71" ht="26" customHeight="1">
      <c r="A71" s="2" t="str">
        <v>S2-00081-BH</v>
      </c>
      <c r="B71" s="2" t="str">
        <v>INP2105</v>
      </c>
      <c r="C71" s="20" t="str">
        <v>Chảo inox đúc nguyên khối (không chống dính)INP2105</v>
      </c>
      <c r="D71" s="2" t="str">
        <v>cái</v>
      </c>
      <c r="E71" s="2" t="str">
        <v>30</v>
      </c>
      <c r="F71" s="2" t="str">
        <v>240740.74</v>
      </c>
      <c r="G71" s="19" t="n">
        <v>7800000</v>
      </c>
      <c r="H71" s="2" t="str">
        <v>2.xlsx | 订单!Q86</v>
      </c>
    </row>
    <row r="72" ht="26" customHeight="1">
      <c r="A72" s="2" t="str">
        <v>S2-00081-BH</v>
      </c>
      <c r="B72" s="2" t="str">
        <v>INP2109</v>
      </c>
      <c r="C72" s="20" t="str">
        <v>Chảo inox đúc nguyên khối (không chống dính)INP2109</v>
      </c>
      <c r="D72" s="2" t="str">
        <v>cái</v>
      </c>
      <c r="E72" s="2" t="str">
        <v>30</v>
      </c>
      <c r="F72" s="2" t="str">
        <v>240740.74</v>
      </c>
      <c r="G72" s="19" t="n">
        <v>7800000</v>
      </c>
      <c r="H72" s="2" t="str">
        <v>2.xlsx | 订单!Q87</v>
      </c>
    </row>
    <row r="73" ht="26" customHeight="1">
      <c r="A73" s="2" t="str">
        <v>S2-00081-BH</v>
      </c>
      <c r="B73" s="2" t="str">
        <v>INP1201</v>
      </c>
      <c r="C73" s="20" t="str">
        <v>Nồi Inox INP1201</v>
      </c>
      <c r="D73" s="2" t="str">
        <v>cái</v>
      </c>
      <c r="E73" s="2" t="str">
        <v>16</v>
      </c>
      <c r="F73" s="2" t="str">
        <v>387962.96</v>
      </c>
      <c r="G73" s="19" t="n">
        <v>6704000</v>
      </c>
      <c r="H73" s="2" t="str">
        <v>2.xlsx | 订单!Q88</v>
      </c>
    </row>
    <row r="74" ht="26" customHeight="1">
      <c r="A74" s="2" t="str">
        <v>S2-00081-BH</v>
      </c>
      <c r="B74" s="2" t="str">
        <v>INP1202</v>
      </c>
      <c r="C74" s="20" t="str">
        <v>Nồi Inox INP1202</v>
      </c>
      <c r="D74" s="2" t="str">
        <v>cái</v>
      </c>
      <c r="E74" s="2" t="str">
        <v>16</v>
      </c>
      <c r="F74" s="2" t="str">
        <v>472222.22</v>
      </c>
      <c r="G74" s="19" t="n">
        <v>8160000</v>
      </c>
      <c r="H74" s="2" t="str">
        <v>2.xlsx | 订单!Q89</v>
      </c>
    </row>
    <row r="75" ht="26" customHeight="1">
      <c r="A75" s="2" t="str">
        <v>S2-00081-BH</v>
      </c>
      <c r="B75" s="2" t="str">
        <v>INP1203</v>
      </c>
      <c r="C75" s="20" t="str">
        <v>Nồi Inox INP1203</v>
      </c>
      <c r="D75" s="2" t="str">
        <v>nồi</v>
      </c>
      <c r="E75" s="2" t="str">
        <v>16</v>
      </c>
      <c r="F75" s="2" t="str">
        <v>492592.6</v>
      </c>
      <c r="G75" s="19" t="n">
        <v>8512000</v>
      </c>
      <c r="H75" s="2" t="str">
        <v>2.xlsx | 订单!Q90</v>
      </c>
    </row>
    <row r="76" ht="26" customHeight="1">
      <c r="A76" s="2" t="str">
        <v>S2-00081-BH</v>
      </c>
      <c r="B76" s="2" t="str">
        <v>INP2002</v>
      </c>
      <c r="C76" s="20" t="str">
        <v>	Bộ nồi inox INP2002</v>
      </c>
      <c r="D76" s="2" t="str">
        <v>Bộ</v>
      </c>
      <c r="E76" s="2" t="str">
        <v>10</v>
      </c>
      <c r="F76" s="2" t="str">
        <v>851851.85</v>
      </c>
      <c r="G76" s="19" t="n">
        <v>9200000</v>
      </c>
      <c r="H76" s="2" t="str">
        <v>2.xlsx | 订单!Q91</v>
      </c>
    </row>
    <row r="77" ht="26" customHeight="1">
      <c r="A77" s="2" t="str">
        <v>S2-00081-BH</v>
      </c>
      <c r="B77" s="2" t="str">
        <v>INP6101</v>
      </c>
      <c r="C77" s="20" t="str">
        <v>Bếp từ đơn INP6101( 2200W, mặt kính màu sữa )</v>
      </c>
      <c r="D77" s="2" t="str">
        <v>cái</v>
      </c>
      <c r="E77" s="2" t="str">
        <v>12</v>
      </c>
      <c r="F77" s="2" t="str">
        <v>601851.85</v>
      </c>
      <c r="G77" s="19" t="n">
        <v>7800000</v>
      </c>
      <c r="H77" s="2" t="str">
        <v>2.xlsx | 订单!Q92</v>
      </c>
    </row>
    <row r="78" ht="26" customHeight="1">
      <c r="A78" s="2" t="str">
        <v>S2-00081-BH</v>
      </c>
      <c r="B78" s="2" t="str">
        <v>INP6102</v>
      </c>
      <c r="C78" s="20" t="str">
        <v>Bếp từ đơn INP6102 ( 2500W), 2 quạt tản</v>
      </c>
      <c r="D78" s="2" t="str">
        <v>cái</v>
      </c>
      <c r="E78" s="2" t="str">
        <v>12</v>
      </c>
      <c r="F78" s="2" t="str">
        <v>937962.96</v>
      </c>
      <c r="G78" s="19" t="n">
        <v>12156000</v>
      </c>
      <c r="H78" s="2" t="str">
        <v>2.xlsx | 订单!Q93</v>
      </c>
    </row>
    <row r="79" ht="26" customHeight="1">
      <c r="A79" s="2" t="str">
        <v>S2-00081-BH</v>
      </c>
      <c r="B79" s="2" t="str">
        <v>INP6103</v>
      </c>
      <c r="C79" s="20" t="str">
        <v>Bếp từ đơn INP6103 </v>
      </c>
      <c r="D79" s="2" t="str">
        <v>cái</v>
      </c>
      <c r="E79" s="2" t="str">
        <v>12</v>
      </c>
      <c r="F79" s="2" t="str">
        <v>799074.07</v>
      </c>
      <c r="G79" s="19" t="n">
        <v>10356000</v>
      </c>
      <c r="H79" s="2" t="str">
        <v>2.xlsx | 订单!Q94</v>
      </c>
    </row>
    <row r="80" ht="26" customHeight="1">
      <c r="A80" s="2" t="str">
        <v>S2-00081-BH</v>
      </c>
      <c r="B80" s="2" t="str">
        <v>INP6104</v>
      </c>
      <c r="C80" s="20" t="str">
        <v>Bếp từ đơn INP6104 ( 2500W ) </v>
      </c>
      <c r="D80" s="2" t="str">
        <v>cái</v>
      </c>
      <c r="E80" s="2" t="str">
        <v>12</v>
      </c>
      <c r="F80" s="2" t="str">
        <v>1007407.4</v>
      </c>
      <c r="G80" s="19" t="n">
        <v>13056000</v>
      </c>
      <c r="H80" s="2" t="str">
        <v>2.xlsx | 订单!Q95</v>
      </c>
    </row>
    <row r="81" ht="26" customHeight="1">
      <c r="A81" s="2" t="str">
        <v>S2-00098-TH</v>
      </c>
      <c r="B81" s="2" t="str">
        <v>INP3001</v>
      </c>
      <c r="C81" s="20" t="str">
        <v>Nồi gang tráng menINP3001</v>
      </c>
      <c r="D81" s="2" t="str">
        <v>cái</v>
      </c>
      <c r="E81" s="2" t="str">
        <v>-10</v>
      </c>
      <c r="F81" s="2" t="str">
        <v>659259.25</v>
      </c>
      <c r="G81" s="19" t="n">
        <v>7120000</v>
      </c>
      <c r="H81" s="2" t="str">
        <v>2.xlsx | 订单!Q98</v>
      </c>
    </row>
    <row r="82" ht="26" customHeight="1">
      <c r="A82" s="2" t="str">
        <v>S2-00098-TH</v>
      </c>
      <c r="B82" s="2" t="str">
        <v>INP3002</v>
      </c>
      <c r="C82" s="20" t="str">
        <v>Nồi gang tráng menINP3002</v>
      </c>
      <c r="D82" s="2" t="str">
        <v>cái</v>
      </c>
      <c r="E82" s="2" t="str">
        <v>-10</v>
      </c>
      <c r="F82" s="2" t="str">
        <v>569444.44</v>
      </c>
      <c r="G82" s="19" t="n">
        <v>6150000</v>
      </c>
      <c r="H82" s="2" t="str">
        <v>2.xlsx | 订单!Q99</v>
      </c>
    </row>
    <row r="83" ht="26" customHeight="1">
      <c r="A83" s="2" t="str">
        <v>S2-00098-TH</v>
      </c>
      <c r="B83" s="2" t="str">
        <v>INP3003</v>
      </c>
      <c r="C83" s="20" t="str">
        <v>Nồi gang tráng menINP3003</v>
      </c>
      <c r="D83" s="2" t="str">
        <v>cái</v>
      </c>
      <c r="E83" s="2" t="str">
        <v>-12</v>
      </c>
      <c r="F83" s="2" t="str">
        <v>564815</v>
      </c>
      <c r="G83" s="19" t="n">
        <v>7320003</v>
      </c>
      <c r="H83" s="2" t="str">
        <v>2.xlsx | 订单!Q100</v>
      </c>
    </row>
    <row r="84" ht="26" customHeight="1">
      <c r="A84" s="2" t="str">
        <v>S2-00098-TH</v>
      </c>
      <c r="B84" s="2" t="str">
        <v>INP3004</v>
      </c>
      <c r="C84" s="20" t="str">
        <v>Nồi gang tráng menINP3004</v>
      </c>
      <c r="D84" s="2" t="str">
        <v>cái</v>
      </c>
      <c r="E84" s="2" t="str">
        <v>-8</v>
      </c>
      <c r="F84" s="2" t="str">
        <v>358333.33</v>
      </c>
      <c r="G84" s="19" t="n">
        <v>3096000</v>
      </c>
      <c r="H84" s="2" t="str">
        <v>2.xlsx | 订单!Q101</v>
      </c>
    </row>
    <row r="85" ht="26" customHeight="1">
      <c r="A85" s="2" t="str">
        <v>S2-00098-TH</v>
      </c>
      <c r="B85" s="2" t="str">
        <v>INP3005</v>
      </c>
      <c r="C85" s="20" t="str">
        <v>Nồi gang tráng menINP3005</v>
      </c>
      <c r="D85" s="2" t="str">
        <v>cái</v>
      </c>
      <c r="E85" s="2" t="str">
        <v>-12</v>
      </c>
      <c r="F85" s="2" t="str">
        <v>398148.08</v>
      </c>
      <c r="G85" s="19" t="n">
        <v>5159999</v>
      </c>
      <c r="H85" s="2" t="str">
        <v>2.xlsx | 订单!Q102</v>
      </c>
    </row>
    <row r="86" ht="26" customHeight="1">
      <c r="A86" s="2" t="str">
        <v>S2-00098-TH</v>
      </c>
      <c r="B86" s="2" t="str">
        <v>INP6601</v>
      </c>
      <c r="C86" s="20" t="str">
        <v>Máy sấy bát đĩa INP6601</v>
      </c>
      <c r="D86" s="2" t="str">
        <v>cái</v>
      </c>
      <c r="E86" s="2" t="str">
        <v>-9</v>
      </c>
      <c r="F86" s="2" t="str">
        <v>1203703.7</v>
      </c>
      <c r="G86" s="19" t="n">
        <v>11700000</v>
      </c>
      <c r="H86" s="2" t="str">
        <v>2.xlsx | 订单!Q103</v>
      </c>
    </row>
    <row r="87" ht="26" customHeight="1">
      <c r="A87" s="2" t="str">
        <v>S2-00098-TH</v>
      </c>
      <c r="B87" s="2" t="str">
        <v>INP6602</v>
      </c>
      <c r="C87" s="20" t="str">
        <v>Máy sấy bát đĩa INP6602</v>
      </c>
      <c r="D87" s="2" t="str">
        <v>cái</v>
      </c>
      <c r="E87" s="2" t="str">
        <v>-10</v>
      </c>
      <c r="F87" s="2" t="str">
        <v>1361111.11</v>
      </c>
      <c r="G87" s="19" t="n">
        <v>14700000</v>
      </c>
      <c r="H87" s="2" t="str">
        <v>2.xlsx | 订单!Q104</v>
      </c>
    </row>
    <row r="88" ht="26" customHeight="1">
      <c r="A88" s="2" t="str">
        <v>S2-00098-TH</v>
      </c>
      <c r="B88" s="2" t="str">
        <v>INP6802</v>
      </c>
      <c r="C88" s="20" t="str">
        <v>Thùng đựng gạo inoxpran INP6802</v>
      </c>
      <c r="D88" s="2" t="str">
        <v>thùng</v>
      </c>
      <c r="E88" s="2" t="str">
        <v>-4</v>
      </c>
      <c r="F88" s="2" t="str">
        <v>882407</v>
      </c>
      <c r="G88" s="19" t="n">
        <v>3811999</v>
      </c>
      <c r="H88" s="2" t="str">
        <v>2.xlsx | 订单!Q105</v>
      </c>
    </row>
    <row r="89" ht="26" customHeight="1">
      <c r="A89" s="2" t="str">
        <v>S2-00106-TH</v>
      </c>
      <c r="B89" s="2" t="str">
        <v>INP6501</v>
      </c>
      <c r="C89" s="20" t="str">
        <v>Máy làm tỏi đen đa năng INP6501</v>
      </c>
      <c r="D89" s="2" t="str">
        <v>cái</v>
      </c>
      <c r="E89" s="2" t="str">
        <v>-12</v>
      </c>
      <c r="F89" s="2" t="str">
        <v>847222.22</v>
      </c>
      <c r="G89" s="19" t="n">
        <v>10980000</v>
      </c>
      <c r="H89" s="2" t="str">
        <v>2.xlsx | 订单!Q106</v>
      </c>
    </row>
    <row r="90" ht="26" customHeight="1">
      <c r="A90" s="2" t="str">
        <v>S2-00107-BH</v>
      </c>
      <c r="B90" s="2" t="str">
        <v>INP6901</v>
      </c>
      <c r="C90" s="20" t="str">
        <v>Nồi áp suất điện INP6901</v>
      </c>
      <c r="D90" s="2" t="str">
        <v>nồi</v>
      </c>
      <c r="E90" s="2" t="str">
        <v>20</v>
      </c>
      <c r="F90" s="2" t="str">
        <v>861111.11</v>
      </c>
      <c r="G90" s="19" t="n">
        <v>18600000</v>
      </c>
      <c r="H90" s="2" t="str">
        <v>2.xlsx | 订单!Q107</v>
      </c>
    </row>
    <row r="91" ht="26" customHeight="1">
      <c r="A91" s="2" t="str">
        <v>S2-00107-BH</v>
      </c>
      <c r="B91" s="2" t="str">
        <v>INP6105</v>
      </c>
      <c r="C91" s="20" t="str">
        <v>Bếp từ đơn INP6105</v>
      </c>
      <c r="D91" s="2" t="str">
        <v>cái</v>
      </c>
      <c r="E91" s="2" t="str">
        <v>18</v>
      </c>
      <c r="F91" s="2" t="str">
        <v>675925.93</v>
      </c>
      <c r="G91" s="19" t="n">
        <v>13140000</v>
      </c>
      <c r="H91" s="2" t="str">
        <v>2.xlsx | 订单!Q108</v>
      </c>
    </row>
    <row r="92" ht="26" customHeight="1">
      <c r="A92" s="2" t="str">
        <v>S2-00110-BH</v>
      </c>
      <c r="B92" s="2" t="str">
        <v>INP6004</v>
      </c>
      <c r="C92" s="20" t="str">
        <v>Nồi cơm điện INP6004 (1,2L)</v>
      </c>
      <c r="D92" s="2" t="str">
        <v>cái</v>
      </c>
      <c r="E92" s="2" t="str">
        <v>15</v>
      </c>
      <c r="F92" s="2" t="str">
        <v>542592.59</v>
      </c>
      <c r="G92" s="19" t="n">
        <v>8790000</v>
      </c>
      <c r="H92" s="2" t="str">
        <v>2.xlsx | 订单!Q110</v>
      </c>
    </row>
    <row r="93" ht="26" customHeight="1">
      <c r="A93" s="2" t="str">
        <v>S2-00110-BH</v>
      </c>
      <c r="B93" s="2" t="str">
        <v>INP6005</v>
      </c>
      <c r="C93" s="20" t="str">
        <v>Nồi cơm điện INP6005 (1,8L)</v>
      </c>
      <c r="D93" s="2" t="str">
        <v>cái</v>
      </c>
      <c r="E93" s="2" t="str">
        <v>15</v>
      </c>
      <c r="F93" s="2" t="str">
        <v>644444.44</v>
      </c>
      <c r="G93" s="19" t="n">
        <v>10440000</v>
      </c>
      <c r="H93" s="2" t="str">
        <v>2.xlsx | 订单!Q111</v>
      </c>
    </row>
    <row r="94" ht="26" customHeight="1">
      <c r="A94" s="2" t="str">
        <v>S2-00110-BH</v>
      </c>
      <c r="B94" s="2" t="str">
        <v>INP6006</v>
      </c>
      <c r="C94" s="20" t="str">
        <v>Nồi cơm điện INP6006 (1,2L)</v>
      </c>
      <c r="D94" s="2" t="str">
        <v>cái</v>
      </c>
      <c r="E94" s="2" t="str">
        <v>15</v>
      </c>
      <c r="F94" s="2" t="str">
        <v>527777.78</v>
      </c>
      <c r="G94" s="19" t="n">
        <v>8550000</v>
      </c>
      <c r="H94" s="2" t="str">
        <v>2.xlsx | 订单!Q112</v>
      </c>
    </row>
    <row r="95" ht="26" customHeight="1">
      <c r="A95" s="2" t="str">
        <v>S2-00110-BH</v>
      </c>
      <c r="B95" s="2" t="str">
        <v>INP6007</v>
      </c>
      <c r="C95" s="20" t="str">
        <v>Nồi cơm điện INP6007 (1,8L)</v>
      </c>
      <c r="D95" s="2" t="str">
        <v>cái</v>
      </c>
      <c r="E95" s="2" t="str">
        <v>10</v>
      </c>
      <c r="F95" s="2" t="str">
        <v>629629.63</v>
      </c>
      <c r="G95" s="19" t="n">
        <v>6800000</v>
      </c>
      <c r="H95" s="2" t="str">
        <v>2.xlsx | 订单!Q113</v>
      </c>
    </row>
    <row r="96" ht="26" customHeight="1">
      <c r="A96" s="2" t="str">
        <v>S2-00110-BH</v>
      </c>
      <c r="B96" s="2" t="str">
        <v>INP6008</v>
      </c>
      <c r="C96" s="20" t="str">
        <v>Nồi cơm điện INP6008 (1,2L)</v>
      </c>
      <c r="D96" s="2" t="str">
        <v>cái</v>
      </c>
      <c r="E96" s="2" t="str">
        <v>10</v>
      </c>
      <c r="F96" s="2" t="str">
        <v>574074.07</v>
      </c>
      <c r="G96" s="19" t="n">
        <v>6200000</v>
      </c>
      <c r="H96" s="2" t="str">
        <v>2.xlsx | 订单!Q115</v>
      </c>
    </row>
    <row r="97" ht="26" customHeight="1">
      <c r="A97" s="2" t="str">
        <v>S2-00110-BH</v>
      </c>
      <c r="B97" s="2" t="str">
        <v>INP6009</v>
      </c>
      <c r="C97" s="20" t="str">
        <v>Nồi cơm điện INP6009 (1,8L)</v>
      </c>
      <c r="D97" s="2" t="str">
        <v>cái</v>
      </c>
      <c r="E97" s="2" t="str">
        <v>10</v>
      </c>
      <c r="F97" s="2" t="str">
        <v>694444.44</v>
      </c>
      <c r="G97" s="19" t="n">
        <v>7500000</v>
      </c>
      <c r="H97" s="2" t="str">
        <v>2.xlsx | 订单!Q117</v>
      </c>
    </row>
    <row r="98" ht="26" customHeight="1">
      <c r="A98" s="2" t="str">
        <v>S2-00110-BH</v>
      </c>
      <c r="B98" s="2" t="str">
        <v>INP6010</v>
      </c>
      <c r="C98" s="20" t="str">
        <v>Nồi cơm điện INP6010 (1,2L)</v>
      </c>
      <c r="D98" s="2" t="str">
        <v>cái</v>
      </c>
      <c r="E98" s="2" t="str">
        <v>10</v>
      </c>
      <c r="F98" s="2" t="str">
        <v>481481.48</v>
      </c>
      <c r="G98" s="19" t="n">
        <v>5200000</v>
      </c>
      <c r="H98" s="2" t="str">
        <v>2.xlsx | 订单!Q119</v>
      </c>
    </row>
    <row r="99" ht="26" customHeight="1">
      <c r="A99" s="2" t="str">
        <v>S2-00110-BH</v>
      </c>
      <c r="B99" s="2" t="str">
        <v>INP6011</v>
      </c>
      <c r="C99" s="20" t="str">
        <v>Nồi cơm điện INP6011 (1,8L)</v>
      </c>
      <c r="D99" s="2" t="str">
        <v>cái</v>
      </c>
      <c r="E99" s="2" t="str">
        <v>15</v>
      </c>
      <c r="F99" s="2" t="str">
        <v>574074.07</v>
      </c>
      <c r="G99" s="19" t="n">
        <v>9300000</v>
      </c>
      <c r="H99" s="2" t="str">
        <v>2.xlsx | 订单!Q120</v>
      </c>
    </row>
    <row r="100" ht="26" customHeight="1">
      <c r="A100" s="2" t="str">
        <v>S2-00110-BH</v>
      </c>
      <c r="B100" s="2" t="str">
        <v>INP6012</v>
      </c>
      <c r="C100" s="20" t="str">
        <v>Nồi cơm điện INP6012 (1,8L)</v>
      </c>
      <c r="D100" s="2" t="str">
        <v>cái</v>
      </c>
      <c r="E100" s="2" t="str">
        <v>10</v>
      </c>
      <c r="F100" s="2" t="str">
        <v>601851.85</v>
      </c>
      <c r="G100" s="19" t="n">
        <v>6500000</v>
      </c>
      <c r="H100" s="2" t="str">
        <v>2.xlsx | 订单!Q122</v>
      </c>
    </row>
    <row r="101" ht="26" customHeight="1">
      <c r="A101" s="2" t="str">
        <v>S2-00114-BH</v>
      </c>
      <c r="B101" s="2" t="str">
        <v>INP6007</v>
      </c>
      <c r="C101" s="20" t="str">
        <v>Nồi cơm điện INP6007 (1,8L)</v>
      </c>
      <c r="D101" s="2" t="str">
        <v>cái</v>
      </c>
      <c r="E101" s="2" t="str">
        <v>5</v>
      </c>
      <c r="F101" s="2" t="str">
        <v>629629.63</v>
      </c>
      <c r="G101" s="19" t="n">
        <v>3400000</v>
      </c>
      <c r="H101" s="2" t="str">
        <v>2.xlsx | 订单!Q114</v>
      </c>
    </row>
    <row r="102" ht="26" customHeight="1">
      <c r="A102" s="2" t="str">
        <v>S2-00114-BH</v>
      </c>
      <c r="B102" s="2" t="str">
        <v>INP6008</v>
      </c>
      <c r="C102" s="20" t="str">
        <v>Nồi cơm điện INP6008 (1,2L)</v>
      </c>
      <c r="D102" s="2" t="str">
        <v>cái</v>
      </c>
      <c r="E102" s="2" t="str">
        <v>5</v>
      </c>
      <c r="F102" s="2" t="str">
        <v>574074.07</v>
      </c>
      <c r="G102" s="19" t="n">
        <v>3100000</v>
      </c>
      <c r="H102" s="2" t="str">
        <v>2.xlsx | 订单!Q116</v>
      </c>
    </row>
    <row r="103" ht="26" customHeight="1">
      <c r="A103" s="2" t="str">
        <v>S2-00114-BH</v>
      </c>
      <c r="B103" s="2" t="str">
        <v>INP6009</v>
      </c>
      <c r="C103" s="20" t="str">
        <v>Nồi cơm điện INP6009 (1,8L)</v>
      </c>
      <c r="D103" s="2" t="str">
        <v>cái</v>
      </c>
      <c r="E103" s="2" t="str">
        <v>5</v>
      </c>
      <c r="F103" s="2" t="str">
        <v>694444.44</v>
      </c>
      <c r="G103" s="19" t="n">
        <v>3750000</v>
      </c>
      <c r="H103" s="2" t="str">
        <v>2.xlsx | 订单!Q118</v>
      </c>
    </row>
    <row r="104" ht="26" customHeight="1">
      <c r="A104" s="2" t="str">
        <v>S2-00114-BH</v>
      </c>
      <c r="B104" s="2" t="str">
        <v>INP6010</v>
      </c>
      <c r="C104" s="20" t="str">
        <v>Nồi cơm điện INP6010 (1,2L)</v>
      </c>
      <c r="D104" s="2" t="str">
        <v>cái</v>
      </c>
      <c r="E104" s="2" t="str">
        <v>5</v>
      </c>
      <c r="F104" s="2" t="str">
        <v>481481.48</v>
      </c>
      <c r="G104" s="19" t="n">
        <v>2600000</v>
      </c>
      <c r="H104" s="2" t="str">
        <v>2.xlsx | 订单!Q121</v>
      </c>
    </row>
    <row r="105" ht="26" customHeight="1">
      <c r="A105" s="2" t="str">
        <v>S2-00114-BH</v>
      </c>
      <c r="B105" s="2" t="str">
        <v>INP6012</v>
      </c>
      <c r="C105" s="20" t="str">
        <v>Nồi cơm điện INP6012 (1,8L)</v>
      </c>
      <c r="D105" s="2" t="str">
        <v>cái</v>
      </c>
      <c r="E105" s="2" t="str">
        <v>5</v>
      </c>
      <c r="F105" s="2" t="str">
        <v>601851.85</v>
      </c>
      <c r="G105" s="19" t="n">
        <v>3250000</v>
      </c>
      <c r="H105" s="2" t="str">
        <v>2.xlsx | 订单!Q126</v>
      </c>
    </row>
    <row r="106" ht="26" customHeight="1">
      <c r="A106" s="2" t="str">
        <v>S2-01674-BH</v>
      </c>
      <c r="B106" s="2" t="str">
        <v>INP6008</v>
      </c>
      <c r="C106" s="20" t="str">
        <v>Nồi cơm điện INP6008 (1,2L)</v>
      </c>
      <c r="D106" s="2" t="str">
        <v>Cái</v>
      </c>
      <c r="E106" s="2" t="str">
        <v>15</v>
      </c>
      <c r="F106" s="2" t="str">
        <v>574074.07</v>
      </c>
      <c r="G106" s="19" t="n">
        <v>9300000</v>
      </c>
      <c r="H106" s="2" t="str">
        <v>2.xlsx | 订单!Q1674</v>
      </c>
    </row>
    <row r="107" ht="26" customHeight="1">
      <c r="A107" s="2" t="str">
        <v>S2-01674-BH</v>
      </c>
      <c r="B107" s="2" t="str">
        <v>INP6009</v>
      </c>
      <c r="C107" s="20" t="str">
        <v>Nồi cơm điện INP6009 (1,8L)</v>
      </c>
      <c r="D107" s="2" t="str">
        <v>Cái</v>
      </c>
      <c r="E107" s="2" t="str">
        <v>15</v>
      </c>
      <c r="F107" s="2" t="str">
        <v>694444.44</v>
      </c>
      <c r="G107" s="19" t="n">
        <v>11250000</v>
      </c>
      <c r="H107" s="2" t="str">
        <v>2.xlsx | 订单!Q1675</v>
      </c>
    </row>
    <row r="108" ht="26" customHeight="1">
      <c r="A108" s="2" t="str">
        <v>S2-01674-BH</v>
      </c>
      <c r="B108" s="2" t="str">
        <v>INP6010</v>
      </c>
      <c r="C108" s="20" t="str">
        <v>Nồi cơm điện INP6010 (1,2L)</v>
      </c>
      <c r="D108" s="2" t="str">
        <v>Cái</v>
      </c>
      <c r="E108" s="2" t="str">
        <v>15</v>
      </c>
      <c r="F108" s="2" t="str">
        <v>481481.48</v>
      </c>
      <c r="G108" s="19" t="n">
        <v>7800000</v>
      </c>
      <c r="H108" s="2" t="str">
        <v>2.xlsx | 订单!Q1676</v>
      </c>
    </row>
    <row r="109" ht="26" customHeight="1">
      <c r="A109" s="2" t="str">
        <v>S2-01674-BH</v>
      </c>
      <c r="B109" s="2" t="str">
        <v>INP6011</v>
      </c>
      <c r="C109" s="20" t="str">
        <v>Nồi cơm điện INP6011 (1,8L)</v>
      </c>
      <c r="D109" s="2" t="str">
        <v>Cái</v>
      </c>
      <c r="E109" s="2" t="str">
        <v>15</v>
      </c>
      <c r="F109" s="2" t="str">
        <v>574074.07</v>
      </c>
      <c r="G109" s="19" t="n">
        <v>9300000</v>
      </c>
      <c r="H109" s="2" t="str">
        <v>2.xlsx | 订单!Q1677</v>
      </c>
    </row>
    <row r="110" ht="26" customHeight="1">
      <c r="A110" s="2" t="str">
        <v>S2-01674-BH</v>
      </c>
      <c r="B110" s="2" t="str">
        <v>INP6008</v>
      </c>
      <c r="C110" s="20" t="str">
        <v>Nồi cơm điện INP6008 (1,2L)</v>
      </c>
      <c r="D110" s="2" t="str">
        <v>Cái</v>
      </c>
      <c r="E110" s="2" t="str">
        <v>1</v>
      </c>
      <c r="F110" s="2" t="str">
        <v>574074.07</v>
      </c>
      <c r="G110" s="19" t="n">
        <v>620000</v>
      </c>
      <c r="H110" s="2" t="str">
        <v>2.xlsx | 订单!Q1679</v>
      </c>
    </row>
    <row r="111" ht="26" customHeight="1">
      <c r="A111" s="2" t="str">
        <v>S2-01674-BH</v>
      </c>
      <c r="B111" s="2" t="str">
        <v>INP6009</v>
      </c>
      <c r="C111" s="20" t="str">
        <v>Nồi cơm điện INP6009 (1,8L)</v>
      </c>
      <c r="D111" s="2" t="str">
        <v>Cái</v>
      </c>
      <c r="E111" s="2" t="str">
        <v>1</v>
      </c>
      <c r="F111" s="2" t="str">
        <v>694444.44</v>
      </c>
      <c r="G111" s="19" t="n">
        <v>750000</v>
      </c>
      <c r="H111" s="2" t="str">
        <v>2.xlsx | 订单!Q1680</v>
      </c>
    </row>
    <row r="112" ht="26" customHeight="1">
      <c r="A112" s="2" t="str">
        <v>S2-01674-BH</v>
      </c>
      <c r="B112" s="2" t="str">
        <v>INP6010</v>
      </c>
      <c r="C112" s="20" t="str">
        <v>Nồi cơm điện INP6010 (1,2L)</v>
      </c>
      <c r="D112" s="2" t="str">
        <v>Cái</v>
      </c>
      <c r="E112" s="2" t="str">
        <v>1</v>
      </c>
      <c r="F112" s="2" t="str">
        <v>481481.48</v>
      </c>
      <c r="G112" s="19" t="n">
        <v>520000</v>
      </c>
      <c r="H112" s="2" t="str">
        <v>2.xlsx | 订单!Q1681</v>
      </c>
    </row>
    <row r="113" ht="26" customHeight="1">
      <c r="A113" s="2" t="str">
        <v>S2-01674-BH</v>
      </c>
      <c r="B113" s="2" t="str">
        <v>INP6011</v>
      </c>
      <c r="C113" s="20" t="str">
        <v>Nồi cơm điện INP6011 (1,8L)</v>
      </c>
      <c r="D113" s="2" t="str">
        <v>Cái</v>
      </c>
      <c r="E113" s="2" t="str">
        <v>1</v>
      </c>
      <c r="F113" s="2" t="str">
        <v>574074.07</v>
      </c>
      <c r="G113" s="19" t="n">
        <v>620000</v>
      </c>
      <c r="H113" s="2" t="str">
        <v>2.xlsx | 订单!Q1682</v>
      </c>
    </row>
    <row r="114" ht="26" customHeight="1">
      <c r="A114" s="2" t="str">
        <v>S2-01674-BH</v>
      </c>
      <c r="B114" s="2" t="str">
        <v>INP1002</v>
      </c>
      <c r="C114" s="20" t="str">
        <v>Bộ nồi inox  INP1002</v>
      </c>
      <c r="D114" s="2" t="str">
        <v>Bộ</v>
      </c>
      <c r="E114" s="2" t="str">
        <v>10</v>
      </c>
      <c r="F114" s="2" t="str">
        <v>647222.22</v>
      </c>
      <c r="G114" s="19" t="n">
        <v>6990000</v>
      </c>
      <c r="H114" s="2" t="str">
        <v>2.xlsx | 订单!Q1678</v>
      </c>
    </row>
    <row r="115" ht="26" customHeight="1">
      <c r="A115" s="2" t="str">
        <v>S2-01794-BH</v>
      </c>
      <c r="B115" s="2" t="str">
        <v>INP6101</v>
      </c>
      <c r="C115" s="20" t="str">
        <v>Bếp từ đơn INP6101( 2200W, mặt kính màu sữa )</v>
      </c>
      <c r="D115" s="2" t="str">
        <v>Cái</v>
      </c>
      <c r="E115" s="2" t="str">
        <v>12</v>
      </c>
      <c r="F115" s="2" t="str">
        <v>601851.85</v>
      </c>
      <c r="G115" s="19" t="n">
        <v>7800000</v>
      </c>
      <c r="H115" s="2" t="str">
        <v>2.xlsx | 订单!Q1794</v>
      </c>
    </row>
    <row r="116" ht="26" customHeight="1">
      <c r="A116" s="2" t="str">
        <v>S2-01794-BH</v>
      </c>
      <c r="B116" s="2" t="str">
        <v>INP6102</v>
      </c>
      <c r="C116" s="20" t="str">
        <v>Bếp từ đơn INP6102 ( 2500W), 2 quạt tản</v>
      </c>
      <c r="D116" s="2" t="str">
        <v>Cái</v>
      </c>
      <c r="E116" s="2" t="str">
        <v>6</v>
      </c>
      <c r="F116" s="2" t="str">
        <v>937962.96</v>
      </c>
      <c r="G116" s="19" t="n">
        <v>6078000</v>
      </c>
      <c r="H116" s="2" t="str">
        <v>2.xlsx | 订单!Q1795</v>
      </c>
    </row>
    <row r="117" ht="26" customHeight="1">
      <c r="A117" s="2" t="str">
        <v>S2-01794-BH</v>
      </c>
      <c r="B117" s="2" t="str">
        <v>INP6103</v>
      </c>
      <c r="C117" s="20" t="str">
        <v>Bếp từ đơn INP6103</v>
      </c>
      <c r="D117" s="2" t="str">
        <v>Cái</v>
      </c>
      <c r="E117" s="2" t="str">
        <v>6</v>
      </c>
      <c r="F117" s="2" t="str">
        <v>799074.07</v>
      </c>
      <c r="G117" s="19" t="n">
        <v>5178000</v>
      </c>
      <c r="H117" s="2" t="str">
        <v>2.xlsx | 订单!Q1796</v>
      </c>
    </row>
    <row r="118" ht="26" customHeight="1">
      <c r="A118" s="2" t="str">
        <v>S2-01794-BH</v>
      </c>
      <c r="B118" s="2" t="str">
        <v>INP6104</v>
      </c>
      <c r="C118" s="20" t="str">
        <v>Bếp từ đơn INP6104 ( 2500W ) </v>
      </c>
      <c r="D118" s="2" t="str">
        <v>Cái</v>
      </c>
      <c r="E118" s="2" t="str">
        <v>12</v>
      </c>
      <c r="F118" s="2" t="str">
        <v>1007407.41</v>
      </c>
      <c r="G118" s="19" t="n">
        <v>13056000</v>
      </c>
      <c r="H118" s="2" t="str">
        <v>2.xlsx | 订单!Q1797</v>
      </c>
    </row>
    <row r="119" ht="26" customHeight="1">
      <c r="A119" s="2" t="str">
        <v>S2-01794-BH</v>
      </c>
      <c r="B119" s="2" t="str">
        <v>INP6105</v>
      </c>
      <c r="C119" s="20" t="str">
        <v>Bếp từ đơn INP6105</v>
      </c>
      <c r="D119" s="2" t="str">
        <v>Cái</v>
      </c>
      <c r="E119" s="2" t="str">
        <v>12</v>
      </c>
      <c r="F119" s="2" t="str">
        <v>675925.93</v>
      </c>
      <c r="G119" s="19" t="n">
        <v>8760000</v>
      </c>
      <c r="H119" s="2" t="str">
        <v>2.xlsx | 订单!Q1798</v>
      </c>
    </row>
    <row r="120" ht="26" customHeight="1">
      <c r="A120" s="2" t="str">
        <v>S2-01794-BH</v>
      </c>
      <c r="B120" s="2" t="str">
        <v>INP7951</v>
      </c>
      <c r="C120" s="20" t="str">
        <v>Máy sấy tóc INP7951</v>
      </c>
      <c r="D120" s="2" t="str">
        <v>Cái</v>
      </c>
      <c r="E120" s="2" t="str">
        <v>30</v>
      </c>
      <c r="F120" s="2" t="str">
        <v>388888.89</v>
      </c>
      <c r="G120" s="19" t="n">
        <v>12600000</v>
      </c>
      <c r="H120" s="2" t="str">
        <v>2.xlsx | 订单!Q1799</v>
      </c>
    </row>
    <row r="121" ht="26" customHeight="1">
      <c r="A121" s="2" t="str">
        <v>S2-01794-BH</v>
      </c>
      <c r="B121" s="2" t="str">
        <v>INP7952</v>
      </c>
      <c r="C121" s="20" t="str">
        <v>Máy sấy tóc INP7952</v>
      </c>
      <c r="D121" s="2" t="str">
        <v>Cái</v>
      </c>
      <c r="E121" s="2" t="str">
        <v>30</v>
      </c>
      <c r="F121" s="2" t="str">
        <v>292592.6</v>
      </c>
      <c r="G121" s="19" t="n">
        <v>9480000</v>
      </c>
      <c r="H121" s="2" t="str">
        <v>2.xlsx | 订单!Q1800</v>
      </c>
    </row>
    <row r="122" ht="26" customHeight="1">
      <c r="A122" s="2" t="str">
        <v>S2-01794-BH</v>
      </c>
      <c r="B122" s="2" t="str">
        <v>INP7953</v>
      </c>
      <c r="C122" s="20" t="str">
        <v>Máy sấy tóc INP7953</v>
      </c>
      <c r="D122" s="2" t="str">
        <v>Cái</v>
      </c>
      <c r="E122" s="2" t="str">
        <v>30</v>
      </c>
      <c r="F122" s="2" t="str">
        <v>231481.48</v>
      </c>
      <c r="G122" s="19" t="n">
        <v>7500000</v>
      </c>
      <c r="H122" s="2" t="str">
        <v>2.xlsx | 订单!Q1801</v>
      </c>
    </row>
    <row r="123" ht="26" customHeight="1">
      <c r="A123" s="2" t="str">
        <v>S2-01949-BH</v>
      </c>
      <c r="B123" s="2" t="str">
        <v>INP6209</v>
      </c>
      <c r="C123" s="20" t="str">
        <v>Ấm siêu tốc INP6209</v>
      </c>
      <c r="D123" s="2" t="str">
        <v>Cái</v>
      </c>
      <c r="E123" s="2" t="str">
        <v>60</v>
      </c>
      <c r="F123" s="2" t="str">
        <v>212962.96</v>
      </c>
      <c r="G123" s="19" t="n">
        <v>13800000</v>
      </c>
      <c r="H123" s="2" t="str">
        <v>2.xlsx | 订单!Q1949</v>
      </c>
    </row>
    <row r="124" ht="26" customHeight="1">
      <c r="A124" s="2" t="str">
        <v>S2-01949-BH</v>
      </c>
      <c r="B124" s="2" t="str">
        <v>INP1401</v>
      </c>
      <c r="C124" s="20" t="str">
        <v>Nồi áp suất 4.5L INP1401</v>
      </c>
      <c r="D124" s="2" t="str">
        <v>Cái</v>
      </c>
      <c r="E124" s="2" t="str">
        <v>10</v>
      </c>
      <c r="F124" s="2" t="str">
        <v>824074.07</v>
      </c>
      <c r="G124" s="19" t="n">
        <v>8900000</v>
      </c>
      <c r="H124" s="2" t="str">
        <v>2.xlsx | 订单!Q1950</v>
      </c>
    </row>
    <row r="125" ht="26" customHeight="1">
      <c r="A125" s="2" t="str">
        <v>S2-01949-BH</v>
      </c>
      <c r="B125" s="2" t="str">
        <v>INP1402</v>
      </c>
      <c r="C125" s="20" t="str">
        <v>Nồi áp suất 6L INP1402</v>
      </c>
      <c r="D125" s="2" t="str">
        <v>Cái</v>
      </c>
      <c r="E125" s="2" t="str">
        <v>10</v>
      </c>
      <c r="F125" s="2" t="str">
        <v>937962.96</v>
      </c>
      <c r="G125" s="19" t="n">
        <v>10130000</v>
      </c>
      <c r="H125" s="2" t="str">
        <v>2.xlsx | 订单!Q1951</v>
      </c>
    </row>
    <row r="126" ht="26" customHeight="1">
      <c r="A126" s="2" t="str">
        <v>S2-01972-BH</v>
      </c>
      <c r="B126" s="2" t="str">
        <v>INP6004</v>
      </c>
      <c r="C126" s="20" t="str">
        <v>Nồi cơm điện INP6004 (1,2L)</v>
      </c>
      <c r="D126" s="2" t="str">
        <v>Cái</v>
      </c>
      <c r="E126" s="2" t="str">
        <v>15</v>
      </c>
      <c r="F126" s="2" t="str">
        <v>537037.04</v>
      </c>
      <c r="G126" s="19" t="n">
        <v>8700000.05</v>
      </c>
      <c r="H126" s="2" t="str">
        <v>2.xlsx | 订单!Q1972</v>
      </c>
    </row>
    <row r="127" ht="26" customHeight="1">
      <c r="A127" s="2" t="str">
        <v>S2-01972-BH</v>
      </c>
      <c r="B127" s="2" t="str">
        <v>INP6005</v>
      </c>
      <c r="C127" s="20" t="str">
        <v>Nồi cơm điện INP6005 (1,8L)</v>
      </c>
      <c r="D127" s="2" t="str">
        <v>Cái</v>
      </c>
      <c r="E127" s="2" t="str">
        <v>15</v>
      </c>
      <c r="F127" s="2" t="str">
        <v>638888.89</v>
      </c>
      <c r="G127" s="19" t="n">
        <v>10350000.02</v>
      </c>
      <c r="H127" s="2" t="str">
        <v>2.xlsx | 订单!Q1973</v>
      </c>
    </row>
    <row r="128" ht="26" customHeight="1">
      <c r="A128" s="2" t="str">
        <v>S2-01972-BH</v>
      </c>
      <c r="B128" s="2" t="str">
        <v>INP6006</v>
      </c>
      <c r="C128" s="20" t="str">
        <v>Nồi cơm điện INP6006 (1,2L)</v>
      </c>
      <c r="D128" s="2" t="str">
        <v>Cái</v>
      </c>
      <c r="E128" s="2" t="str">
        <v>15</v>
      </c>
      <c r="F128" s="2" t="str">
        <v>527777.78</v>
      </c>
      <c r="G128" s="19" t="n">
        <v>8550000.04</v>
      </c>
      <c r="H128" s="2" t="str">
        <v>2.xlsx | 订单!Q1974</v>
      </c>
    </row>
    <row r="129" ht="26" customHeight="1">
      <c r="A129" s="2" t="str">
        <v>S2-01972-BH</v>
      </c>
      <c r="B129" s="2" t="str">
        <v>INP6007</v>
      </c>
      <c r="C129" s="20" t="str">
        <v>Nồi cơm điện INP6007 (1,8L)</v>
      </c>
      <c r="D129" s="2" t="str">
        <v>Cái</v>
      </c>
      <c r="E129" s="2" t="str">
        <v>15</v>
      </c>
      <c r="F129" s="2" t="str">
        <v>629629.63</v>
      </c>
      <c r="G129" s="19" t="n">
        <v>10200000.01</v>
      </c>
      <c r="H129" s="2" t="str">
        <v>2.xlsx | 订单!Q1975</v>
      </c>
    </row>
    <row r="130" ht="26" customHeight="1">
      <c r="A130" s="2" t="str">
        <v>S2-01972-BH</v>
      </c>
      <c r="B130" s="2" t="str">
        <v>INP6008</v>
      </c>
      <c r="C130" s="20" t="str">
        <v>Nồi cơm điện INP6008 (1,2L)</v>
      </c>
      <c r="D130" s="2" t="str">
        <v>Cái</v>
      </c>
      <c r="E130" s="2" t="str">
        <v>15</v>
      </c>
      <c r="F130" s="2" t="str">
        <v>574074.07</v>
      </c>
      <c r="G130" s="19" t="n">
        <v>9299999.93</v>
      </c>
      <c r="H130" s="2" t="str">
        <v>2.xlsx | 订单!Q1976</v>
      </c>
    </row>
    <row r="131" ht="26" customHeight="1">
      <c r="A131" s="2" t="str">
        <v>S2-01972-BH</v>
      </c>
      <c r="B131" s="2" t="str">
        <v>INP6009</v>
      </c>
      <c r="C131" s="20" t="str">
        <v>Nồi cơm điện INP6009 (1,8L)</v>
      </c>
      <c r="D131" s="2" t="str">
        <v>Cái</v>
      </c>
      <c r="E131" s="2" t="str">
        <v>15</v>
      </c>
      <c r="F131" s="2" t="str">
        <v>694444.44</v>
      </c>
      <c r="G131" s="19" t="n">
        <v>11249999.93</v>
      </c>
      <c r="H131" s="2" t="str">
        <v>2.xlsx | 订单!Q1977</v>
      </c>
    </row>
    <row r="132" ht="26" customHeight="1">
      <c r="A132" s="2" t="str">
        <v>S2-01972-BH</v>
      </c>
      <c r="B132" s="2" t="str">
        <v>INP6010</v>
      </c>
      <c r="C132" s="20" t="str">
        <v>Nồi cơm điện INP6010 (1,2L)</v>
      </c>
      <c r="D132" s="2" t="str">
        <v>Cái</v>
      </c>
      <c r="E132" s="2" t="str">
        <v>15</v>
      </c>
      <c r="F132" s="2" t="str">
        <v>481481.48</v>
      </c>
      <c r="G132" s="19" t="n">
        <v>7799999.97</v>
      </c>
      <c r="H132" s="2" t="str">
        <v>2.xlsx | 订单!Q1978</v>
      </c>
    </row>
    <row r="133" ht="26" customHeight="1">
      <c r="A133" s="2" t="str">
        <v>S2-00919-BH</v>
      </c>
      <c r="B133" s="2" t="str">
        <v>INP6601</v>
      </c>
      <c r="C133" s="20" t="str">
        <v>Máy sấy bát đĩa INP6601</v>
      </c>
      <c r="D133" s="2" t="str">
        <v>cái</v>
      </c>
      <c r="E133" s="2" t="str">
        <v>10</v>
      </c>
      <c r="F133" s="2" t="str">
        <v>1203703.7</v>
      </c>
      <c r="G133" s="19" t="n">
        <v>13000000</v>
      </c>
      <c r="H133" s="2" t="str">
        <v>2.xlsx | 订单!Q919</v>
      </c>
    </row>
    <row r="134" ht="26" customHeight="1">
      <c r="A134" s="2" t="str">
        <v>S2-00919-BH</v>
      </c>
      <c r="B134" s="2" t="str">
        <v>INP6602</v>
      </c>
      <c r="C134" s="20" t="str">
        <v>Máy sấy bát đĩa INP6602</v>
      </c>
      <c r="D134" s="2" t="str">
        <v>cái</v>
      </c>
      <c r="E134" s="2" t="str">
        <v>10</v>
      </c>
      <c r="F134" s="2" t="str">
        <v>1361111.11</v>
      </c>
      <c r="G134" s="19" t="n">
        <v>14700000</v>
      </c>
      <c r="H134" s="2" t="str">
        <v>2.xlsx | 订单!Q920</v>
      </c>
    </row>
    <row r="135" ht="26" customHeight="1">
      <c r="A135" s="2" t="str">
        <v>S2-00921-BH</v>
      </c>
      <c r="B135" s="2" t="str">
        <v>INP6001</v>
      </c>
      <c r="C135" s="20" t="str">
        <v>Nồi cơm điện tử ( nồi cơm điện đa năng giảm đường)INP6001</v>
      </c>
      <c r="D135" s="2" t="str">
        <v>cái</v>
      </c>
      <c r="E135" s="2" t="str">
        <v>12</v>
      </c>
      <c r="F135" s="2" t="str">
        <v>1138888.89</v>
      </c>
      <c r="G135" s="19" t="n">
        <v>14760000</v>
      </c>
      <c r="H135" s="2" t="str">
        <v>2.xlsx | 订单!Q921</v>
      </c>
    </row>
    <row r="136" ht="26" customHeight="1">
      <c r="A136" s="2" t="str">
        <v>S2-00921-BH</v>
      </c>
      <c r="B136" s="2" t="str">
        <v>INP6003</v>
      </c>
      <c r="C136" s="20" t="str">
        <v>Nồi cơm điện tử (Nồi cơm điện đa năng giảm đường) INP6003</v>
      </c>
      <c r="D136" s="2" t="str">
        <v>cái</v>
      </c>
      <c r="E136" s="2" t="str">
        <v>12</v>
      </c>
      <c r="F136" s="2" t="str">
        <v>851851.85</v>
      </c>
      <c r="G136" s="19" t="n">
        <v>11040000</v>
      </c>
      <c r="H136" s="2" t="str">
        <v>2.xlsx | 订单!Q923</v>
      </c>
    </row>
    <row r="137" ht="26" customHeight="1">
      <c r="A137" s="2" t="str">
        <v>S2-00922-BH</v>
      </c>
      <c r="B137" s="2" t="str">
        <v>INP6002</v>
      </c>
      <c r="C137" s="20" t="str">
        <v>Nồi cơm điện tử (Nồi cơm điện đa năng giảm đường) INP6002</v>
      </c>
      <c r="D137" s="2" t="str">
        <v>cái</v>
      </c>
      <c r="E137" s="2" t="str">
        <v>12</v>
      </c>
      <c r="F137" s="2" t="str">
        <v>1097222.22</v>
      </c>
      <c r="G137" s="19" t="n">
        <v>14220000</v>
      </c>
      <c r="H137" s="2" t="str">
        <v>2.xlsx | 订单!Q922</v>
      </c>
    </row>
    <row r="138" ht="26" customHeight="1">
      <c r="A138" s="2" t="str">
        <v>S2-00925-BH</v>
      </c>
      <c r="B138" s="2" t="str">
        <v>INP6401</v>
      </c>
      <c r="C138" s="20" t="str">
        <v>Quạt đứng INP6401</v>
      </c>
      <c r="D138" s="2" t="str">
        <v>cái</v>
      </c>
      <c r="E138" s="2" t="str">
        <v>200</v>
      </c>
      <c r="F138" s="2" t="str">
        <v>509259.26</v>
      </c>
      <c r="G138" s="19" t="n">
        <v>110000000</v>
      </c>
      <c r="H138" s="2" t="str">
        <v>2.xlsx | 订单!Q925</v>
      </c>
    </row>
    <row r="139" ht="26" customHeight="1">
      <c r="A139" s="2" t="str">
        <v>S2-01920-BH</v>
      </c>
      <c r="B139" s="2" t="str">
        <v>INP1003</v>
      </c>
      <c r="C139" s="20" t="str">
        <v>Bộ nồi  Inox INP1003 </v>
      </c>
      <c r="D139" s="2" t="str">
        <v>Cái</v>
      </c>
      <c r="E139" s="2" t="str">
        <v>40</v>
      </c>
      <c r="F139" s="2" t="str">
        <v>324074.07</v>
      </c>
      <c r="G139" s="19" t="n">
        <v>14000000</v>
      </c>
      <c r="H139" s="2" t="str">
        <v>2.xlsx | 订单!Q1920</v>
      </c>
    </row>
    <row r="140" ht="26" customHeight="1">
      <c r="A140" s="2" t="str">
        <v>S2-01920-BH</v>
      </c>
      <c r="B140" s="2" t="str">
        <v>INP1101</v>
      </c>
      <c r="C140" s="20" t="str">
        <v>Bộ nồi inox  INP1101</v>
      </c>
      <c r="D140" s="2" t="str">
        <v>Cái</v>
      </c>
      <c r="E140" s="2" t="str">
        <v>10</v>
      </c>
      <c r="F140" s="2" t="str">
        <v>483333.33</v>
      </c>
      <c r="G140" s="19" t="n">
        <v>5220000</v>
      </c>
      <c r="H140" s="2" t="str">
        <v>2.xlsx | 订单!Q1921</v>
      </c>
    </row>
    <row r="141" ht="26" customHeight="1">
      <c r="A141" s="2" t="str">
        <v>S2-01920-BH</v>
      </c>
      <c r="B141" s="2" t="str">
        <v>INP2003</v>
      </c>
      <c r="C141" s="20" t="str">
        <v>Bộ nồi inox INP2003</v>
      </c>
      <c r="D141" s="2" t="str">
        <v>Cái</v>
      </c>
      <c r="E141" s="2" t="str">
        <v>10</v>
      </c>
      <c r="F141" s="2" t="str">
        <v>1185185.19</v>
      </c>
      <c r="G141" s="19" t="n">
        <v>12800000</v>
      </c>
      <c r="H141" s="2" t="str">
        <v>2.xlsx | 订单!Q1922</v>
      </c>
    </row>
    <row r="142" ht="26" customHeight="1">
      <c r="A142" s="2" t="str">
        <v>S2-01920-BH</v>
      </c>
      <c r="B142" s="2" t="str">
        <v>INP6701</v>
      </c>
      <c r="C142" s="20" t="str">
        <v>Máy xay thực phẩm INP6701</v>
      </c>
      <c r="D142" s="2" t="str">
        <v>Cái</v>
      </c>
      <c r="E142" s="2" t="str">
        <v>16</v>
      </c>
      <c r="F142" s="2" t="str">
        <v>382407.41</v>
      </c>
      <c r="G142" s="19" t="n">
        <v>6608000</v>
      </c>
      <c r="H142" s="2" t="str">
        <v>2.xlsx | 订单!Q1923</v>
      </c>
    </row>
    <row r="143" ht="26" customHeight="1">
      <c r="A143" s="2" t="str">
        <v>S2-01920-BH</v>
      </c>
      <c r="B143" s="2" t="str">
        <v>INP6001</v>
      </c>
      <c r="C143" s="20" t="str">
        <v>Nồi cơm điện tử (Nồi cơm điện đa năng giảm đường) INP6001</v>
      </c>
      <c r="D143" s="2" t="str">
        <v>Cái</v>
      </c>
      <c r="E143" s="2" t="str">
        <v>20</v>
      </c>
      <c r="F143" s="2" t="str">
        <v>1138888.89</v>
      </c>
      <c r="G143" s="19" t="n">
        <v>24600000</v>
      </c>
      <c r="H143" s="2" t="str">
        <v>2.xlsx | 订单!Q1924</v>
      </c>
    </row>
    <row r="144" ht="26" customHeight="1">
      <c r="A144" s="2" t="str">
        <v>S2-01920-BH</v>
      </c>
      <c r="B144" s="2" t="str">
        <v>INP6002</v>
      </c>
      <c r="C144" s="20" t="str">
        <v>Nồi cơm điện tử (Nồi cơm điện đa năng giảm đường) INP6002</v>
      </c>
      <c r="D144" s="2" t="str">
        <v>Cái</v>
      </c>
      <c r="E144" s="2" t="str">
        <v>20</v>
      </c>
      <c r="F144" s="2" t="str">
        <v>1097222.22</v>
      </c>
      <c r="G144" s="19" t="n">
        <v>23700000</v>
      </c>
      <c r="H144" s="2" t="str">
        <v>2.xlsx | 订单!Q1925</v>
      </c>
    </row>
    <row r="145" ht="26" customHeight="1">
      <c r="A145" s="2" t="str">
        <v>S2-01920-BH</v>
      </c>
      <c r="B145" s="2" t="str">
        <v>INP6003</v>
      </c>
      <c r="C145" s="20" t="str">
        <v>Nồi cơm điện tử (Nồi cơm điện đa năng giảm đường) INP6003</v>
      </c>
      <c r="D145" s="2" t="str">
        <v>Cái</v>
      </c>
      <c r="E145" s="2" t="str">
        <v>12</v>
      </c>
      <c r="F145" s="2" t="str">
        <v>851851.85</v>
      </c>
      <c r="G145" s="19" t="n">
        <v>11040000</v>
      </c>
      <c r="H145" s="2" t="str">
        <v>2.xlsx | 订单!Q1926</v>
      </c>
    </row>
    <row r="146" ht="26" customHeight="1">
      <c r="A146" s="2" t="str">
        <v>S2-01920-BH</v>
      </c>
      <c r="B146" s="2" t="str">
        <v>INP6007</v>
      </c>
      <c r="C146" s="20" t="str">
        <v>Nồi cơm điện INP6007 (1,8L)</v>
      </c>
      <c r="D146" s="2" t="str">
        <v>Cái</v>
      </c>
      <c r="E146" s="2" t="str">
        <v>15</v>
      </c>
      <c r="F146" s="2" t="str">
        <v>629629.63</v>
      </c>
      <c r="G146" s="19" t="n">
        <v>10200000</v>
      </c>
      <c r="H146" s="2" t="str">
        <v>2.xlsx | 订单!Q1927</v>
      </c>
    </row>
    <row r="147" ht="26" customHeight="1">
      <c r="A147" s="2" t="str">
        <v>S2-01920-BH</v>
      </c>
      <c r="B147" s="2" t="str">
        <v>INP6009</v>
      </c>
      <c r="C147" s="20" t="str">
        <v>Nồi cơm điện INP6009 (1,8L)</v>
      </c>
      <c r="D147" s="2" t="str">
        <v>Cái</v>
      </c>
      <c r="E147" s="2" t="str">
        <v>15</v>
      </c>
      <c r="F147" s="2" t="str">
        <v>694444.44</v>
      </c>
      <c r="G147" s="19" t="n">
        <v>11250000</v>
      </c>
      <c r="H147" s="2" t="str">
        <v>2.xlsx | 订单!Q1928</v>
      </c>
    </row>
    <row r="148" ht="26" customHeight="1">
      <c r="A148" s="2" t="str">
        <v>S2-01920-BH</v>
      </c>
      <c r="B148" s="2" t="str">
        <v>INP6201</v>
      </c>
      <c r="C148" s="20" t="str">
        <v>Ấm điện siêu tốc INP6201 1,7 lít màu ghi   </v>
      </c>
      <c r="D148" s="2" t="str">
        <v>Cái</v>
      </c>
      <c r="E148" s="2" t="str">
        <v>36</v>
      </c>
      <c r="F148" s="2" t="str">
        <v>324074.07</v>
      </c>
      <c r="G148" s="19" t="n">
        <v>12600000</v>
      </c>
      <c r="H148" s="2" t="str">
        <v>2.xlsx | 订单!Q1930</v>
      </c>
    </row>
    <row r="149" ht="26" customHeight="1">
      <c r="A149" s="2" t="str">
        <v>S2-01920-BH</v>
      </c>
      <c r="B149" s="2" t="str">
        <v>INP6202</v>
      </c>
      <c r="C149" s="20" t="str">
        <v>Ấm điện siêu tốc INP6202 1,7 lít màu đen</v>
      </c>
      <c r="D149" s="2" t="str">
        <v>Cái</v>
      </c>
      <c r="E149" s="2" t="str">
        <v>36</v>
      </c>
      <c r="F149" s="2" t="str">
        <v>325925.93</v>
      </c>
      <c r="G149" s="19" t="n">
        <v>12672000</v>
      </c>
      <c r="H149" s="2" t="str">
        <v>2.xlsx | 订单!Q1931</v>
      </c>
    </row>
    <row r="150" ht="26" customHeight="1">
      <c r="A150" s="2" t="str">
        <v>S2-01920-BH</v>
      </c>
      <c r="B150" s="2" t="str">
        <v>INP6204</v>
      </c>
      <c r="C150" s="20" t="str">
        <v>Ấm đun nước INP6204, 1.0L</v>
      </c>
      <c r="D150" s="2" t="str">
        <v>Cái</v>
      </c>
      <c r="E150" s="2" t="str">
        <v>24</v>
      </c>
      <c r="F150" s="2" t="str">
        <v>284259.26</v>
      </c>
      <c r="G150" s="19" t="n">
        <v>7368000</v>
      </c>
      <c r="H150" s="2" t="str">
        <v>2.xlsx | 订单!Q1932</v>
      </c>
    </row>
    <row r="151" ht="26" customHeight="1">
      <c r="A151" s="2" t="str">
        <v>S2-01920-BH</v>
      </c>
      <c r="B151" s="2" t="str">
        <v>INP6901</v>
      </c>
      <c r="C151" s="20" t="str">
        <v>Nồi áp suất điện INP6901</v>
      </c>
      <c r="D151" s="2" t="str">
        <v>Cái</v>
      </c>
      <c r="E151" s="2" t="str">
        <v>20</v>
      </c>
      <c r="F151" s="2" t="str">
        <v>861111.11</v>
      </c>
      <c r="G151" s="19" t="n">
        <v>18600000</v>
      </c>
      <c r="H151" s="2" t="str">
        <v>2.xlsx | 订单!Q1933</v>
      </c>
    </row>
    <row r="152" ht="26" customHeight="1">
      <c r="A152" s="2" t="str">
        <v>S2-01920-BH</v>
      </c>
      <c r="B152" s="2" t="str">
        <v>INP6903</v>
      </c>
      <c r="C152" s="20" t="str">
        <v>Nồi áp suất điện INP6903</v>
      </c>
      <c r="D152" s="2" t="str">
        <v>Cái</v>
      </c>
      <c r="E152" s="2" t="str">
        <v>6</v>
      </c>
      <c r="F152" s="2" t="str">
        <v>907407.41</v>
      </c>
      <c r="G152" s="19" t="n">
        <v>5880000</v>
      </c>
      <c r="H152" s="2" t="str">
        <v>2.xlsx | 订单!Q1934</v>
      </c>
    </row>
    <row r="153" ht="26" customHeight="1">
      <c r="A153" s="2" t="str">
        <v>S2-01920-BH</v>
      </c>
      <c r="B153" s="2" t="str">
        <v>INP6105</v>
      </c>
      <c r="C153" s="20" t="str">
        <v>Bếp từ đơn INP6105</v>
      </c>
      <c r="D153" s="2" t="str">
        <v>Cái</v>
      </c>
      <c r="E153" s="2" t="str">
        <v>6</v>
      </c>
      <c r="F153" s="2" t="str">
        <v>675925.93</v>
      </c>
      <c r="G153" s="19" t="n">
        <v>4380000</v>
      </c>
      <c r="H153" s="2" t="str">
        <v>2.xlsx | 订单!Q1929</v>
      </c>
    </row>
    <row r="154" ht="26" customHeight="1">
      <c r="A154" s="2" t="str">
        <v>S2-02043-BH</v>
      </c>
      <c r="B154" s="2" t="str">
        <v>INP1003</v>
      </c>
      <c r="C154" s="20" t="str">
        <v>Bộ nồi  Inox INP1003 </v>
      </c>
      <c r="D154" s="2" t="str">
        <v>Cái</v>
      </c>
      <c r="E154" s="2" t="str">
        <v>60</v>
      </c>
      <c r="F154" s="2" t="str">
        <v>333333.33</v>
      </c>
      <c r="G154" s="19" t="n">
        <v>21599999.79</v>
      </c>
      <c r="H154" s="2" t="str">
        <v>2.xlsx | 订单!Q2043</v>
      </c>
    </row>
    <row r="155" ht="26" customHeight="1">
      <c r="A155" s="2" t="str">
        <v>S2-02043-BH</v>
      </c>
      <c r="B155" s="2" t="str">
        <v>INP6007</v>
      </c>
      <c r="C155" s="20" t="str">
        <v>Nồi cơm điện INP6007 (1,8L)</v>
      </c>
      <c r="D155" s="2" t="str">
        <v>Cái</v>
      </c>
      <c r="E155" s="2" t="str">
        <v>60</v>
      </c>
      <c r="F155" s="2" t="str">
        <v>629629.63</v>
      </c>
      <c r="G155" s="19" t="n">
        <v>40800000.02</v>
      </c>
      <c r="H155" s="2" t="str">
        <v>2.xlsx | 订单!Q2044</v>
      </c>
    </row>
    <row r="156" ht="26" customHeight="1">
      <c r="A156" s="2" t="str">
        <v>S2-02043-BH</v>
      </c>
      <c r="B156" s="2" t="str">
        <v>INP6105</v>
      </c>
      <c r="C156" s="20" t="str">
        <v>Bếp từ đơn INP6105</v>
      </c>
      <c r="D156" s="2" t="str">
        <v>Cái</v>
      </c>
      <c r="E156" s="2" t="str">
        <v>30</v>
      </c>
      <c r="F156" s="2" t="str">
        <v>675925.93</v>
      </c>
      <c r="G156" s="19" t="n">
        <v>21900000.13</v>
      </c>
      <c r="H156" s="2" t="str">
        <v>2.xlsx | 订单!Q2045</v>
      </c>
    </row>
    <row r="157" ht="26" customHeight="1">
      <c r="A157" s="2" t="str">
        <v>S2-02214-BH</v>
      </c>
      <c r="B157" s="2" t="str">
        <v>INP2301</v>
      </c>
      <c r="C157" s="20" t="str">
        <v>Chảo rán INP2301</v>
      </c>
      <c r="D157" s="2" t="str">
        <v>Cái</v>
      </c>
      <c r="E157" s="2" t="str">
        <v>50</v>
      </c>
      <c r="F157" s="2" t="str">
        <v>416666.67</v>
      </c>
      <c r="G157" s="19" t="n">
        <v>22500000.18</v>
      </c>
      <c r="H157" s="2" t="str">
        <v>2.xlsx | 订单!Q2214</v>
      </c>
    </row>
    <row r="158" ht="26" customHeight="1">
      <c r="A158" s="2" t="str">
        <v>S2-02214-BH</v>
      </c>
      <c r="B158" s="2" t="str">
        <v>INP1003</v>
      </c>
      <c r="C158" s="20" t="str">
        <v>Bộ nồi  Inox INP1003 </v>
      </c>
      <c r="D158" s="2" t="str">
        <v>Cái</v>
      </c>
      <c r="E158" s="2" t="str">
        <v>150</v>
      </c>
      <c r="F158" s="2" t="str">
        <v>333333.33</v>
      </c>
      <c r="G158" s="19" t="n">
        <v>53999999.46</v>
      </c>
      <c r="H158" s="2" t="str">
        <v>2.xlsx | 订单!Q2215</v>
      </c>
    </row>
    <row r="159" ht="26" customHeight="1">
      <c r="A159" s="2" t="str">
        <v>S2-02214-BH</v>
      </c>
      <c r="B159" s="2" t="str">
        <v>INP6105</v>
      </c>
      <c r="C159" s="20" t="str">
        <v>Bếp từ đơn INP6105</v>
      </c>
      <c r="D159" s="2" t="str">
        <v>Cái</v>
      </c>
      <c r="E159" s="2" t="str">
        <v>30</v>
      </c>
      <c r="F159" s="2" t="str">
        <v>675925.93</v>
      </c>
      <c r="G159" s="19" t="n">
        <v>21900000.13</v>
      </c>
      <c r="H159" s="2" t="str">
        <v>2.xlsx | 订单!Q2216</v>
      </c>
    </row>
    <row r="160" ht="26" customHeight="1">
      <c r="A160" s="2" t="str">
        <v>S2-01647-BH</v>
      </c>
      <c r="B160" s="2" t="str">
        <v>INP6902</v>
      </c>
      <c r="C160" s="20" t="str">
        <v>Nồi áp suất điện INP6902</v>
      </c>
      <c r="D160" s="2" t="str">
        <v>Cái</v>
      </c>
      <c r="E160" s="2" t="str">
        <v>2</v>
      </c>
      <c r="F160" s="2" t="str">
        <v>907407.41</v>
      </c>
      <c r="G160" s="19" t="n">
        <v>1960000</v>
      </c>
      <c r="H160" s="2" t="str">
        <v>2.xlsx | 订单!Q1647</v>
      </c>
    </row>
    <row r="161" ht="26" customHeight="1">
      <c r="A161" s="2" t="str">
        <v>S2-01647-BH</v>
      </c>
      <c r="B161" s="2" t="str">
        <v>INP2105</v>
      </c>
      <c r="C161" s="20" t="str">
        <v>Chảo inox đúc nguyên khối (không chống dính)INP2105</v>
      </c>
      <c r="D161" s="2" t="str">
        <v>Cái</v>
      </c>
      <c r="E161" s="2" t="str">
        <v>1</v>
      </c>
      <c r="F161" s="2" t="str">
        <v>277777.78</v>
      </c>
      <c r="G161" s="19" t="n">
        <v>300000</v>
      </c>
      <c r="H161" s="2" t="str">
        <v>2.xlsx | 订单!Q1649</v>
      </c>
    </row>
    <row r="162" ht="26" customHeight="1">
      <c r="A162" s="2" t="str">
        <v>S2-01647-BH</v>
      </c>
      <c r="B162" s="2" t="str">
        <v>INP2106</v>
      </c>
      <c r="C162" s="20" t="str">
        <v>Chảo inox đúc nguyên khối (không chống dính)INP2106</v>
      </c>
      <c r="D162" s="2" t="str">
        <v>Cái</v>
      </c>
      <c r="E162" s="2" t="str">
        <v>1</v>
      </c>
      <c r="F162" s="2" t="str">
        <v>296296.3</v>
      </c>
      <c r="G162" s="19" t="n">
        <v>320000</v>
      </c>
      <c r="H162" s="2" t="str">
        <v>2.xlsx | 订单!Q1650</v>
      </c>
    </row>
    <row r="163" ht="26" customHeight="1">
      <c r="A163" s="2" t="str">
        <v>S2-01647-BH</v>
      </c>
      <c r="B163" s="2" t="str">
        <v>INP2107</v>
      </c>
      <c r="C163" s="20" t="str">
        <v>Chảo inox đúc nguyên khối (không chống dính) INP2107</v>
      </c>
      <c r="D163" s="2" t="str">
        <v>Cái</v>
      </c>
      <c r="E163" s="2" t="str">
        <v>1</v>
      </c>
      <c r="F163" s="2" t="str">
        <v>314814.81</v>
      </c>
      <c r="G163" s="19" t="n">
        <v>340000</v>
      </c>
      <c r="H163" s="2" t="str">
        <v>2.xlsx | 订单!Q1651</v>
      </c>
    </row>
    <row r="164" ht="26" customHeight="1">
      <c r="A164" s="2" t="str">
        <v>S2-01647-BH</v>
      </c>
      <c r="B164" s="2" t="str">
        <v>INP6012</v>
      </c>
      <c r="C164" s="20" t="str">
        <v>Nồi cơm điện INP6012 (1,8L)</v>
      </c>
      <c r="D164" s="2" t="str">
        <v>Cái</v>
      </c>
      <c r="E164" s="2" t="str">
        <v>1</v>
      </c>
      <c r="F164" s="2" t="str">
        <v>907407.41</v>
      </c>
      <c r="G164" s="19" t="n">
        <v>980000</v>
      </c>
      <c r="H164" s="2" t="str">
        <v>2.xlsx | 订单!Q1648</v>
      </c>
    </row>
    <row r="165" ht="26" customHeight="1">
      <c r="A165" s="2" t="str">
        <v>S2-01654-TH</v>
      </c>
      <c r="B165" s="2" t="str">
        <v>INP2105</v>
      </c>
      <c r="C165" s="20" t="str">
        <v>Chảo inox đúc nguyên khối (không chống dính)INP2105</v>
      </c>
      <c r="D165" s="2" t="str">
        <v>Cái</v>
      </c>
      <c r="E165" s="2" t="str">
        <v>-1</v>
      </c>
      <c r="F165" s="2" t="str">
        <v>277777.78</v>
      </c>
      <c r="G165" s="19" t="n">
        <v>300000</v>
      </c>
      <c r="H165" s="2" t="str">
        <v>2.xlsx | 订单!Q1654</v>
      </c>
    </row>
    <row r="166" ht="26" customHeight="1">
      <c r="A166" s="2" t="str">
        <v>S2-01654-TH</v>
      </c>
      <c r="B166" s="2" t="str">
        <v>INP2106</v>
      </c>
      <c r="C166" s="20" t="str">
        <v>Chảo inox đúc nguyên khối (không chống dính)INP2106</v>
      </c>
      <c r="D166" s="2" t="str">
        <v>Cái</v>
      </c>
      <c r="E166" s="2" t="str">
        <v>-1</v>
      </c>
      <c r="F166" s="2" t="str">
        <v>296296.3</v>
      </c>
      <c r="G166" s="19" t="n">
        <v>320000</v>
      </c>
      <c r="H166" s="2" t="str">
        <v>2.xlsx | 订单!Q1655</v>
      </c>
    </row>
    <row r="167" ht="26" customHeight="1">
      <c r="A167" s="2" t="str">
        <v>S2-01654-TH</v>
      </c>
      <c r="B167" s="2" t="str">
        <v>INP2107</v>
      </c>
      <c r="C167" s="20" t="str">
        <v>Chảo inox đúc nguyên khối (không chống dính) INP2107</v>
      </c>
      <c r="D167" s="2" t="str">
        <v>Cái</v>
      </c>
      <c r="E167" s="2" t="str">
        <v>-1</v>
      </c>
      <c r="F167" s="2" t="str">
        <v>314814.81</v>
      </c>
      <c r="G167" s="19" t="n">
        <v>340000</v>
      </c>
      <c r="H167" s="2" t="str">
        <v>2.xlsx | 订单!Q1656</v>
      </c>
    </row>
    <row r="168" ht="26" customHeight="1">
      <c r="A168" s="2" t="str">
        <v>S2-01725-BH</v>
      </c>
      <c r="B168" s="2" t="str">
        <v>INP6004</v>
      </c>
      <c r="C168" s="20" t="str">
        <v>Nồi cơm điện INP6004 (1,2L)</v>
      </c>
      <c r="D168" s="2" t="str">
        <v>Cái</v>
      </c>
      <c r="E168" s="2" t="str">
        <v>1</v>
      </c>
      <c r="F168" s="2" t="str">
        <v>583333.33</v>
      </c>
      <c r="G168" s="19" t="n">
        <v>630000</v>
      </c>
      <c r="H168" s="2" t="str">
        <v>2.xlsx | 订单!Q1725</v>
      </c>
    </row>
    <row r="169" ht="26" customHeight="1">
      <c r="A169" s="2" t="str">
        <v>S2-01725-BH</v>
      </c>
      <c r="B169" s="2" t="str">
        <v>INP6005</v>
      </c>
      <c r="C169" s="20" t="str">
        <v>Nồi cơm điện INP6005 (1,8L)</v>
      </c>
      <c r="D169" s="2" t="str">
        <v>Cái</v>
      </c>
      <c r="E169" s="2" t="str">
        <v>1</v>
      </c>
      <c r="F169" s="2" t="str">
        <v>690740.74</v>
      </c>
      <c r="G169" s="19" t="n">
        <v>746000</v>
      </c>
      <c r="H169" s="2" t="str">
        <v>2.xlsx | 订单!Q1726</v>
      </c>
    </row>
    <row r="170" ht="26" customHeight="1">
      <c r="A170" s="2" t="str">
        <v>S2-01725-BH</v>
      </c>
      <c r="B170" s="2" t="str">
        <v>INP6006</v>
      </c>
      <c r="C170" s="20" t="str">
        <v>Nồi cơm điện INP6006 (1,2L)</v>
      </c>
      <c r="D170" s="2" t="str">
        <v>Cái</v>
      </c>
      <c r="E170" s="2" t="str">
        <v>1</v>
      </c>
      <c r="F170" s="2" t="str">
        <v>583333.33</v>
      </c>
      <c r="G170" s="19" t="n">
        <v>630000</v>
      </c>
      <c r="H170" s="2" t="str">
        <v>2.xlsx | 订单!Q1727</v>
      </c>
    </row>
    <row r="171" ht="26" customHeight="1">
      <c r="A171" s="2" t="str">
        <v>S2-01725-BH</v>
      </c>
      <c r="B171" s="2" t="str">
        <v>INP6008</v>
      </c>
      <c r="C171" s="20" t="str">
        <v>Nồi cơm điện INP6008 (1,2L)</v>
      </c>
      <c r="D171" s="2" t="str">
        <v>Cái</v>
      </c>
      <c r="E171" s="2" t="str">
        <v>1</v>
      </c>
      <c r="F171" s="2" t="str">
        <v>620370.37</v>
      </c>
      <c r="G171" s="19" t="n">
        <v>670000</v>
      </c>
      <c r="H171" s="2" t="str">
        <v>2.xlsx | 订单!Q1728</v>
      </c>
    </row>
    <row r="172" ht="26" customHeight="1">
      <c r="A172" s="2" t="str">
        <v>S2-01725-BH</v>
      </c>
      <c r="B172" s="2" t="str">
        <v>INP6009</v>
      </c>
      <c r="C172" s="20" t="str">
        <v>Nồi cơm điện INP6009 (1,8L)</v>
      </c>
      <c r="D172" s="2" t="str">
        <v>Cái</v>
      </c>
      <c r="E172" s="2" t="str">
        <v>1</v>
      </c>
      <c r="F172" s="2" t="str">
        <v>740740.74</v>
      </c>
      <c r="G172" s="19" t="n">
        <v>800000</v>
      </c>
      <c r="H172" s="2" t="str">
        <v>2.xlsx | 订单!Q1729</v>
      </c>
    </row>
    <row r="173" ht="26" customHeight="1">
      <c r="A173" s="2" t="str">
        <v>S2-01725-BH</v>
      </c>
      <c r="B173" s="2" t="str">
        <v>INP6010</v>
      </c>
      <c r="C173" s="20" t="str">
        <v>Nồi cơm điện INP6010 (1,2L)</v>
      </c>
      <c r="D173" s="2" t="str">
        <v>Cái</v>
      </c>
      <c r="E173" s="2" t="str">
        <v>1</v>
      </c>
      <c r="F173" s="2" t="str">
        <v>527777.77</v>
      </c>
      <c r="G173" s="19" t="n">
        <v>570000</v>
      </c>
      <c r="H173" s="2" t="str">
        <v>2.xlsx | 订单!Q1730</v>
      </c>
    </row>
    <row r="174" ht="26" customHeight="1">
      <c r="A174" s="2" t="str">
        <v>S2-01725-BH</v>
      </c>
      <c r="B174" s="2" t="str">
        <v>INP6011</v>
      </c>
      <c r="C174" s="20" t="str">
        <v>Nồi cơm điện INP6011 (1,2L)</v>
      </c>
      <c r="D174" s="2" t="str">
        <v>Cái</v>
      </c>
      <c r="E174" s="2" t="str">
        <v>1</v>
      </c>
      <c r="F174" s="2" t="str">
        <v>611111.11</v>
      </c>
      <c r="G174" s="19" t="n">
        <v>660000</v>
      </c>
      <c r="H174" s="2" t="str">
        <v>2.xlsx | 订单!Q1731</v>
      </c>
    </row>
    <row r="175" ht="26" customHeight="1">
      <c r="A175" s="2" t="str">
        <v>S2-02185-BH</v>
      </c>
      <c r="B175" s="2" t="str">
        <v>INP6004</v>
      </c>
      <c r="C175" s="20" t="str">
        <v>Nồi cơm điện INP6004 (1,2L)</v>
      </c>
      <c r="D175" s="2" t="str">
        <v>Cái</v>
      </c>
      <c r="E175" s="2" t="str">
        <v>4</v>
      </c>
      <c r="F175" s="2" t="str">
        <v>583333.33</v>
      </c>
      <c r="G175" s="19" t="n">
        <v>2519999.98</v>
      </c>
      <c r="H175" s="2" t="str">
        <v>2.xlsx | 订单!Q2185</v>
      </c>
    </row>
    <row r="176" ht="26" customHeight="1">
      <c r="A176" s="2" t="str">
        <v>S2-02185-BH</v>
      </c>
      <c r="B176" s="2" t="str">
        <v>INP6005</v>
      </c>
      <c r="C176" s="20" t="str">
        <v>Nồi cơm điện INP6005 (1,8L)</v>
      </c>
      <c r="D176" s="2" t="str">
        <v>Cái</v>
      </c>
      <c r="E176" s="2" t="str">
        <v>4</v>
      </c>
      <c r="F176" s="2" t="str">
        <v>690740.74</v>
      </c>
      <c r="G176" s="19" t="n">
        <v>2984000</v>
      </c>
      <c r="H176" s="2" t="str">
        <v>2.xlsx | 订单!Q2186</v>
      </c>
    </row>
    <row r="177" ht="26" customHeight="1">
      <c r="A177" s="2" t="str">
        <v>S2-02185-BH</v>
      </c>
      <c r="B177" s="2" t="str">
        <v>INP6006</v>
      </c>
      <c r="C177" s="20" t="str">
        <v>Nồi cơm điện INP6006 (1,2L)</v>
      </c>
      <c r="D177" s="2" t="str">
        <v>Cái</v>
      </c>
      <c r="E177" s="2" t="str">
        <v>4</v>
      </c>
      <c r="F177" s="2" t="str">
        <v>583333.33</v>
      </c>
      <c r="G177" s="19" t="n">
        <v>2519999.98</v>
      </c>
      <c r="H177" s="2" t="str">
        <v>2.xlsx | 订单!Q2187</v>
      </c>
    </row>
    <row r="178" ht="26" customHeight="1">
      <c r="A178" s="2" t="str">
        <v>S2-02185-BH</v>
      </c>
      <c r="B178" s="2" t="str">
        <v>INP6008</v>
      </c>
      <c r="C178" s="20" t="str">
        <v>Nồi cơm điện INP6008 (1,2L)</v>
      </c>
      <c r="D178" s="2" t="str">
        <v>Cái</v>
      </c>
      <c r="E178" s="2" t="str">
        <v>4</v>
      </c>
      <c r="F178" s="2" t="str">
        <v>620370.37</v>
      </c>
      <c r="G178" s="19" t="n">
        <v>2680000</v>
      </c>
      <c r="H178" s="2" t="str">
        <v>2.xlsx | 订单!Q2189</v>
      </c>
    </row>
    <row r="179" ht="26" customHeight="1">
      <c r="A179" s="2" t="str">
        <v>S2-02185-BH</v>
      </c>
      <c r="B179" s="2" t="str">
        <v>INP6009</v>
      </c>
      <c r="C179" s="20" t="str">
        <v>Nồi cơm điện INP6009 (1,8L)</v>
      </c>
      <c r="D179" s="2" t="str">
        <v>Cái</v>
      </c>
      <c r="E179" s="2" t="str">
        <v>4</v>
      </c>
      <c r="F179" s="2" t="str">
        <v>740740.74</v>
      </c>
      <c r="G179" s="19" t="n">
        <v>3200000</v>
      </c>
      <c r="H179" s="2" t="str">
        <v>2.xlsx | 订单!Q2190</v>
      </c>
    </row>
    <row r="180" ht="26" customHeight="1">
      <c r="A180" s="2" t="str">
        <v>S2-02185-BH</v>
      </c>
      <c r="B180" s="2" t="str">
        <v>INP6007</v>
      </c>
      <c r="C180" s="20" t="str">
        <v>Nồi cơm điện INP6007 (1,8L)</v>
      </c>
      <c r="D180" s="2" t="str">
        <v>Cái</v>
      </c>
      <c r="E180" s="2" t="str">
        <v>4</v>
      </c>
      <c r="F180" s="2" t="str">
        <v>675925.93</v>
      </c>
      <c r="G180" s="19" t="n">
        <v>2920000.02</v>
      </c>
      <c r="H180" s="2" t="str">
        <v>2.xlsx | 订单!Q2188</v>
      </c>
    </row>
    <row r="181" ht="26" customHeight="1">
      <c r="A181" s="2" t="str">
        <v>S2-00244-BH</v>
      </c>
      <c r="B181" s="2" t="str">
        <v>INP1001</v>
      </c>
      <c r="C181" s="20" t="str">
        <v>Bộ nồi inox INP1001</v>
      </c>
      <c r="D181" s="2" t="str">
        <v>Bộ</v>
      </c>
      <c r="E181" s="2" t="str">
        <v>6</v>
      </c>
      <c r="F181" s="2" t="str">
        <v>480555.55</v>
      </c>
      <c r="G181" s="19" t="n">
        <v>3113999</v>
      </c>
      <c r="H181" s="2" t="str">
        <v>2.xlsx | 订单!Q244</v>
      </c>
    </row>
    <row r="182" ht="26" customHeight="1">
      <c r="A182" s="2" t="str">
        <v>S2-00244-BH</v>
      </c>
      <c r="B182" s="2" t="str">
        <v>INP1002</v>
      </c>
      <c r="C182" s="20" t="str">
        <v>Bộ nồi inox INP1002</v>
      </c>
      <c r="D182" s="2" t="str">
        <v>cái</v>
      </c>
      <c r="E182" s="2" t="str">
        <v>6</v>
      </c>
      <c r="F182" s="2" t="str">
        <v>647222.22</v>
      </c>
      <c r="G182" s="19" t="n">
        <v>4194000</v>
      </c>
      <c r="H182" s="2" t="str">
        <v>2.xlsx | 订单!Q245</v>
      </c>
    </row>
    <row r="183" ht="26" customHeight="1">
      <c r="A183" s="2" t="str">
        <v>S2-00244-BH</v>
      </c>
      <c r="B183" s="2" t="str">
        <v>INP1003</v>
      </c>
      <c r="C183" s="20" t="str">
        <v>Bộ nồi Inox INP1003 </v>
      </c>
      <c r="D183" s="2" t="str">
        <v>cái</v>
      </c>
      <c r="E183" s="2" t="str">
        <v>20</v>
      </c>
      <c r="F183" s="2" t="str">
        <v>324074.07</v>
      </c>
      <c r="G183" s="19" t="n">
        <v>6999999</v>
      </c>
      <c r="H183" s="2" t="str">
        <v>2.xlsx | 订单!Q246</v>
      </c>
    </row>
    <row r="184" ht="26" customHeight="1">
      <c r="A184" s="2" t="str">
        <v>S2-00244-BH</v>
      </c>
      <c r="B184" s="2" t="str">
        <v>INP2002</v>
      </c>
      <c r="C184" s="20" t="str">
        <v>	
Bộ nồi inox  INP2002</v>
      </c>
      <c r="D184" s="2" t="str">
        <v>cái</v>
      </c>
      <c r="E184" s="2" t="str">
        <v>5</v>
      </c>
      <c r="F184" s="2" t="str">
        <v>851851.85</v>
      </c>
      <c r="G184" s="19" t="n">
        <v>4600000</v>
      </c>
      <c r="H184" s="2" t="str">
        <v>2.xlsx | 订单!Q247</v>
      </c>
    </row>
    <row r="185" ht="26" customHeight="1">
      <c r="A185" s="2" t="str">
        <v>S2-00244-BH</v>
      </c>
      <c r="B185" s="2" t="str">
        <v>INP2003</v>
      </c>
      <c r="C185" s="20" t="str">
        <v>	
Bộ nồi inox INP2003</v>
      </c>
      <c r="D185" s="2" t="str">
        <v>cái</v>
      </c>
      <c r="E185" s="2" t="str">
        <v>4</v>
      </c>
      <c r="F185" s="2" t="str">
        <v>1185185.18</v>
      </c>
      <c r="G185" s="19" t="n">
        <v>5120000</v>
      </c>
      <c r="H185" s="2" t="str">
        <v>2.xlsx | 订单!Q248</v>
      </c>
    </row>
    <row r="186" ht="26" customHeight="1">
      <c r="A186" s="2" t="str">
        <v>S2-00244-BH</v>
      </c>
      <c r="B186" s="2" t="str">
        <v>INP2105</v>
      </c>
      <c r="C186" s="20" t="str">
        <v>Chảo inox đúc nguyên khối (không chống dính)INP2105</v>
      </c>
      <c r="D186" s="2" t="str">
        <v>cái</v>
      </c>
      <c r="E186" s="2" t="str">
        <v>10</v>
      </c>
      <c r="F186" s="2" t="str">
        <v>240740.74</v>
      </c>
      <c r="G186" s="19" t="n">
        <v>2600000</v>
      </c>
      <c r="H186" s="2" t="str">
        <v>2.xlsx | 订单!Q249</v>
      </c>
    </row>
    <row r="187" ht="26" customHeight="1">
      <c r="A187" s="2" t="str">
        <v>S2-00244-BH</v>
      </c>
      <c r="B187" s="2" t="str">
        <v>INP2106</v>
      </c>
      <c r="C187" s="20" t="str">
        <v>Chảo inox đúc nguyên khối (không chống dính)INP2106</v>
      </c>
      <c r="D187" s="2" t="str">
        <v>cái</v>
      </c>
      <c r="E187" s="2" t="str">
        <v>10</v>
      </c>
      <c r="F187" s="2" t="str">
        <v>259259.25</v>
      </c>
      <c r="G187" s="19" t="n">
        <v>2800000</v>
      </c>
      <c r="H187" s="2" t="str">
        <v>2.xlsx | 订单!Q250</v>
      </c>
    </row>
    <row r="188" ht="26" customHeight="1">
      <c r="A188" s="2" t="str">
        <v>S2-00244-BH</v>
      </c>
      <c r="B188" s="2" t="str">
        <v>INP2109</v>
      </c>
      <c r="C188" s="20" t="str">
        <v>Chảo inox đúc nguyên khối (không chống dính)INP2109</v>
      </c>
      <c r="D188" s="2" t="str">
        <v>cái</v>
      </c>
      <c r="E188" s="2" t="str">
        <v>10</v>
      </c>
      <c r="F188" s="2" t="str">
        <v>240740.74</v>
      </c>
      <c r="G188" s="19" t="n">
        <v>2600000</v>
      </c>
      <c r="H188" s="2" t="str">
        <v>2.xlsx | 订单!Q251</v>
      </c>
    </row>
    <row r="189" ht="26" customHeight="1">
      <c r="A189" s="2" t="str">
        <v>S2-00244-BH</v>
      </c>
      <c r="B189" s="2" t="str">
        <v>INP2110</v>
      </c>
      <c r="C189" s="20" t="str">
        <v>	
Chảo inox đúc nguyên khối (không chống dính)INP2110</v>
      </c>
      <c r="D189" s="2" t="str">
        <v>cái</v>
      </c>
      <c r="E189" s="2" t="str">
        <v>10</v>
      </c>
      <c r="F189" s="2" t="str">
        <v>259259.25</v>
      </c>
      <c r="G189" s="19" t="n">
        <v>2800000</v>
      </c>
      <c r="H189" s="2" t="str">
        <v>2.xlsx | 订单!Q252</v>
      </c>
    </row>
    <row r="190" ht="26" customHeight="1">
      <c r="A190" s="2" t="str">
        <v>S2-00244-BH</v>
      </c>
      <c r="B190" s="2" t="str">
        <v>INP2111</v>
      </c>
      <c r="C190" s="20" t="str">
        <v>Chảo inox đúc nguyên khối (không chống dính)INP2111</v>
      </c>
      <c r="D190" s="2" t="str">
        <v>cái</v>
      </c>
      <c r="E190" s="2" t="str">
        <v>10</v>
      </c>
      <c r="F190" s="2" t="str">
        <v>277777.77</v>
      </c>
      <c r="G190" s="19" t="n">
        <v>3000000</v>
      </c>
      <c r="H190" s="2" t="str">
        <v>2.xlsx | 订单!Q253</v>
      </c>
    </row>
    <row r="191" ht="26" customHeight="1">
      <c r="A191" s="2" t="str">
        <v>S2-00244-BH</v>
      </c>
      <c r="B191" s="2" t="str">
        <v>INP2301</v>
      </c>
      <c r="C191" s="20" t="str">
        <v>	
Chảo rán INP2301</v>
      </c>
      <c r="D191" s="2" t="str">
        <v>cái</v>
      </c>
      <c r="E191" s="2" t="str">
        <v>20</v>
      </c>
      <c r="F191" s="2" t="str">
        <v>416666.66</v>
      </c>
      <c r="G191" s="19" t="n">
        <v>9000000</v>
      </c>
      <c r="H191" s="2" t="str">
        <v>2.xlsx | 订单!Q254</v>
      </c>
    </row>
    <row r="192" ht="26" customHeight="1">
      <c r="A192" s="2" t="str">
        <v>S2-00244-BH</v>
      </c>
      <c r="B192" s="2" t="str">
        <v>INP6001</v>
      </c>
      <c r="C192" s="20" t="str">
        <v>Nồi cơm điện tử (Nồi cơm điện đa năng giảm đường) INP6001</v>
      </c>
      <c r="D192" s="2" t="str">
        <v>cái</v>
      </c>
      <c r="E192" s="2" t="str">
        <v>10</v>
      </c>
      <c r="F192" s="2" t="str">
        <v>1138889</v>
      </c>
      <c r="G192" s="19" t="n">
        <v>12300001</v>
      </c>
      <c r="H192" s="2" t="str">
        <v>2.xlsx | 订单!Q255</v>
      </c>
    </row>
    <row r="193" ht="26" customHeight="1">
      <c r="A193" s="2" t="str">
        <v>S2-00244-BH</v>
      </c>
      <c r="B193" s="2" t="str">
        <v>INP6003</v>
      </c>
      <c r="C193" s="20" t="str">
        <v>Nồi cơm điện tử (Nồi cơm điện đa năng giảm đường) INP6003</v>
      </c>
      <c r="D193" s="2" t="str">
        <v>cái</v>
      </c>
      <c r="E193" s="2" t="str">
        <v>4</v>
      </c>
      <c r="F193" s="2" t="str">
        <v>851851.85</v>
      </c>
      <c r="G193" s="19" t="n">
        <v>3680000</v>
      </c>
      <c r="H193" s="2" t="str">
        <v>2.xlsx | 订单!Q256</v>
      </c>
    </row>
    <row r="194" ht="26" customHeight="1">
      <c r="A194" s="2" t="str">
        <v>S2-00244-BH</v>
      </c>
      <c r="B194" s="2" t="str">
        <v>INP6202</v>
      </c>
      <c r="C194" s="20" t="str">
        <v>Ấm điện siêu tốc INP6202 1,7 lít màu đen</v>
      </c>
      <c r="D194" s="2" t="str">
        <v>cái</v>
      </c>
      <c r="E194" s="2" t="str">
        <v>30</v>
      </c>
      <c r="F194" s="2" t="str">
        <v>325925.92</v>
      </c>
      <c r="G194" s="19" t="n">
        <v>10560000</v>
      </c>
      <c r="H194" s="2" t="str">
        <v>2.xlsx | 订单!Q257</v>
      </c>
    </row>
    <row r="195" ht="26" customHeight="1">
      <c r="A195" s="2" t="str">
        <v>S2-00244-BH</v>
      </c>
      <c r="B195" s="2" t="str">
        <v>INP6601</v>
      </c>
      <c r="C195" s="20" t="str">
        <v>Máy sấy bát đĩa INP6601</v>
      </c>
      <c r="D195" s="2" t="str">
        <v>bộ</v>
      </c>
      <c r="E195" s="2" t="str">
        <v>2</v>
      </c>
      <c r="F195" s="2" t="str">
        <v>1203703.7</v>
      </c>
      <c r="G195" s="19" t="n">
        <v>2600000</v>
      </c>
      <c r="H195" s="2" t="str">
        <v>2.xlsx | 订单!Q258</v>
      </c>
    </row>
    <row r="196" ht="26" customHeight="1">
      <c r="A196" s="2" t="str">
        <v>S2-00244-BH</v>
      </c>
      <c r="B196" s="2" t="str">
        <v>INP6602</v>
      </c>
      <c r="C196" s="20" t="str">
        <v>Máy sấy bát đĩa INP 6602</v>
      </c>
      <c r="D196" s="2" t="str"/>
      <c r="E196" s="2" t="str">
        <v>2</v>
      </c>
      <c r="F196" s="2" t="str">
        <v>1361111.11</v>
      </c>
      <c r="G196" s="19" t="n">
        <v>2940000</v>
      </c>
      <c r="H196" s="2" t="str">
        <v>2.xlsx | 订单!Q259</v>
      </c>
    </row>
    <row r="197" ht="26" customHeight="1">
      <c r="A197" s="2" t="str">
        <v>S2-00244-BH</v>
      </c>
      <c r="B197" s="2" t="str">
        <v>INP6701</v>
      </c>
      <c r="C197" s="20" t="str">
        <v>Máy xay thực phẩm INP6701</v>
      </c>
      <c r="D197" s="2" t="str">
        <v>cái</v>
      </c>
      <c r="E197" s="2" t="str">
        <v>16</v>
      </c>
      <c r="F197" s="2" t="str">
        <v>361111.11</v>
      </c>
      <c r="G197" s="19" t="n">
        <v>6240000</v>
      </c>
      <c r="H197" s="2" t="str">
        <v>2.xlsx | 订单!Q260</v>
      </c>
    </row>
    <row r="198" ht="26" customHeight="1">
      <c r="A198" s="2" t="str">
        <v>S2-00244-BH</v>
      </c>
      <c r="B198" s="2" t="str">
        <v>INP1201</v>
      </c>
      <c r="C198" s="20" t="str">
        <v>Nồi Inox INP1201</v>
      </c>
      <c r="D198" s="2" t="str">
        <v>cái</v>
      </c>
      <c r="E198" s="2" t="str">
        <v>4</v>
      </c>
      <c r="F198" s="2" t="str">
        <v>387962.96</v>
      </c>
      <c r="G198" s="19" t="n">
        <v>1676000</v>
      </c>
      <c r="H198" s="2" t="str">
        <v>2.xlsx | 订单!Q261</v>
      </c>
    </row>
    <row r="199" ht="26" customHeight="1">
      <c r="A199" s="2" t="str">
        <v>S2-00244-BH</v>
      </c>
      <c r="B199" s="2" t="str">
        <v>INP1202</v>
      </c>
      <c r="C199" s="20" t="str">
        <v>Nồi Inox INP1202</v>
      </c>
      <c r="D199" s="2" t="str">
        <v>cái</v>
      </c>
      <c r="E199" s="2" t="str">
        <v>4</v>
      </c>
      <c r="F199" s="2" t="str">
        <v>472222.22</v>
      </c>
      <c r="G199" s="19" t="n">
        <v>2040000</v>
      </c>
      <c r="H199" s="2" t="str">
        <v>2.xlsx | 订单!Q262</v>
      </c>
    </row>
    <row r="200" ht="26" customHeight="1">
      <c r="A200" s="2" t="str">
        <v>S2-00244-BH</v>
      </c>
      <c r="B200" s="2" t="str">
        <v>INP1203</v>
      </c>
      <c r="C200" s="20" t="str">
        <v>Nồi Inox INP1203</v>
      </c>
      <c r="D200" s="2" t="str">
        <v>cái</v>
      </c>
      <c r="E200" s="2" t="str">
        <v>4</v>
      </c>
      <c r="F200" s="2" t="str">
        <v>492592.59</v>
      </c>
      <c r="G200" s="19" t="n">
        <v>2128000</v>
      </c>
      <c r="H200" s="2" t="str">
        <v>2.xlsx | 订单!Q263</v>
      </c>
    </row>
    <row r="201" ht="26" customHeight="1">
      <c r="A201" s="2" t="str">
        <v>S2-00244-BH</v>
      </c>
      <c r="B201" s="2" t="str">
        <v>INP6002</v>
      </c>
      <c r="C201" s="20" t="str">
        <v>Nồi cơm điện tử (Nồi cơm điện đa năng giảm đường) INP6002</v>
      </c>
      <c r="D201" s="2" t="str">
        <v>cái</v>
      </c>
      <c r="E201" s="2" t="str">
        <v>10</v>
      </c>
      <c r="F201" s="2" t="str">
        <v>1097222.22</v>
      </c>
      <c r="G201" s="19" t="n">
        <v>11850000</v>
      </c>
      <c r="H201" s="2" t="str">
        <v>2.xlsx | 订单!Q264</v>
      </c>
    </row>
    <row r="202" ht="26" customHeight="1">
      <c r="A202" s="2" t="str">
        <v>S2-00266-BH</v>
      </c>
      <c r="B202" s="2" t="str">
        <v>INP2106</v>
      </c>
      <c r="C202" s="20" t="str">
        <v>Chảo inox đúc nguyên khối (không chống dính)INP2106</v>
      </c>
      <c r="D202" s="2" t="str">
        <v>cái</v>
      </c>
      <c r="E202" s="2" t="str">
        <v>20</v>
      </c>
      <c r="F202" s="2" t="str">
        <v>259259.25</v>
      </c>
      <c r="G202" s="19" t="n">
        <v>5600000</v>
      </c>
      <c r="H202" s="2" t="str">
        <v>2.xlsx | 订单!Q266</v>
      </c>
    </row>
    <row r="203" ht="26" customHeight="1">
      <c r="A203" s="2" t="str">
        <v>S2-00266-BH</v>
      </c>
      <c r="B203" s="2" t="str">
        <v>INP2108</v>
      </c>
      <c r="C203" s="20" t="str">
        <v>Chảo inox đúc nguyên khối (không chống dính)INP2108</v>
      </c>
      <c r="D203" s="2" t="str">
        <v>cái</v>
      </c>
      <c r="E203" s="2" t="str">
        <v>10</v>
      </c>
      <c r="F203" s="2" t="str">
        <v>226851.85</v>
      </c>
      <c r="G203" s="19" t="n">
        <v>2450001</v>
      </c>
      <c r="H203" s="2" t="str">
        <v>2.xlsx | 订单!Q267</v>
      </c>
    </row>
    <row r="204" ht="26" customHeight="1">
      <c r="A204" s="2" t="str">
        <v>S2-00266-BH</v>
      </c>
      <c r="B204" s="2" t="str">
        <v>INP2109</v>
      </c>
      <c r="C204" s="20" t="str">
        <v>Chảo inox đúc nguyên khối (không chống dính)INP2109</v>
      </c>
      <c r="D204" s="2" t="str">
        <v>cái</v>
      </c>
      <c r="E204" s="2" t="str">
        <v>10</v>
      </c>
      <c r="F204" s="2" t="str">
        <v>240740.74</v>
      </c>
      <c r="G204" s="19" t="n">
        <v>2600000</v>
      </c>
      <c r="H204" s="2" t="str">
        <v>2.xlsx | 订单!Q268</v>
      </c>
    </row>
    <row r="205" ht="26" customHeight="1">
      <c r="A205" s="2" t="str">
        <v>S2-00266-BH</v>
      </c>
      <c r="B205" s="2" t="str">
        <v>INP2110</v>
      </c>
      <c r="C205" s="20" t="str">
        <v>Chảo inox đúc nguyên khối (không chống dính)INP2110</v>
      </c>
      <c r="D205" s="2" t="str">
        <v>cái</v>
      </c>
      <c r="E205" s="2" t="str">
        <v>20</v>
      </c>
      <c r="F205" s="2" t="str">
        <v>259259.25</v>
      </c>
      <c r="G205" s="19" t="n">
        <v>5600000</v>
      </c>
      <c r="H205" s="2" t="str">
        <v>2.xlsx | 订单!Q269</v>
      </c>
    </row>
    <row r="206" ht="26" customHeight="1">
      <c r="A206" s="2" t="str">
        <v>S2-00266-BH</v>
      </c>
      <c r="B206" s="2" t="str">
        <v>INP2111</v>
      </c>
      <c r="C206" s="20" t="str">
        <v>Chảo inox đúc nguyên khối (không chống dính)INP2111</v>
      </c>
      <c r="D206" s="2" t="str">
        <v>cái</v>
      </c>
      <c r="E206" s="2" t="str">
        <v>20</v>
      </c>
      <c r="F206" s="2" t="str">
        <v>277777.8</v>
      </c>
      <c r="G206" s="19" t="n">
        <v>6000000</v>
      </c>
      <c r="H206" s="2" t="str">
        <v>2.xlsx | 订单!Q270</v>
      </c>
    </row>
    <row r="207" ht="26" customHeight="1">
      <c r="A207" s="2" t="str">
        <v>S2-00266-BH</v>
      </c>
      <c r="B207" s="2" t="str">
        <v>INP2101</v>
      </c>
      <c r="C207" s="20" t="str">
        <v>Chảo inox chống dính đúc nguyên khốiINP2101</v>
      </c>
      <c r="D207" s="2" t="str">
        <v>cái</v>
      </c>
      <c r="E207" s="2" t="str">
        <v>10</v>
      </c>
      <c r="F207" s="2" t="str">
        <v>234259.26</v>
      </c>
      <c r="G207" s="19" t="n">
        <v>2530000</v>
      </c>
      <c r="H207" s="2" t="str">
        <v>2.xlsx | 订单!Q271</v>
      </c>
    </row>
    <row r="208" ht="26" customHeight="1">
      <c r="A208" s="2" t="str">
        <v>S2-00266-BH</v>
      </c>
      <c r="B208" s="2" t="str">
        <v>INP2102</v>
      </c>
      <c r="C208" s="20" t="str">
        <v>Chảo inox chống dính đúc nguyên khốiINP2102</v>
      </c>
      <c r="D208" s="2" t="str">
        <v>cái</v>
      </c>
      <c r="E208" s="2" t="str">
        <v>10</v>
      </c>
      <c r="F208" s="2" t="str">
        <v>256481.48</v>
      </c>
      <c r="G208" s="19" t="n">
        <v>2770000</v>
      </c>
      <c r="H208" s="2" t="str">
        <v>2.xlsx | 订单!Q272</v>
      </c>
    </row>
    <row r="209" ht="26" customHeight="1">
      <c r="A209" s="2" t="str">
        <v>S2-00266-BH</v>
      </c>
      <c r="B209" s="2" t="str">
        <v>INP2103</v>
      </c>
      <c r="C209" s="20" t="str">
        <v>Chảo inox chống dính đúc nguyên khốiINP2103</v>
      </c>
      <c r="D209" s="2" t="str">
        <v>cái</v>
      </c>
      <c r="E209" s="2" t="str">
        <v>30</v>
      </c>
      <c r="F209" s="2" t="str">
        <v>281481.48</v>
      </c>
      <c r="G209" s="19" t="n">
        <v>9120000</v>
      </c>
      <c r="H209" s="2" t="str">
        <v>2.xlsx | 订单!Q273</v>
      </c>
    </row>
    <row r="210" ht="26" customHeight="1">
      <c r="A210" s="2" t="str">
        <v>S2-00266-BH</v>
      </c>
      <c r="B210" s="2" t="str">
        <v>INP1001</v>
      </c>
      <c r="C210" s="20" t="str">
        <v>Bộ nồi inox INP1001</v>
      </c>
      <c r="D210" s="2" t="str">
        <v>cái</v>
      </c>
      <c r="E210" s="2" t="str">
        <v>10</v>
      </c>
      <c r="F210" s="2" t="str">
        <v>480555.55</v>
      </c>
      <c r="G210" s="19" t="n">
        <v>5190000</v>
      </c>
      <c r="H210" s="2" t="str">
        <v>2.xlsx | 订单!Q274</v>
      </c>
    </row>
    <row r="211" ht="26" customHeight="1">
      <c r="A211" s="2" t="str">
        <v>S2-00266-BH</v>
      </c>
      <c r="B211" s="2" t="str">
        <v>INP1002</v>
      </c>
      <c r="C211" s="20" t="str">
        <v>Bộ nồi inox INP1002</v>
      </c>
      <c r="D211" s="2" t="str">
        <v>cái</v>
      </c>
      <c r="E211" s="2" t="str">
        <v>10</v>
      </c>
      <c r="F211" s="2" t="str">
        <v>647222.22</v>
      </c>
      <c r="G211" s="19" t="n">
        <v>6990000</v>
      </c>
      <c r="H211" s="2" t="str">
        <v>2.xlsx | 订单!Q275</v>
      </c>
    </row>
    <row r="212" ht="26" customHeight="1">
      <c r="A212" s="2" t="str">
        <v>S2-00276-BH</v>
      </c>
      <c r="B212" s="2" t="str">
        <v>INP2109</v>
      </c>
      <c r="C212" s="20" t="str">
        <v>Chảo inox đúc nguyên khối (không chống dính)INP2109</v>
      </c>
      <c r="D212" s="2" t="str">
        <v>cái</v>
      </c>
      <c r="E212" s="2" t="str">
        <v>1</v>
      </c>
      <c r="F212" s="2" t="str">
        <v>240740.74</v>
      </c>
      <c r="G212" s="19" t="n">
        <v>260000</v>
      </c>
      <c r="H212" s="2" t="str">
        <v>2.xlsx | 订单!Q276</v>
      </c>
    </row>
    <row r="213" ht="26" customHeight="1">
      <c r="A213" s="2" t="str">
        <v>S2-00276-BH</v>
      </c>
      <c r="B213" s="2" t="str">
        <v>INP2106</v>
      </c>
      <c r="C213" s="20" t="str">
        <v>Chảo inox đúc nguyên khối (không chống dính)INP2106</v>
      </c>
      <c r="D213" s="2" t="str">
        <v>cái</v>
      </c>
      <c r="E213" s="2" t="str">
        <v>1</v>
      </c>
      <c r="F213" s="2" t="str">
        <v>259259.25</v>
      </c>
      <c r="G213" s="19" t="n">
        <v>280000</v>
      </c>
      <c r="H213" s="2" t="str">
        <v>2.xlsx | 订单!Q277</v>
      </c>
    </row>
    <row r="214" ht="26" customHeight="1">
      <c r="A214" s="2" t="str">
        <v>S2-00276-BH</v>
      </c>
      <c r="B214" s="2" t="str">
        <v>INP2111</v>
      </c>
      <c r="C214" s="20" t="str">
        <v>Chảo inox đúc nguyên khối (không chống dính)INP2111</v>
      </c>
      <c r="D214" s="2" t="str">
        <v>cái</v>
      </c>
      <c r="E214" s="2" t="str">
        <v>1</v>
      </c>
      <c r="F214" s="2" t="str">
        <v>277777.78</v>
      </c>
      <c r="G214" s="19" t="n">
        <v>300000</v>
      </c>
      <c r="H214" s="2" t="str">
        <v>2.xlsx | 订单!Q278</v>
      </c>
    </row>
    <row r="215" ht="26" customHeight="1">
      <c r="A215" s="2" t="str">
        <v>S2-00280-TH</v>
      </c>
      <c r="B215" s="2" t="str">
        <v>INP6601</v>
      </c>
      <c r="C215" s="20" t="str">
        <v>Máy sấy bát đĩa INP6601</v>
      </c>
      <c r="D215" s="2" t="str">
        <v>bộ</v>
      </c>
      <c r="E215" s="2" t="str">
        <v>-2</v>
      </c>
      <c r="F215" s="2" t="str">
        <v>1203703.7</v>
      </c>
      <c r="G215" s="19" t="n">
        <v>2600000</v>
      </c>
      <c r="H215" s="2" t="str">
        <v>2.xlsx | 订单!Q280</v>
      </c>
    </row>
    <row r="216" ht="26" customHeight="1">
      <c r="A216" s="2" t="str">
        <v>S2-00280-TH</v>
      </c>
      <c r="B216" s="2" t="str">
        <v>INP6602</v>
      </c>
      <c r="C216" s="20" t="str">
        <v>Máy sấy bát đĩa INP 6602</v>
      </c>
      <c r="D216" s="2" t="str">
        <v>bộ</v>
      </c>
      <c r="E216" s="2" t="str">
        <v>-2</v>
      </c>
      <c r="F216" s="2" t="str">
        <v>1361111.11</v>
      </c>
      <c r="G216" s="19" t="n">
        <v>2940000</v>
      </c>
      <c r="H216" s="2" t="str">
        <v>2.xlsx | 订单!Q281</v>
      </c>
    </row>
    <row r="217" ht="26" customHeight="1">
      <c r="A217" s="2" t="str">
        <v>S2-00280-TH</v>
      </c>
      <c r="B217" s="2" t="str">
        <v>INP6001</v>
      </c>
      <c r="C217" s="20" t="str">
        <v>Nồi cơm điện tử (Nồi cơm điện đa năng giảm đường) INP6001</v>
      </c>
      <c r="D217" s="2" t="str">
        <v>cái</v>
      </c>
      <c r="E217" s="2" t="str">
        <v>-9</v>
      </c>
      <c r="F217" s="2" t="str">
        <v>1138889</v>
      </c>
      <c r="G217" s="19" t="n">
        <v>11070001</v>
      </c>
      <c r="H217" s="2" t="str">
        <v>2.xlsx | 订单!Q282</v>
      </c>
    </row>
    <row r="218" ht="26" customHeight="1">
      <c r="A218" s="2" t="str">
        <v>S2-00280-TH</v>
      </c>
      <c r="B218" s="2" t="str">
        <v>INP6002</v>
      </c>
      <c r="C218" s="20" t="str">
        <v>Nồi cơm điện tử (Nồi cơm điện đa năng giảm đường) INP6002</v>
      </c>
      <c r="D218" s="2" t="str">
        <v>cái</v>
      </c>
      <c r="E218" s="2" t="str">
        <v>-10</v>
      </c>
      <c r="F218" s="2" t="str">
        <v>1097222.22</v>
      </c>
      <c r="G218" s="19" t="n">
        <v>11850000</v>
      </c>
      <c r="H218" s="2" t="str">
        <v>2.xlsx | 订单!Q283</v>
      </c>
    </row>
    <row r="219" ht="26" customHeight="1">
      <c r="A219" s="2" t="str">
        <v>S2-00280-TH</v>
      </c>
      <c r="B219" s="2" t="str">
        <v>INP6003</v>
      </c>
      <c r="C219" s="20" t="str">
        <v>Nồi cơm điện tử (Nồi cơm điện đa năng giảm đường) INP6003</v>
      </c>
      <c r="D219" s="2" t="str">
        <v>cái</v>
      </c>
      <c r="E219" s="2" t="str">
        <v>-3</v>
      </c>
      <c r="F219" s="2" t="str">
        <v>851851.85</v>
      </c>
      <c r="G219" s="19" t="n">
        <v>2760000</v>
      </c>
      <c r="H219" s="2" t="str">
        <v>2.xlsx | 订单!Q284</v>
      </c>
    </row>
    <row r="220" ht="26" customHeight="1">
      <c r="A220" s="2" t="str">
        <v>S2-00280-TH</v>
      </c>
      <c r="B220" s="2" t="str">
        <v>INP6202</v>
      </c>
      <c r="C220" s="20" t="str">
        <v>Ấm điện siêu tốc INP6202 1,7 lít màu đen</v>
      </c>
      <c r="D220" s="2" t="str">
        <v>cái</v>
      </c>
      <c r="E220" s="2" t="str">
        <v>-29</v>
      </c>
      <c r="F220" s="2" t="str">
        <v>325925.92</v>
      </c>
      <c r="G220" s="19" t="n">
        <v>10208000</v>
      </c>
      <c r="H220" s="2" t="str">
        <v>2.xlsx | 订单!Q285</v>
      </c>
    </row>
    <row r="221" ht="26" customHeight="1">
      <c r="A221" s="2" t="str">
        <v>S2-00286-BH</v>
      </c>
      <c r="B221" s="2" t="str">
        <v>INP6701</v>
      </c>
      <c r="C221" s="20" t="str">
        <v>Máy xay thực phẩm INP6701</v>
      </c>
      <c r="D221" s="2" t="str">
        <v>cái</v>
      </c>
      <c r="E221" s="2" t="str">
        <v>10</v>
      </c>
      <c r="F221" s="2" t="str">
        <v>361111.11</v>
      </c>
      <c r="G221" s="19" t="n">
        <v>3900000</v>
      </c>
      <c r="H221" s="2" t="str">
        <v>2.xlsx | 订单!Q286</v>
      </c>
    </row>
    <row r="222" ht="26" customHeight="1">
      <c r="A222" s="2" t="str">
        <v>S2-00286-BH</v>
      </c>
      <c r="B222" s="2" t="str">
        <v>INP2109</v>
      </c>
      <c r="C222" s="20" t="str">
        <v>Chảo inox đúc nguyên khối (không chống dính)INP2109</v>
      </c>
      <c r="D222" s="2" t="str">
        <v>cái</v>
      </c>
      <c r="E222" s="2" t="str">
        <v>5</v>
      </c>
      <c r="F222" s="2" t="str">
        <v>240740.74</v>
      </c>
      <c r="G222" s="19" t="n">
        <v>1300000</v>
      </c>
      <c r="H222" s="2" t="str">
        <v>2.xlsx | 订单!Q287</v>
      </c>
    </row>
    <row r="223" ht="26" customHeight="1">
      <c r="A223" s="2" t="str">
        <v>S2-00286-BH</v>
      </c>
      <c r="B223" s="2" t="str">
        <v>INP2110</v>
      </c>
      <c r="C223" s="20" t="str">
        <v>Chảo inox đúc nguyên khối (không chống dính)INP2110</v>
      </c>
      <c r="D223" s="2" t="str">
        <v>cái</v>
      </c>
      <c r="E223" s="2" t="str">
        <v>5</v>
      </c>
      <c r="F223" s="2" t="str">
        <v>259259.25</v>
      </c>
      <c r="G223" s="19" t="n">
        <v>1400000</v>
      </c>
      <c r="H223" s="2" t="str">
        <v>2.xlsx | 订单!Q288</v>
      </c>
    </row>
    <row r="224" ht="26" customHeight="1">
      <c r="A224" s="2" t="str">
        <v>S2-00286-BH</v>
      </c>
      <c r="B224" s="2" t="str">
        <v>INP2111</v>
      </c>
      <c r="C224" s="20" t="str">
        <v>Chảo inox đúc nguyên khối (không chống dính)INP2111</v>
      </c>
      <c r="D224" s="2" t="str">
        <v>cái</v>
      </c>
      <c r="E224" s="2" t="str">
        <v>5</v>
      </c>
      <c r="F224" s="2" t="str">
        <v>277777.78</v>
      </c>
      <c r="G224" s="19" t="n">
        <v>1500000</v>
      </c>
      <c r="H224" s="2" t="str">
        <v>2.xlsx | 订单!Q289</v>
      </c>
    </row>
    <row r="225" ht="26" customHeight="1">
      <c r="A225" s="2" t="str">
        <v>S2-00286-BH</v>
      </c>
      <c r="B225" s="2" t="str">
        <v>INP1003</v>
      </c>
      <c r="C225" s="20" t="str">
        <v>Bộ nồi Inox INP1003 </v>
      </c>
      <c r="D225" s="2" t="str">
        <v>cái</v>
      </c>
      <c r="E225" s="2" t="str">
        <v>10</v>
      </c>
      <c r="F225" s="2" t="str">
        <v>324074.07</v>
      </c>
      <c r="G225" s="19" t="n">
        <v>3500000</v>
      </c>
      <c r="H225" s="2" t="str">
        <v>2.xlsx | 订单!Q290</v>
      </c>
    </row>
    <row r="226" ht="26" customHeight="1">
      <c r="A226" s="2" t="str">
        <v>S2-00286-BH</v>
      </c>
      <c r="B226" s="2" t="str">
        <v>INP1001</v>
      </c>
      <c r="C226" s="20" t="str">
        <v>Bộ nồi inox INP1001</v>
      </c>
      <c r="D226" s="2" t="str">
        <v>Bộ</v>
      </c>
      <c r="E226" s="2" t="str">
        <v>10</v>
      </c>
      <c r="F226" s="2" t="str">
        <v>480555.55</v>
      </c>
      <c r="G226" s="19" t="n">
        <v>5190000</v>
      </c>
      <c r="H226" s="2" t="str">
        <v>2.xlsx | 订单!Q291</v>
      </c>
    </row>
    <row r="227" ht="26" customHeight="1">
      <c r="A227" s="2" t="str">
        <v>S2-00286-BH</v>
      </c>
      <c r="B227" s="2" t="str">
        <v>INP1201</v>
      </c>
      <c r="C227" s="20" t="str">
        <v>Nồi Inox INP1201</v>
      </c>
      <c r="D227" s="2" t="str">
        <v>cái</v>
      </c>
      <c r="E227" s="2" t="str">
        <v>6</v>
      </c>
      <c r="F227" s="2" t="str">
        <v>387962.96</v>
      </c>
      <c r="G227" s="19" t="n">
        <v>2514000</v>
      </c>
      <c r="H227" s="2" t="str">
        <v>2.xlsx | 订单!Q292</v>
      </c>
    </row>
    <row r="228" ht="26" customHeight="1">
      <c r="A228" s="2" t="str">
        <v>S2-00286-BH</v>
      </c>
      <c r="B228" s="2" t="str">
        <v>INP1202</v>
      </c>
      <c r="C228" s="20" t="str">
        <v>Nồi Inox INP1202</v>
      </c>
      <c r="D228" s="2" t="str">
        <v>cái</v>
      </c>
      <c r="E228" s="2" t="str">
        <v>6</v>
      </c>
      <c r="F228" s="2" t="str">
        <v>472222.22</v>
      </c>
      <c r="G228" s="19" t="n">
        <v>3060000</v>
      </c>
      <c r="H228" s="2" t="str">
        <v>2.xlsx | 订单!Q293</v>
      </c>
    </row>
    <row r="229" ht="26" customHeight="1">
      <c r="A229" s="2" t="str">
        <v>S2-00286-BH</v>
      </c>
      <c r="B229" s="2" t="str">
        <v>INP1203</v>
      </c>
      <c r="C229" s="20" t="str">
        <v>Nồi Inox INP1203</v>
      </c>
      <c r="D229" s="2" t="str">
        <v>cái</v>
      </c>
      <c r="E229" s="2" t="str">
        <v>6</v>
      </c>
      <c r="F229" s="2" t="str">
        <v>492592.59</v>
      </c>
      <c r="G229" s="19" t="n">
        <v>3192000</v>
      </c>
      <c r="H229" s="2" t="str">
        <v>2.xlsx | 订单!Q294</v>
      </c>
    </row>
    <row r="230" ht="26" customHeight="1">
      <c r="A230" s="2" t="str">
        <v>S2-00297-BH</v>
      </c>
      <c r="B230" s="2" t="str">
        <v>INP1001</v>
      </c>
      <c r="C230" s="20" t="str">
        <v>Bộ nồi inox INP1001</v>
      </c>
      <c r="D230" s="2" t="str">
        <v>Bộ</v>
      </c>
      <c r="E230" s="2" t="str">
        <v>10</v>
      </c>
      <c r="F230" s="2" t="str">
        <v>480555.55</v>
      </c>
      <c r="G230" s="19" t="n">
        <v>5190000</v>
      </c>
      <c r="H230" s="2" t="str">
        <v>2.xlsx | 订单!Q297</v>
      </c>
    </row>
    <row r="231" ht="26" customHeight="1">
      <c r="A231" s="2" t="str">
        <v>S2-00297-BH</v>
      </c>
      <c r="B231" s="2" t="str">
        <v>INP1002</v>
      </c>
      <c r="C231" s="20" t="str">
        <v>Bộ nồi inox INP1002</v>
      </c>
      <c r="D231" s="2" t="str">
        <v>Bộ</v>
      </c>
      <c r="E231" s="2" t="str">
        <v>2</v>
      </c>
      <c r="F231" s="2" t="str">
        <v>647222.22</v>
      </c>
      <c r="G231" s="19" t="n">
        <v>1398000</v>
      </c>
      <c r="H231" s="2" t="str">
        <v>2.xlsx | 订单!Q298</v>
      </c>
    </row>
    <row r="232" ht="26" customHeight="1">
      <c r="A232" s="2" t="str">
        <v>S2-00297-BH</v>
      </c>
      <c r="B232" s="2" t="str">
        <v>INP1101</v>
      </c>
      <c r="C232" s="20" t="str">
        <v> Bộ nồi inox INP1101</v>
      </c>
      <c r="D232" s="2" t="str">
        <v>Bộ</v>
      </c>
      <c r="E232" s="2" t="str">
        <v>10</v>
      </c>
      <c r="F232" s="2" t="str">
        <v>483333.33</v>
      </c>
      <c r="G232" s="19" t="n">
        <v>5220000</v>
      </c>
      <c r="H232" s="2" t="str">
        <v>2.xlsx | 订单!Q299</v>
      </c>
    </row>
    <row r="233" ht="26" customHeight="1">
      <c r="A233" s="2" t="str">
        <v>S2-00297-BH</v>
      </c>
      <c r="B233" s="2" t="str">
        <v>INP2002</v>
      </c>
      <c r="C233" s="20" t="str">
        <v>	
Bộ nồi inox  INP2002</v>
      </c>
      <c r="D233" s="2" t="str">
        <v>Bộ</v>
      </c>
      <c r="E233" s="2" t="str">
        <v>6</v>
      </c>
      <c r="F233" s="2" t="str">
        <v>851851.85</v>
      </c>
      <c r="G233" s="19" t="n">
        <v>5520000</v>
      </c>
      <c r="H233" s="2" t="str">
        <v>2.xlsx | 订单!Q300</v>
      </c>
    </row>
    <row r="234" ht="26" customHeight="1">
      <c r="A234" s="2" t="str">
        <v>S2-00297-BH</v>
      </c>
      <c r="B234" s="2" t="str">
        <v>INP2003</v>
      </c>
      <c r="C234" s="20" t="str">
        <v>	
Bộ nồi inox INP2003</v>
      </c>
      <c r="D234" s="2" t="str">
        <v>Bộ</v>
      </c>
      <c r="E234" s="2" t="str">
        <v>2</v>
      </c>
      <c r="F234" s="2" t="str">
        <v>1185185.18</v>
      </c>
      <c r="G234" s="19" t="n">
        <v>2560000</v>
      </c>
      <c r="H234" s="2" t="str">
        <v>2.xlsx | 订单!Q301</v>
      </c>
    </row>
    <row r="235" ht="26" customHeight="1">
      <c r="A235" s="2" t="str">
        <v>S2-00297-BH</v>
      </c>
      <c r="B235" s="2" t="str">
        <v>INP2103</v>
      </c>
      <c r="C235" s="20" t="str">
        <v>Chảo inox chống dính đúc nguyên khốiINP2103</v>
      </c>
      <c r="D235" s="2" t="str">
        <v>cái</v>
      </c>
      <c r="E235" s="2" t="str">
        <v>10</v>
      </c>
      <c r="F235" s="2" t="str">
        <v>281481.48</v>
      </c>
      <c r="G235" s="19" t="n">
        <v>3040000</v>
      </c>
      <c r="H235" s="2" t="str">
        <v>2.xlsx | 订单!Q302</v>
      </c>
    </row>
    <row r="236" ht="26" customHeight="1">
      <c r="A236" s="2" t="str">
        <v>S2-00297-BH</v>
      </c>
      <c r="B236" s="2" t="str">
        <v>INP2109</v>
      </c>
      <c r="C236" s="20" t="str">
        <v>Chảo inox đúc nguyên khối (không chống dính)INP2109</v>
      </c>
      <c r="D236" s="2" t="str">
        <v>cái</v>
      </c>
      <c r="E236" s="2" t="str">
        <v>10</v>
      </c>
      <c r="F236" s="2" t="str">
        <v>240740.74</v>
      </c>
      <c r="G236" s="19" t="n">
        <v>2600000</v>
      </c>
      <c r="H236" s="2" t="str">
        <v>2.xlsx | 订单!Q303</v>
      </c>
    </row>
    <row r="237" ht="26" customHeight="1">
      <c r="A237" s="2" t="str">
        <v>S2-00297-BH</v>
      </c>
      <c r="B237" s="2" t="str">
        <v>INP2110</v>
      </c>
      <c r="C237" s="20" t="str">
        <v>Chảo inox đúc nguyên khối (không chống dính)INP2110</v>
      </c>
      <c r="D237" s="2" t="str">
        <v>cái</v>
      </c>
      <c r="E237" s="2" t="str">
        <v>10</v>
      </c>
      <c r="F237" s="2" t="str">
        <v>259259.25</v>
      </c>
      <c r="G237" s="19" t="n">
        <v>2800000</v>
      </c>
      <c r="H237" s="2" t="str">
        <v>2.xlsx | 订单!Q304</v>
      </c>
    </row>
    <row r="238" ht="26" customHeight="1">
      <c r="A238" s="2" t="str">
        <v>S2-00297-BH</v>
      </c>
      <c r="B238" s="2" t="str">
        <v>INP2111</v>
      </c>
      <c r="C238" s="20" t="str">
        <v>Chảo inox đúc nguyên khối (không chống dính)INP2111</v>
      </c>
      <c r="D238" s="2" t="str">
        <v>cái</v>
      </c>
      <c r="E238" s="2" t="str">
        <v>10</v>
      </c>
      <c r="F238" s="2" t="str">
        <v>277777.78</v>
      </c>
      <c r="G238" s="19" t="n">
        <v>3000000</v>
      </c>
      <c r="H238" s="2" t="str">
        <v>2.xlsx | 订单!Q305</v>
      </c>
    </row>
    <row r="239" ht="26" customHeight="1">
      <c r="A239" s="2" t="str">
        <v>S2-00306-BH</v>
      </c>
      <c r="B239" s="2" t="str">
        <v>INP2301</v>
      </c>
      <c r="C239" s="20" t="str">
        <v>Chảo rán INP2301</v>
      </c>
      <c r="D239" s="2" t="str">
        <v>cái</v>
      </c>
      <c r="E239" s="2" t="str">
        <v>10</v>
      </c>
      <c r="F239" s="2" t="str">
        <v>416666.66</v>
      </c>
      <c r="G239" s="19" t="n">
        <v>4500000</v>
      </c>
      <c r="H239" s="2" t="str">
        <v>2.xlsx | 订单!Q306</v>
      </c>
    </row>
    <row r="240" ht="26" customHeight="1">
      <c r="A240" s="2" t="str">
        <v>S2-00306-BH</v>
      </c>
      <c r="B240" s="2" t="str">
        <v>INP6902</v>
      </c>
      <c r="C240" s="20" t="str">
        <v>Nồi áp suất điện INP6902</v>
      </c>
      <c r="D240" s="2" t="str">
        <v>Nồi</v>
      </c>
      <c r="E240" s="2" t="str">
        <v>2</v>
      </c>
      <c r="F240" s="2" t="str">
        <v>814814.81</v>
      </c>
      <c r="G240" s="19" t="n">
        <v>1760001</v>
      </c>
      <c r="H240" s="2" t="str">
        <v>2.xlsx | 订单!Q307</v>
      </c>
    </row>
    <row r="241" ht="26" customHeight="1">
      <c r="A241" s="2" t="str">
        <v>S2-00306-BH</v>
      </c>
      <c r="B241" s="2" t="str">
        <v>INP6903</v>
      </c>
      <c r="C241" s="20" t="str">
        <v>Nồi áp suất điện INP6903</v>
      </c>
      <c r="D241" s="2" t="str">
        <v>Nồi</v>
      </c>
      <c r="E241" s="2" t="str">
        <v>2</v>
      </c>
      <c r="F241" s="2" t="str">
        <v>907407.4</v>
      </c>
      <c r="G241" s="19" t="n">
        <v>1960000</v>
      </c>
      <c r="H241" s="2" t="str">
        <v>2.xlsx | 订单!Q308</v>
      </c>
    </row>
    <row r="242" ht="26" customHeight="1">
      <c r="A242" s="2" t="str">
        <v>S2-00309-BH</v>
      </c>
      <c r="B242" s="2" t="str">
        <v>INP6701</v>
      </c>
      <c r="C242" s="20" t="str">
        <v>Máy xay thực phẩm INP6701</v>
      </c>
      <c r="D242" s="2" t="str">
        <v>cái</v>
      </c>
      <c r="E242" s="2" t="str">
        <v>16</v>
      </c>
      <c r="F242" s="2" t="str">
        <v>361111.11</v>
      </c>
      <c r="G242" s="19" t="n">
        <v>6240000</v>
      </c>
      <c r="H242" s="2" t="str">
        <v>2.xlsx | 订单!Q309</v>
      </c>
    </row>
    <row r="243" ht="26" customHeight="1">
      <c r="A243" s="2" t="str">
        <v>S2-00309-BH</v>
      </c>
      <c r="B243" s="2" t="str">
        <v>INP2104</v>
      </c>
      <c r="C243" s="20" t="str">
        <v>Chảo inox chống dính đúc nguyên khối
INP2104 </v>
      </c>
      <c r="D243" s="2" t="str"/>
      <c r="E243" s="2" t="str">
        <v>20</v>
      </c>
      <c r="F243" s="2" t="str">
        <v>298148.15</v>
      </c>
      <c r="G243" s="19" t="n">
        <v>6440000</v>
      </c>
      <c r="H243" s="2" t="str">
        <v>2.xlsx | 订单!Q310</v>
      </c>
    </row>
    <row r="244" ht="26" customHeight="1">
      <c r="A244" s="2" t="str">
        <v>S2-00309-BH</v>
      </c>
      <c r="B244" s="2" t="str">
        <v>INP2107</v>
      </c>
      <c r="C244" s="20" t="str">
        <v>Chảo inox đúc nguyên khối (không chống dính)INP2107</v>
      </c>
      <c r="D244" s="2" t="str">
        <v>cái</v>
      </c>
      <c r="E244" s="2" t="str">
        <v>20</v>
      </c>
      <c r="F244" s="2" t="str">
        <v>277777.78</v>
      </c>
      <c r="G244" s="19" t="n">
        <v>6000000</v>
      </c>
      <c r="H244" s="2" t="str">
        <v>2.xlsx | 订单!Q311</v>
      </c>
    </row>
    <row r="245" ht="26" customHeight="1">
      <c r="A245" s="2" t="str">
        <v>S2-00309-BH</v>
      </c>
      <c r="B245" s="2" t="str">
        <v>INP2111</v>
      </c>
      <c r="C245" s="20" t="str">
        <v>Chảo inox đúc nguyên khối (không chống dính)INP2111</v>
      </c>
      <c r="D245" s="2" t="str">
        <v>cái</v>
      </c>
      <c r="E245" s="2" t="str">
        <v>20</v>
      </c>
      <c r="F245" s="2" t="str">
        <v>277777.78</v>
      </c>
      <c r="G245" s="19" t="n">
        <v>6000000</v>
      </c>
      <c r="H245" s="2" t="str">
        <v>2.xlsx | 订单!Q312</v>
      </c>
    </row>
    <row r="246" ht="26" customHeight="1">
      <c r="A246" s="2" t="str">
        <v>S2-00309-BH</v>
      </c>
      <c r="B246" s="2" t="str">
        <v>INP2301</v>
      </c>
      <c r="C246" s="20" t="str">
        <v>Chảo rán INP2301</v>
      </c>
      <c r="D246" s="2" t="str">
        <v>cái</v>
      </c>
      <c r="E246" s="2" t="str">
        <v>5</v>
      </c>
      <c r="F246" s="2" t="str">
        <v>416666.66</v>
      </c>
      <c r="G246" s="19" t="n">
        <v>2250000</v>
      </c>
      <c r="H246" s="2" t="str">
        <v>2.xlsx | 订单!Q313</v>
      </c>
    </row>
    <row r="247" ht="26" customHeight="1">
      <c r="A247" s="2" t="str">
        <v>S2-00309-BH</v>
      </c>
      <c r="B247" s="2" t="str">
        <v>INP2002</v>
      </c>
      <c r="C247" s="20" t="str">
        <v>	
Bộ nồi inox  INP2002</v>
      </c>
      <c r="D247" s="2" t="str">
        <v>Bộ</v>
      </c>
      <c r="E247" s="2" t="str">
        <v>16</v>
      </c>
      <c r="F247" s="2" t="str">
        <v>851851.85</v>
      </c>
      <c r="G247" s="19" t="n">
        <v>14720000</v>
      </c>
      <c r="H247" s="2" t="str">
        <v>2.xlsx | 订单!Q314</v>
      </c>
    </row>
    <row r="248" ht="26" customHeight="1">
      <c r="A248" s="2" t="str">
        <v>S2-00309-BH</v>
      </c>
      <c r="B248" s="2" t="str">
        <v>INP1301</v>
      </c>
      <c r="C248" s="20" t="str">
        <v>Nồi mã INP1301 </v>
      </c>
      <c r="D248" s="2" t="str">
        <v>cái</v>
      </c>
      <c r="E248" s="2" t="str">
        <v>30</v>
      </c>
      <c r="F248" s="2" t="str">
        <v>78703.7</v>
      </c>
      <c r="G248" s="19" t="n">
        <v>2550000</v>
      </c>
      <c r="H248" s="2" t="str">
        <v>2.xlsx | 订单!Q315</v>
      </c>
    </row>
    <row r="249" ht="26" customHeight="1">
      <c r="A249" s="2" t="str">
        <v>S2-01145-BH</v>
      </c>
      <c r="B249" s="2" t="str">
        <v>INP6601</v>
      </c>
      <c r="C249" s="20" t="str">
        <v>Máy sấy bát đĩa INP6601</v>
      </c>
      <c r="D249" s="2" t="str">
        <v>cái</v>
      </c>
      <c r="E249" s="2" t="str">
        <v>1</v>
      </c>
      <c r="F249" s="2" t="str">
        <v>1203703.7</v>
      </c>
      <c r="G249" s="19" t="n">
        <v>1300000</v>
      </c>
      <c r="H249" s="2" t="str">
        <v>2.xlsx | 订单!Q1145</v>
      </c>
    </row>
    <row r="250" ht="26" customHeight="1">
      <c r="A250" s="2" t="str">
        <v>S2-01145-BH</v>
      </c>
      <c r="B250" s="2" t="str">
        <v>INP6602</v>
      </c>
      <c r="C250" s="20" t="str">
        <v>Máy sấy bát đĩa INP6602</v>
      </c>
      <c r="D250" s="2" t="str">
        <v>cái</v>
      </c>
      <c r="E250" s="2" t="str">
        <v>1</v>
      </c>
      <c r="F250" s="2" t="str">
        <v>1361111.11</v>
      </c>
      <c r="G250" s="19" t="n">
        <v>1470000</v>
      </c>
      <c r="H250" s="2" t="str">
        <v>2.xlsx | 订单!Q1146</v>
      </c>
    </row>
    <row r="251" ht="26" customHeight="1">
      <c r="A251" s="2" t="str">
        <v>S2-01145-BH</v>
      </c>
      <c r="B251" s="2" t="str">
        <v>INP6002</v>
      </c>
      <c r="C251" s="20" t="str">
        <v>Nồi cơm điện tử (Nồi cơm điện đa năng giảm đường) INP6002</v>
      </c>
      <c r="D251" s="2" t="str">
        <v>cái</v>
      </c>
      <c r="E251" s="2" t="str">
        <v>3</v>
      </c>
      <c r="F251" s="2" t="str">
        <v>1097222.22</v>
      </c>
      <c r="G251" s="19" t="n">
        <v>3555000</v>
      </c>
      <c r="H251" s="2" t="str">
        <v>2.xlsx | 订单!Q1147</v>
      </c>
    </row>
    <row r="252" ht="26" customHeight="1">
      <c r="A252" s="2" t="str">
        <v>S2-01145-BH</v>
      </c>
      <c r="B252" s="2" t="str">
        <v>INP6202</v>
      </c>
      <c r="C252" s="20" t="str">
        <v>Ấm điện siêu tốc INP6202 1,7 lít màu đen</v>
      </c>
      <c r="D252" s="2" t="str">
        <v>cái</v>
      </c>
      <c r="E252" s="2" t="str">
        <v>2</v>
      </c>
      <c r="F252" s="2" t="str">
        <v>325925.92</v>
      </c>
      <c r="G252" s="19" t="n">
        <v>704000</v>
      </c>
      <c r="H252" s="2" t="str">
        <v>2.xlsx | 订单!Q1148</v>
      </c>
    </row>
    <row r="253" ht="26" customHeight="1">
      <c r="A253" s="2" t="str">
        <v>S2-00002-BH</v>
      </c>
      <c r="B253" s="2" t="str">
        <v>INP3004</v>
      </c>
      <c r="C253" s="20" t="str">
        <v>Nồi gang tráng menINP3004</v>
      </c>
      <c r="D253" s="2" t="str">
        <v>Cái</v>
      </c>
      <c r="E253" s="2" t="str">
        <v>1</v>
      </c>
      <c r="F253" s="2" t="str">
        <v>358333.33</v>
      </c>
      <c r="G253" s="19" t="n">
        <v>387000</v>
      </c>
      <c r="H253" s="2" t="str">
        <v>2.xlsx | 订单!Q2</v>
      </c>
    </row>
    <row r="254" ht="26" customHeight="1">
      <c r="A254" s="2" t="str">
        <v>S2-00002-BH</v>
      </c>
      <c r="B254" s="2" t="str">
        <v>INP3005</v>
      </c>
      <c r="C254" s="20" t="str">
        <v>Nồi gang tráng menINP3005</v>
      </c>
      <c r="D254" s="2" t="str">
        <v>Cái</v>
      </c>
      <c r="E254" s="2" t="str">
        <v>1</v>
      </c>
      <c r="F254" s="2" t="str">
        <v>398148.14</v>
      </c>
      <c r="G254" s="19" t="n">
        <v>430000</v>
      </c>
      <c r="H254" s="2" t="str">
        <v>2.xlsx | 订单!Q3</v>
      </c>
    </row>
    <row r="255" ht="26" customHeight="1">
      <c r="A255" s="2" t="str">
        <v>S2-00002-BH</v>
      </c>
      <c r="B255" s="2" t="str">
        <v>INP3201</v>
      </c>
      <c r="C255" s="20" t="str">
        <v>Chảo gang tráng menINP3201</v>
      </c>
      <c r="D255" s="2" t="str">
        <v>Cái</v>
      </c>
      <c r="E255" s="2" t="str">
        <v>1</v>
      </c>
      <c r="F255" s="2" t="str">
        <v>240740.74</v>
      </c>
      <c r="G255" s="19" t="n">
        <v>260000</v>
      </c>
      <c r="H255" s="2" t="str">
        <v>2.xlsx | 订单!Q4</v>
      </c>
    </row>
    <row r="256" ht="26" customHeight="1">
      <c r="A256" s="2" t="str">
        <v>S2-00002-BH</v>
      </c>
      <c r="B256" s="2" t="str">
        <v>INP3202</v>
      </c>
      <c r="C256" s="20" t="str">
        <v>Chảo gang tráng menINP3202</v>
      </c>
      <c r="D256" s="2" t="str">
        <v>Cái</v>
      </c>
      <c r="E256" s="2" t="str">
        <v>1</v>
      </c>
      <c r="F256" s="2" t="str">
        <v>342592.59</v>
      </c>
      <c r="G256" s="19" t="n">
        <v>370000</v>
      </c>
      <c r="H256" s="2" t="str">
        <v>2.xlsx | 订单!Q5</v>
      </c>
    </row>
    <row r="257" ht="26" customHeight="1">
      <c r="A257" s="2" t="str">
        <v>S2-00006-BH</v>
      </c>
      <c r="B257" s="2" t="str">
        <v>INP3202</v>
      </c>
      <c r="C257" s="20" t="str">
        <v>Chảo gang tráng menINP3202</v>
      </c>
      <c r="D257" s="2" t="str">
        <v>Cái</v>
      </c>
      <c r="E257" s="2" t="str">
        <v>5</v>
      </c>
      <c r="F257" s="2" t="str">
        <v>342592.59</v>
      </c>
      <c r="G257" s="19" t="n">
        <v>1850000</v>
      </c>
      <c r="H257" s="2" t="str">
        <v>2.xlsx | 订单!Q6</v>
      </c>
    </row>
    <row r="258" ht="26" customHeight="1">
      <c r="A258" s="2" t="str">
        <v>S2-00006-BH</v>
      </c>
      <c r="B258" s="2" t="str">
        <v>INP3004</v>
      </c>
      <c r="C258" s="20" t="str">
        <v>Nồi gang tráng menINP3004</v>
      </c>
      <c r="D258" s="2" t="str">
        <v>Cái</v>
      </c>
      <c r="E258" s="2" t="str">
        <v>5</v>
      </c>
      <c r="F258" s="2" t="str">
        <v>358333.33</v>
      </c>
      <c r="G258" s="19" t="n">
        <v>1935000</v>
      </c>
      <c r="H258" s="2" t="str">
        <v>2.xlsx | 订单!Q7</v>
      </c>
    </row>
    <row r="259" ht="26" customHeight="1">
      <c r="A259" s="2" t="str">
        <v>S2-00008-BH</v>
      </c>
      <c r="B259" s="2" t="str">
        <v>INP3005</v>
      </c>
      <c r="C259" s="20" t="str">
        <v>Nồi gang tráng menINP3005</v>
      </c>
      <c r="D259" s="2" t="str">
        <v>Cái</v>
      </c>
      <c r="E259" s="2" t="str">
        <v>8</v>
      </c>
      <c r="F259" s="2" t="str">
        <v>398148.14</v>
      </c>
      <c r="G259" s="19" t="n">
        <v>3440000</v>
      </c>
      <c r="H259" s="2" t="str">
        <v>2.xlsx | 订单!Q8</v>
      </c>
    </row>
    <row r="260" ht="26" customHeight="1">
      <c r="A260" s="2" t="str">
        <v>S2-00008-BH</v>
      </c>
      <c r="B260" s="2" t="str">
        <v>INP3004</v>
      </c>
      <c r="C260" s="20" t="str">
        <v>Nồi gang tráng menINP3004</v>
      </c>
      <c r="D260" s="2" t="str">
        <v>Cái</v>
      </c>
      <c r="E260" s="2" t="str">
        <v>8</v>
      </c>
      <c r="F260" s="2" t="str">
        <v>358333.33</v>
      </c>
      <c r="G260" s="19" t="n">
        <v>3096000</v>
      </c>
      <c r="H260" s="2" t="str">
        <v>2.xlsx | 订单!Q9</v>
      </c>
    </row>
    <row r="261" ht="26" customHeight="1">
      <c r="A261" s="2" t="str">
        <v>S2-00008-BH</v>
      </c>
      <c r="B261" s="2" t="str">
        <v>INP3202</v>
      </c>
      <c r="C261" s="20" t="str">
        <v>Chảo gang tráng menINP3202</v>
      </c>
      <c r="D261" s="2" t="str">
        <v>Cái</v>
      </c>
      <c r="E261" s="2" t="str">
        <v>12</v>
      </c>
      <c r="F261" s="2" t="str">
        <v>342592.59</v>
      </c>
      <c r="G261" s="19" t="n">
        <v>4440000</v>
      </c>
      <c r="H261" s="2" t="str">
        <v>2.xlsx | 订单!Q10</v>
      </c>
    </row>
    <row r="262" ht="26" customHeight="1">
      <c r="A262" s="2" t="str">
        <v>S2-00011-BH</v>
      </c>
      <c r="B262" s="2" t="str">
        <v>INP3004</v>
      </c>
      <c r="C262" s="20" t="str">
        <v>Nồi gang tráng menINP3004</v>
      </c>
      <c r="D262" s="2" t="str">
        <v>Cái</v>
      </c>
      <c r="E262" s="2" t="str">
        <v>8</v>
      </c>
      <c r="F262" s="2" t="str">
        <v>358333.33</v>
      </c>
      <c r="G262" s="19" t="n">
        <v>3096000</v>
      </c>
      <c r="H262" s="2" t="str">
        <v>2.xlsx | 订单!Q11</v>
      </c>
    </row>
    <row r="263" ht="26" customHeight="1">
      <c r="A263" s="2" t="str">
        <v>S2-00011-BH</v>
      </c>
      <c r="B263" s="2" t="str">
        <v>INP3201</v>
      </c>
      <c r="C263" s="20" t="str">
        <v>Chảo gang tráng menINP3201</v>
      </c>
      <c r="D263" s="2" t="str">
        <v>Cái</v>
      </c>
      <c r="E263" s="2" t="str">
        <v>12</v>
      </c>
      <c r="F263" s="2" t="str">
        <v>240740.74</v>
      </c>
      <c r="G263" s="19" t="n">
        <v>3120000</v>
      </c>
      <c r="H263" s="2" t="str">
        <v>2.xlsx | 订单!Q12</v>
      </c>
    </row>
    <row r="264" ht="26" customHeight="1">
      <c r="A264" s="2" t="str">
        <v>S2-00011-BH</v>
      </c>
      <c r="B264" s="2" t="str">
        <v>INP3005</v>
      </c>
      <c r="C264" s="20" t="str">
        <v>Nồi gang tráng menINP3005</v>
      </c>
      <c r="D264" s="2" t="str">
        <v>Cái</v>
      </c>
      <c r="E264" s="2" t="str">
        <v>4</v>
      </c>
      <c r="F264" s="2" t="str">
        <v>398148.14</v>
      </c>
      <c r="G264" s="19" t="n">
        <v>1720000</v>
      </c>
      <c r="H264" s="2" t="str">
        <v>2.xlsx | 订单!Q13</v>
      </c>
    </row>
    <row r="265" ht="26" customHeight="1">
      <c r="A265" s="2" t="str">
        <v>S2-00014-BH</v>
      </c>
      <c r="B265" s="2" t="str">
        <v>INP3202</v>
      </c>
      <c r="C265" s="20" t="str">
        <v>Chảo gang tráng menINP3202</v>
      </c>
      <c r="D265" s="2" t="str">
        <v>Cái</v>
      </c>
      <c r="E265" s="2" t="str">
        <v>8</v>
      </c>
      <c r="F265" s="2" t="str">
        <v>342592.59</v>
      </c>
      <c r="G265" s="19" t="n">
        <v>2960000</v>
      </c>
      <c r="H265" s="2" t="str">
        <v>2.xlsx | 订单!Q14</v>
      </c>
    </row>
    <row r="266" ht="26" customHeight="1">
      <c r="A266" s="2" t="str">
        <v>S2-00014-BH</v>
      </c>
      <c r="B266" s="2" t="str">
        <v>INP3004</v>
      </c>
      <c r="C266" s="20" t="str">
        <v>Nồi gang tráng menINP3004</v>
      </c>
      <c r="D266" s="2" t="str">
        <v>Cái</v>
      </c>
      <c r="E266" s="2" t="str">
        <v>12</v>
      </c>
      <c r="F266" s="2" t="str">
        <v>358333.33</v>
      </c>
      <c r="G266" s="19" t="n">
        <v>4644000</v>
      </c>
      <c r="H266" s="2" t="str">
        <v>2.xlsx | 订单!Q15</v>
      </c>
    </row>
    <row r="267" ht="26" customHeight="1">
      <c r="A267" s="2" t="str">
        <v>S2-01058-BH</v>
      </c>
      <c r="B267" s="2" t="str">
        <v>INP6403</v>
      </c>
      <c r="C267" s="20" t="str">
        <v>Quạt điện đứng INP6403</v>
      </c>
      <c r="D267" s="2" t="str">
        <v>cái</v>
      </c>
      <c r="E267" s="2" t="str">
        <v>1</v>
      </c>
      <c r="F267" s="2" t="str">
        <v>740740.74</v>
      </c>
      <c r="G267" s="19" t="n">
        <v>800000</v>
      </c>
      <c r="H267" s="2" t="str">
        <v>2.xlsx | 订单!Q1058</v>
      </c>
    </row>
    <row r="268" ht="26" customHeight="1">
      <c r="A268" s="2" t="str">
        <v>S2-01063-BH</v>
      </c>
      <c r="B268" s="2" t="str">
        <v>INP3201</v>
      </c>
      <c r="C268" s="20" t="str">
        <v>Chảo gang tráng menINP3201</v>
      </c>
      <c r="D268" s="2" t="str">
        <v>cái</v>
      </c>
      <c r="E268" s="2" t="str">
        <v>2</v>
      </c>
      <c r="F268" s="2" t="str">
        <v>240740.74</v>
      </c>
      <c r="G268" s="19" t="n">
        <v>520000</v>
      </c>
      <c r="H268" s="2" t="str">
        <v>2.xlsx | 订单!Q1063</v>
      </c>
    </row>
    <row r="269" ht="26" customHeight="1">
      <c r="A269" s="2" t="str">
        <v>S2-01063-BH</v>
      </c>
      <c r="B269" s="2" t="str">
        <v>INP2202</v>
      </c>
      <c r="C269" s="20" t="str">
        <v>Nồi luộc gà inox đúc nguyên khốiINP2202</v>
      </c>
      <c r="D269" s="2" t="str">
        <v>cái</v>
      </c>
      <c r="E269" s="2" t="str">
        <v>2</v>
      </c>
      <c r="F269" s="2" t="str">
        <v>844444.44</v>
      </c>
      <c r="G269" s="19" t="n">
        <v>1824000</v>
      </c>
      <c r="H269" s="2" t="str">
        <v>2.xlsx | 订单!Q1064</v>
      </c>
    </row>
    <row r="270" ht="26" customHeight="1">
      <c r="A270" s="2" t="str">
        <v>S2-01652-BH</v>
      </c>
      <c r="B270" s="2" t="str">
        <v>INP6403</v>
      </c>
      <c r="C270" s="20" t="str">
        <v>Quạt điện đứng INP6403</v>
      </c>
      <c r="D270" s="2" t="str">
        <v>Cái</v>
      </c>
      <c r="E270" s="2" t="str">
        <v>4</v>
      </c>
      <c r="F270" s="2" t="str">
        <v>740740.74</v>
      </c>
      <c r="G270" s="19" t="n">
        <v>2962963</v>
      </c>
      <c r="H270" s="2" t="str">
        <v>2.xlsx | 订单!Q1652</v>
      </c>
    </row>
    <row r="271" ht="26" customHeight="1">
      <c r="A271" s="2" t="str">
        <v>S2-01757-BH</v>
      </c>
      <c r="B271" s="2" t="str">
        <v>INP2003</v>
      </c>
      <c r="C271" s="20" t="str">
        <v>Bộ nồi inox INP2003</v>
      </c>
      <c r="D271" s="2" t="str">
        <v>Cái</v>
      </c>
      <c r="E271" s="2" t="str">
        <v>1</v>
      </c>
      <c r="F271" s="2" t="str">
        <v>1185185.18</v>
      </c>
      <c r="G271" s="19" t="n">
        <v>1280000</v>
      </c>
      <c r="H271" s="2" t="str">
        <v>2.xlsx | 订单!Q1757</v>
      </c>
    </row>
    <row r="272" ht="26" customHeight="1">
      <c r="A272" s="2" t="str">
        <v>S2-01757-BH</v>
      </c>
      <c r="B272" s="2" t="str">
        <v>INP6104</v>
      </c>
      <c r="C272" s="20" t="str">
        <v>Bếp từ đơn INP6104 ( 2500W ) </v>
      </c>
      <c r="D272" s="2" t="str">
        <v>Cái</v>
      </c>
      <c r="E272" s="2" t="str">
        <v>2</v>
      </c>
      <c r="F272" s="2" t="str">
        <v>1007407.41</v>
      </c>
      <c r="G272" s="19" t="n">
        <v>2176000</v>
      </c>
      <c r="H272" s="2" t="str">
        <v>2.xlsx | 订单!Q1758</v>
      </c>
    </row>
    <row r="273" ht="26" customHeight="1">
      <c r="A273" s="2" t="str">
        <v>S2-01764-BH</v>
      </c>
      <c r="B273" s="2" t="str">
        <v>INP3201</v>
      </c>
      <c r="C273" s="20" t="str">
        <v>Chảo gang tráng menINP3201</v>
      </c>
      <c r="D273" s="2" t="str">
        <v>Cái</v>
      </c>
      <c r="E273" s="2" t="str">
        <v>22</v>
      </c>
      <c r="F273" s="2" t="str">
        <v>240740.74</v>
      </c>
      <c r="G273" s="19" t="n">
        <v>5720000</v>
      </c>
      <c r="H273" s="2" t="str">
        <v>2.xlsx | 订单!Q1764</v>
      </c>
    </row>
    <row r="274" ht="26" customHeight="1">
      <c r="A274" s="2" t="str">
        <v>S2-01764-BH</v>
      </c>
      <c r="B274" s="2" t="str">
        <v>INP3202</v>
      </c>
      <c r="C274" s="20" t="str">
        <v>Chảo gang tráng menINP3202</v>
      </c>
      <c r="D274" s="2" t="str">
        <v>Cái</v>
      </c>
      <c r="E274" s="2" t="str">
        <v>54</v>
      </c>
      <c r="F274" s="2" t="str">
        <v>342592.59</v>
      </c>
      <c r="G274" s="19" t="n">
        <v>19980000</v>
      </c>
      <c r="H274" s="2" t="str">
        <v>2.xlsx | 订单!Q1765</v>
      </c>
    </row>
    <row r="275" ht="26" customHeight="1">
      <c r="A275" s="2" t="str">
        <v>S2-01764-BH</v>
      </c>
      <c r="B275" s="2" t="str">
        <v>INP2202</v>
      </c>
      <c r="C275" s="20" t="str">
        <v>Nồi luộc gà inox đúc nguyên khốiINP2202</v>
      </c>
      <c r="D275" s="2" t="str">
        <v>Cái</v>
      </c>
      <c r="E275" s="2" t="str">
        <v>3</v>
      </c>
      <c r="F275" s="2" t="str">
        <v>844444.44</v>
      </c>
      <c r="G275" s="19" t="n">
        <v>2736000</v>
      </c>
      <c r="H275" s="2" t="str">
        <v>2.xlsx | 订单!Q1766</v>
      </c>
    </row>
    <row r="276" ht="26" customHeight="1">
      <c r="A276" s="2" t="str">
        <v>S2-01764-BH</v>
      </c>
      <c r="B276" s="2" t="str">
        <v>INP6401</v>
      </c>
      <c r="C276" s="20" t="str">
        <v>Quạt đứng INP6401</v>
      </c>
      <c r="D276" s="2" t="str">
        <v>Cái</v>
      </c>
      <c r="E276" s="2" t="str">
        <v>17</v>
      </c>
      <c r="F276" s="2" t="str">
        <v>555555.56</v>
      </c>
      <c r="G276" s="19" t="n">
        <v>10200000</v>
      </c>
      <c r="H276" s="2" t="str">
        <v>2.xlsx | 订单!Q1767</v>
      </c>
    </row>
    <row r="277" ht="26" customHeight="1">
      <c r="A277" s="2" t="str">
        <v>S2-01764-BH</v>
      </c>
      <c r="B277" s="2" t="str">
        <v>INP6601</v>
      </c>
      <c r="C277" s="20" t="str">
        <v>Máy sấy bát đĩa INP6601</v>
      </c>
      <c r="D277" s="2" t="str">
        <v>Cái</v>
      </c>
      <c r="E277" s="2" t="str">
        <v>10</v>
      </c>
      <c r="F277" s="2" t="str">
        <v>1203703.7</v>
      </c>
      <c r="G277" s="19" t="n">
        <v>13000000</v>
      </c>
      <c r="H277" s="2" t="str">
        <v>2.xlsx | 订单!Q1768</v>
      </c>
    </row>
    <row r="278" ht="26" customHeight="1">
      <c r="A278" s="2" t="str">
        <v>S2-01764-BH</v>
      </c>
      <c r="B278" s="2" t="str">
        <v>INP6601</v>
      </c>
      <c r="C278" s="20" t="str">
        <v>Máy sấy bát đĩa INP6601</v>
      </c>
      <c r="D278" s="2" t="str">
        <v>Cái</v>
      </c>
      <c r="E278" s="2" t="str">
        <v>10</v>
      </c>
      <c r="F278" s="2" t="str">
        <v>1203703.7</v>
      </c>
      <c r="G278" s="19" t="n">
        <v>13000000</v>
      </c>
      <c r="H278" s="2" t="str">
        <v>2.xlsx | 订单!Q1769</v>
      </c>
    </row>
    <row r="279" ht="26" customHeight="1">
      <c r="A279" s="2" t="str">
        <v>S2-01828-BH</v>
      </c>
      <c r="B279" s="2" t="str">
        <v>INP2202</v>
      </c>
      <c r="C279" s="20" t="str">
        <v>Nồi luộc gà inox đúc nguyên khốiINP2202</v>
      </c>
      <c r="D279" s="2" t="str">
        <v>Cái</v>
      </c>
      <c r="E279" s="2" t="str">
        <v>1</v>
      </c>
      <c r="F279" s="2" t="str">
        <v>851851.85</v>
      </c>
      <c r="G279" s="19" t="n">
        <v>920000</v>
      </c>
      <c r="H279" s="2" t="str">
        <v>2.xlsx | 订单!Q1828</v>
      </c>
    </row>
    <row r="280" ht="26" customHeight="1">
      <c r="A280" s="2" t="str">
        <v>S2-01828-BH</v>
      </c>
      <c r="B280" s="2" t="str">
        <v>INP6104</v>
      </c>
      <c r="C280" s="20" t="str">
        <v>Bếp từ đơn INP6104 ( 2500W ) </v>
      </c>
      <c r="D280" s="2" t="str">
        <v>Cái</v>
      </c>
      <c r="E280" s="2" t="str">
        <v>1</v>
      </c>
      <c r="F280" s="2" t="str">
        <v>1007407.41</v>
      </c>
      <c r="G280" s="19" t="n">
        <v>1088000</v>
      </c>
      <c r="H280" s="2" t="str">
        <v>2.xlsx | 订单!Q1829</v>
      </c>
    </row>
    <row r="281" ht="26" customHeight="1">
      <c r="A281" s="2" t="str">
        <v>S2-01911-BH</v>
      </c>
      <c r="B281" s="2" t="str">
        <v>INP6403</v>
      </c>
      <c r="C281" s="20" t="str">
        <v>Quạt điện đứng INP6403</v>
      </c>
      <c r="D281" s="2" t="str">
        <v>Cái</v>
      </c>
      <c r="E281" s="2" t="str">
        <v>2</v>
      </c>
      <c r="F281" s="2" t="str">
        <v>694444.44</v>
      </c>
      <c r="G281" s="19" t="n">
        <v>1388889</v>
      </c>
      <c r="H281" s="2" t="str">
        <v>2.xlsx | 订单!Q1911</v>
      </c>
    </row>
    <row r="282" ht="26" customHeight="1">
      <c r="A282" s="2" t="str">
        <v>S2-01911-BH</v>
      </c>
      <c r="B282" s="2" t="str">
        <v>INP6104</v>
      </c>
      <c r="C282" s="20" t="str">
        <v>Bếp từ đơn INP6104 ( 2500W ) </v>
      </c>
      <c r="D282" s="2" t="str">
        <v>Cái</v>
      </c>
      <c r="E282" s="2" t="str">
        <v>1</v>
      </c>
      <c r="F282" s="2" t="str">
        <v>1007407.41</v>
      </c>
      <c r="G282" s="19" t="n">
        <v>1007407</v>
      </c>
      <c r="H282" s="2" t="str">
        <v>2.xlsx | 订单!Q1912</v>
      </c>
    </row>
    <row r="283" ht="26" customHeight="1">
      <c r="A283" s="2" t="str">
        <v>S2-01917-TH</v>
      </c>
      <c r="B283" s="2" t="str">
        <v>INP6601</v>
      </c>
      <c r="C283" s="20" t="str">
        <v>Máy sấy bát đĩa INP6601</v>
      </c>
      <c r="D283" s="2" t="str">
        <v>Cái</v>
      </c>
      <c r="E283" s="2" t="str">
        <v>-10</v>
      </c>
      <c r="F283" s="2" t="str">
        <v>1203703.7</v>
      </c>
      <c r="G283" s="19" t="n">
        <v>13000000</v>
      </c>
      <c r="H283" s="2" t="str">
        <v>2.xlsx | 订单!Q1917</v>
      </c>
    </row>
    <row r="284" ht="26" customHeight="1">
      <c r="A284" s="2" t="str">
        <v>S2-01150-BH</v>
      </c>
      <c r="B284" s="2" t="str">
        <v>INP1001</v>
      </c>
      <c r="C284" s="20" t="str">
        <v>Bộ nồi inox INP1001</v>
      </c>
      <c r="D284" s="2" t="str">
        <v>bộ</v>
      </c>
      <c r="E284" s="2" t="str">
        <v>2</v>
      </c>
      <c r="F284" s="2" t="str">
        <v>480555.56</v>
      </c>
      <c r="G284" s="19" t="n">
        <v>1038000</v>
      </c>
      <c r="H284" s="2" t="str">
        <v>2.xlsx | 订单!Q1150</v>
      </c>
    </row>
    <row r="285" ht="26" customHeight="1">
      <c r="A285" s="2" t="str">
        <v>S2-01150-BH</v>
      </c>
      <c r="B285" s="2" t="str">
        <v>INP1002</v>
      </c>
      <c r="C285" s="20" t="str">
        <v>Bộ nồi inox INP1002</v>
      </c>
      <c r="D285" s="2" t="str">
        <v>bộ</v>
      </c>
      <c r="E285" s="2" t="str">
        <v>2</v>
      </c>
      <c r="F285" s="2" t="str">
        <v>647222.22</v>
      </c>
      <c r="G285" s="19" t="n">
        <v>1398000</v>
      </c>
      <c r="H285" s="2" t="str">
        <v>2.xlsx | 订单!Q1151</v>
      </c>
    </row>
    <row r="286" ht="26" customHeight="1">
      <c r="A286" s="2" t="str">
        <v>S2-01150-BH</v>
      </c>
      <c r="B286" s="2" t="str">
        <v>INP1003</v>
      </c>
      <c r="C286" s="20" t="str">
        <v>Bộ nồi Inox INP1003 </v>
      </c>
      <c r="D286" s="2" t="str">
        <v>bộ</v>
      </c>
      <c r="E286" s="2" t="str">
        <v>12</v>
      </c>
      <c r="F286" s="2" t="str">
        <v>324074.07</v>
      </c>
      <c r="G286" s="19" t="n">
        <v>4200000</v>
      </c>
      <c r="H286" s="2" t="str">
        <v>2.xlsx | 订单!Q1152</v>
      </c>
    </row>
    <row r="287" ht="26" customHeight="1">
      <c r="A287" s="2" t="str">
        <v>S2-01150-BH</v>
      </c>
      <c r="B287" s="2" t="str">
        <v>INP1101</v>
      </c>
      <c r="C287" s="20" t="str">
        <v>Bộ nồi inox INP1101</v>
      </c>
      <c r="D287" s="2" t="str">
        <v>bộ</v>
      </c>
      <c r="E287" s="2" t="str">
        <v>2</v>
      </c>
      <c r="F287" s="2" t="str">
        <v>483333.33</v>
      </c>
      <c r="G287" s="19" t="n">
        <v>1044000</v>
      </c>
      <c r="H287" s="2" t="str">
        <v>2.xlsx | 订单!Q1153</v>
      </c>
    </row>
    <row r="288" ht="26" customHeight="1">
      <c r="A288" s="2" t="str">
        <v>S2-01150-BH</v>
      </c>
      <c r="B288" s="2" t="str">
        <v>INP1401</v>
      </c>
      <c r="C288" s="20" t="str">
        <v>Nồi áp suất 4.5L INP1401</v>
      </c>
      <c r="D288" s="2" t="str">
        <v>Cái</v>
      </c>
      <c r="E288" s="2" t="str">
        <v>4</v>
      </c>
      <c r="F288" s="2" t="str">
        <v>824074.07</v>
      </c>
      <c r="G288" s="19" t="n">
        <v>3560000</v>
      </c>
      <c r="H288" s="2" t="str">
        <v>2.xlsx | 订单!Q1154</v>
      </c>
    </row>
    <row r="289" ht="26" customHeight="1">
      <c r="A289" s="2" t="str">
        <v>S2-01150-BH</v>
      </c>
      <c r="B289" s="2" t="str">
        <v>INP2001</v>
      </c>
      <c r="C289" s="20" t="str">
        <v>Bộ nồi inox đúc nguyên khối INP2001</v>
      </c>
      <c r="D289" s="2" t="str">
        <v>bộ</v>
      </c>
      <c r="E289" s="2" t="str">
        <v>4</v>
      </c>
      <c r="F289" s="2" t="str">
        <v>1043518.52</v>
      </c>
      <c r="G289" s="19" t="n">
        <v>4508000</v>
      </c>
      <c r="H289" s="2" t="str">
        <v>2.xlsx | 订单!Q1155</v>
      </c>
    </row>
    <row r="290" ht="26" customHeight="1">
      <c r="A290" s="2" t="str">
        <v>S2-01150-BH</v>
      </c>
      <c r="B290" s="2" t="str">
        <v>INP2002</v>
      </c>
      <c r="C290" s="20" t="str">
        <v>Bộ nồi inox INP2002</v>
      </c>
      <c r="D290" s="2" t="str">
        <v>bộ</v>
      </c>
      <c r="E290" s="2" t="str">
        <v>4</v>
      </c>
      <c r="F290" s="2" t="str">
        <v>851851.85</v>
      </c>
      <c r="G290" s="19" t="n">
        <v>3680000</v>
      </c>
      <c r="H290" s="2" t="str">
        <v>2.xlsx | 订单!Q1156</v>
      </c>
    </row>
    <row r="291" ht="26" customHeight="1">
      <c r="A291" s="2" t="str">
        <v>S2-01150-BH</v>
      </c>
      <c r="B291" s="2" t="str">
        <v>INP2101</v>
      </c>
      <c r="C291" s="20" t="str">
        <v>Chảo inox chống dính đúc nguyên khốiINP2101</v>
      </c>
      <c r="D291" s="2" t="str">
        <v>Cái</v>
      </c>
      <c r="E291" s="2" t="str">
        <v>20</v>
      </c>
      <c r="F291" s="2" t="str">
        <v>234259.26</v>
      </c>
      <c r="G291" s="19" t="n">
        <v>5060000</v>
      </c>
      <c r="H291" s="2" t="str">
        <v>2.xlsx | 订单!Q1157</v>
      </c>
    </row>
    <row r="292" ht="26" customHeight="1">
      <c r="A292" s="2" t="str">
        <v>S2-01150-BH</v>
      </c>
      <c r="B292" s="2" t="str">
        <v>INP2102</v>
      </c>
      <c r="C292" s="20" t="str">
        <v>Chảo inox chống dính đúc nguyên khốiINP2102</v>
      </c>
      <c r="D292" s="2" t="str">
        <v>Cái</v>
      </c>
      <c r="E292" s="2" t="str">
        <v>30</v>
      </c>
      <c r="F292" s="2" t="str">
        <v>256481.48</v>
      </c>
      <c r="G292" s="19" t="n">
        <v>8310000</v>
      </c>
      <c r="H292" s="2" t="str">
        <v>2.xlsx | 订单!Q1158</v>
      </c>
    </row>
    <row r="293" ht="26" customHeight="1">
      <c r="A293" s="2" t="str">
        <v>S2-01150-BH</v>
      </c>
      <c r="B293" s="2" t="str">
        <v>INP2103</v>
      </c>
      <c r="C293" s="20" t="str">
        <v>Chảo inox chống dính đúc nguyên khốiINP2103</v>
      </c>
      <c r="D293" s="2" t="str">
        <v>Cái</v>
      </c>
      <c r="E293" s="2" t="str">
        <v>30</v>
      </c>
      <c r="F293" s="2" t="str">
        <v>281481.48</v>
      </c>
      <c r="G293" s="19" t="n">
        <v>9120000</v>
      </c>
      <c r="H293" s="2" t="str">
        <v>2.xlsx | 订单!Q1159</v>
      </c>
    </row>
    <row r="294" ht="26" customHeight="1">
      <c r="A294" s="2" t="str">
        <v>S2-01150-BH</v>
      </c>
      <c r="B294" s="2" t="str">
        <v>INP2104</v>
      </c>
      <c r="C294" s="20" t="str">
        <v>Chảo inox chống dính đúc nguyên khối INP2104</v>
      </c>
      <c r="D294" s="2" t="str">
        <v>Cái</v>
      </c>
      <c r="E294" s="2" t="str">
        <v>30</v>
      </c>
      <c r="F294" s="2" t="str">
        <v>298148.15</v>
      </c>
      <c r="G294" s="19" t="n">
        <v>9660000</v>
      </c>
      <c r="H294" s="2" t="str">
        <v>2.xlsx | 订单!Q1160</v>
      </c>
    </row>
    <row r="295" ht="26" customHeight="1">
      <c r="A295" s="2" t="str">
        <v>S2-01150-BH</v>
      </c>
      <c r="B295" s="2" t="str">
        <v>INP2105</v>
      </c>
      <c r="C295" s="20" t="str">
        <v>Chảo inox đúc nguyên khối (không chống dính)INP2105</v>
      </c>
      <c r="D295" s="2" t="str">
        <v>Cái</v>
      </c>
      <c r="E295" s="2" t="str">
        <v>10</v>
      </c>
      <c r="F295" s="2" t="str">
        <v>240740.74</v>
      </c>
      <c r="G295" s="19" t="n">
        <v>2600000</v>
      </c>
      <c r="H295" s="2" t="str">
        <v>2.xlsx | 订单!Q1161</v>
      </c>
    </row>
    <row r="296" ht="26" customHeight="1">
      <c r="A296" s="2" t="str">
        <v>S2-01150-BH</v>
      </c>
      <c r="B296" s="2" t="str">
        <v>INP2106</v>
      </c>
      <c r="C296" s="20" t="str">
        <v>Chảo inox đúc nguyên khối (không chống dính)INP2106</v>
      </c>
      <c r="D296" s="2" t="str">
        <v>Cái</v>
      </c>
      <c r="E296" s="2" t="str">
        <v>10</v>
      </c>
      <c r="F296" s="2" t="str">
        <v>259259.26</v>
      </c>
      <c r="G296" s="19" t="n">
        <v>2800000</v>
      </c>
      <c r="H296" s="2" t="str">
        <v>2.xlsx | 订单!Q1162</v>
      </c>
    </row>
    <row r="297" ht="26" customHeight="1">
      <c r="A297" s="2" t="str">
        <v>S2-01150-BH</v>
      </c>
      <c r="B297" s="2" t="str">
        <v>INP2107</v>
      </c>
      <c r="C297" s="20" t="str">
        <v>Chảo inox đúc nguyên khối (không chống dính) INP2107</v>
      </c>
      <c r="D297" s="2" t="str">
        <v>Cái</v>
      </c>
      <c r="E297" s="2" t="str">
        <v>10</v>
      </c>
      <c r="F297" s="2" t="str">
        <v>277777.78</v>
      </c>
      <c r="G297" s="19" t="n">
        <v>3000000</v>
      </c>
      <c r="H297" s="2" t="str">
        <v>2.xlsx | 订单!Q1163</v>
      </c>
    </row>
    <row r="298" ht="26" customHeight="1">
      <c r="A298" s="2" t="str">
        <v>S2-01150-BH</v>
      </c>
      <c r="B298" s="2" t="str">
        <v>INP2108</v>
      </c>
      <c r="C298" s="20" t="str">
        <v>Chảo inox đúc nguyên khối (không chống dính)INP2108</v>
      </c>
      <c r="D298" s="2" t="str">
        <v>Cái</v>
      </c>
      <c r="E298" s="2" t="str">
        <v>10</v>
      </c>
      <c r="F298" s="2" t="str">
        <v>226851.85</v>
      </c>
      <c r="G298" s="19" t="n">
        <v>2450000</v>
      </c>
      <c r="H298" s="2" t="str">
        <v>2.xlsx | 订单!Q1164</v>
      </c>
    </row>
    <row r="299" ht="26" customHeight="1">
      <c r="A299" s="2" t="str">
        <v>S2-01150-BH</v>
      </c>
      <c r="B299" s="2" t="str">
        <v>INP2110</v>
      </c>
      <c r="C299" s="20" t="str">
        <v>Chảo inox đúc nguyên khối (không chống dính)INP2110</v>
      </c>
      <c r="D299" s="2" t="str">
        <v>Cái</v>
      </c>
      <c r="E299" s="2" t="str">
        <v>10</v>
      </c>
      <c r="F299" s="2" t="str">
        <v>259259.26</v>
      </c>
      <c r="G299" s="19" t="n">
        <v>2800000</v>
      </c>
      <c r="H299" s="2" t="str">
        <v>2.xlsx | 订单!Q1165</v>
      </c>
    </row>
    <row r="300" ht="26" customHeight="1">
      <c r="A300" s="2" t="str">
        <v>S2-01150-BH</v>
      </c>
      <c r="B300" s="2" t="str">
        <v>INP2111</v>
      </c>
      <c r="C300" s="20" t="str">
        <v>Chảo inox đúc nguyên khối (không chống dính)INP2111</v>
      </c>
      <c r="D300" s="2" t="str">
        <v>Cái</v>
      </c>
      <c r="E300" s="2" t="str">
        <v>10</v>
      </c>
      <c r="F300" s="2" t="str">
        <v>277777.78</v>
      </c>
      <c r="G300" s="19" t="n">
        <v>3000000</v>
      </c>
      <c r="H300" s="2" t="str">
        <v>2.xlsx | 订单!Q1166</v>
      </c>
    </row>
    <row r="301" ht="26" customHeight="1">
      <c r="A301" s="2" t="str">
        <v>S2-01150-BH</v>
      </c>
      <c r="B301" s="2" t="str">
        <v>INP2112</v>
      </c>
      <c r="C301" s="20" t="str">
        <v>Chảo inox INP2112</v>
      </c>
      <c r="D301" s="2" t="str">
        <v>Cái</v>
      </c>
      <c r="E301" s="2" t="str">
        <v>10</v>
      </c>
      <c r="F301" s="2" t="str">
        <v>227777.78</v>
      </c>
      <c r="G301" s="19" t="n">
        <v>2460000</v>
      </c>
      <c r="H301" s="2" t="str">
        <v>2.xlsx | 订单!Q1167</v>
      </c>
    </row>
    <row r="302" ht="26" customHeight="1">
      <c r="A302" s="2" t="str">
        <v>S2-01150-BH</v>
      </c>
      <c r="B302" s="2" t="str">
        <v>INP2113</v>
      </c>
      <c r="C302" s="20" t="str">
        <v>Chảo inox INP2113</v>
      </c>
      <c r="D302" s="2" t="str">
        <v>Cái</v>
      </c>
      <c r="E302" s="2" t="str">
        <v>10</v>
      </c>
      <c r="F302" s="2" t="str">
        <v>240740.74</v>
      </c>
      <c r="G302" s="19" t="n">
        <v>2600000</v>
      </c>
      <c r="H302" s="2" t="str">
        <v>2.xlsx | 订单!Q1168</v>
      </c>
    </row>
    <row r="303" ht="26" customHeight="1">
      <c r="A303" s="2" t="str">
        <v>S2-01150-BH</v>
      </c>
      <c r="B303" s="2" t="str">
        <v>INP2114</v>
      </c>
      <c r="C303" s="20" t="str">
        <v>Chảo inox INP2114</v>
      </c>
      <c r="D303" s="2" t="str">
        <v>Cái</v>
      </c>
      <c r="E303" s="2" t="str">
        <v>10</v>
      </c>
      <c r="F303" s="2" t="str">
        <v>259259.26</v>
      </c>
      <c r="G303" s="19" t="n">
        <v>2800000</v>
      </c>
      <c r="H303" s="2" t="str">
        <v>2.xlsx | 订单!Q1169</v>
      </c>
    </row>
    <row r="304" ht="26" customHeight="1">
      <c r="A304" s="2" t="str">
        <v>S2-01150-BH</v>
      </c>
      <c r="B304" s="2" t="str">
        <v>INP2115</v>
      </c>
      <c r="C304" s="20" t="str">
        <v>Chảo inox INP2115</v>
      </c>
      <c r="D304" s="2" t="str">
        <v>Cái</v>
      </c>
      <c r="E304" s="2" t="str">
        <v>10</v>
      </c>
      <c r="F304" s="2" t="str">
        <v>277777.78</v>
      </c>
      <c r="G304" s="19" t="n">
        <v>3000000</v>
      </c>
      <c r="H304" s="2" t="str">
        <v>2.xlsx | 订单!Q1170</v>
      </c>
    </row>
    <row r="305" ht="26" customHeight="1">
      <c r="A305" s="2" t="str">
        <v>S2-01150-BH</v>
      </c>
      <c r="B305" s="2" t="str">
        <v>INP2116</v>
      </c>
      <c r="C305" s="20" t="str">
        <v>Chảo inox INP2116</v>
      </c>
      <c r="D305" s="2" t="str">
        <v>Cái</v>
      </c>
      <c r="E305" s="2" t="str">
        <v>10</v>
      </c>
      <c r="F305" s="2" t="str">
        <v>305555.56</v>
      </c>
      <c r="G305" s="19" t="n">
        <v>3300000</v>
      </c>
      <c r="H305" s="2" t="str">
        <v>2.xlsx | 订单!Q1171</v>
      </c>
    </row>
    <row r="306" ht="26" customHeight="1">
      <c r="A306" s="2" t="str">
        <v>S2-01150-BH</v>
      </c>
      <c r="B306" s="2" t="str">
        <v>INP2117</v>
      </c>
      <c r="C306" s="20" t="str">
        <v>Chảo inox INP2117</v>
      </c>
      <c r="D306" s="2" t="str">
        <v>Cái</v>
      </c>
      <c r="E306" s="2" t="str">
        <v>10</v>
      </c>
      <c r="F306" s="2" t="str">
        <v>333333.33</v>
      </c>
      <c r="G306" s="19" t="n">
        <v>3600000</v>
      </c>
      <c r="H306" s="2" t="str">
        <v>2.xlsx | 订单!Q1172</v>
      </c>
    </row>
    <row r="307" ht="26" customHeight="1">
      <c r="A307" s="2" t="str">
        <v>S2-01150-BH</v>
      </c>
      <c r="B307" s="2" t="str">
        <v>INP2301</v>
      </c>
      <c r="C307" s="20" t="str">
        <v>Chảo rán INP2301</v>
      </c>
      <c r="D307" s="2" t="str">
        <v>Cái</v>
      </c>
      <c r="E307" s="2" t="str">
        <v>10</v>
      </c>
      <c r="F307" s="2" t="str">
        <v>416666.67</v>
      </c>
      <c r="G307" s="19" t="n">
        <v>4500000</v>
      </c>
      <c r="H307" s="2" t="str">
        <v>2.xlsx | 订单!Q1173</v>
      </c>
    </row>
    <row r="308" ht="26" customHeight="1">
      <c r="A308" s="2" t="str">
        <v>S2-01150-BH</v>
      </c>
      <c r="B308" s="2" t="str">
        <v>INP2202</v>
      </c>
      <c r="C308" s="20" t="str">
        <v>Nồi luộc gà inox đúc nguyên khốiINP2202</v>
      </c>
      <c r="D308" s="2" t="str">
        <v>Cái</v>
      </c>
      <c r="E308" s="2" t="str">
        <v>4</v>
      </c>
      <c r="F308" s="2" t="str">
        <v>844444.44</v>
      </c>
      <c r="G308" s="19" t="n">
        <v>3648000</v>
      </c>
      <c r="H308" s="2" t="str">
        <v>2.xlsx | 订单!Q1174</v>
      </c>
    </row>
    <row r="309" ht="26" customHeight="1">
      <c r="A309" s="2" t="str">
        <v>S2-01150-BH</v>
      </c>
      <c r="B309" s="2" t="str">
        <v>INP3004</v>
      </c>
      <c r="C309" s="20" t="str">
        <v>Nồi gang tráng menINP3004</v>
      </c>
      <c r="D309" s="2" t="str">
        <v>Cái</v>
      </c>
      <c r="E309" s="2" t="str">
        <v>4</v>
      </c>
      <c r="F309" s="2" t="str">
        <v>358333.33</v>
      </c>
      <c r="G309" s="19" t="n">
        <v>1548000</v>
      </c>
      <c r="H309" s="2" t="str">
        <v>2.xlsx | 订单!Q1175</v>
      </c>
    </row>
    <row r="310" ht="26" customHeight="1">
      <c r="A310" s="2" t="str">
        <v>S2-01150-BH</v>
      </c>
      <c r="B310" s="2" t="str">
        <v>INP3005</v>
      </c>
      <c r="C310" s="20" t="str">
        <v>Nồi gang tráng menINP3005</v>
      </c>
      <c r="D310" s="2" t="str">
        <v>Cái</v>
      </c>
      <c r="E310" s="2" t="str">
        <v>4</v>
      </c>
      <c r="F310" s="2" t="str">
        <v>398148.15</v>
      </c>
      <c r="G310" s="19" t="n">
        <v>1720000</v>
      </c>
      <c r="H310" s="2" t="str">
        <v>2.xlsx | 订单!Q1176</v>
      </c>
    </row>
    <row r="311" ht="26" customHeight="1">
      <c r="A311" s="2" t="str">
        <v>S2-01150-BH</v>
      </c>
      <c r="B311" s="2" t="str">
        <v>INP3201</v>
      </c>
      <c r="C311" s="20" t="str">
        <v>Chảo gang tráng menINP3201</v>
      </c>
      <c r="D311" s="2" t="str">
        <v>Cái</v>
      </c>
      <c r="E311" s="2" t="str">
        <v>6</v>
      </c>
      <c r="F311" s="2" t="str">
        <v>240074.07</v>
      </c>
      <c r="G311" s="19" t="n">
        <v>1555680</v>
      </c>
      <c r="H311" s="2" t="str">
        <v>2.xlsx | 订单!Q1177</v>
      </c>
    </row>
    <row r="312" ht="26" customHeight="1">
      <c r="A312" s="2" t="str">
        <v>S2-01150-BH</v>
      </c>
      <c r="B312" s="2" t="str">
        <v>INP3202</v>
      </c>
      <c r="C312" s="20" t="str">
        <v>Chảo gang tráng menINP3202</v>
      </c>
      <c r="D312" s="2" t="str">
        <v>Cái</v>
      </c>
      <c r="E312" s="2" t="str">
        <v>6</v>
      </c>
      <c r="F312" s="2" t="str">
        <v>342592.59</v>
      </c>
      <c r="G312" s="19" t="n">
        <v>2220000</v>
      </c>
      <c r="H312" s="2" t="str">
        <v>2.xlsx | 订单!Q1178</v>
      </c>
    </row>
    <row r="313" ht="26" customHeight="1">
      <c r="A313" s="2" t="str">
        <v>S2-01150-BH</v>
      </c>
      <c r="B313" s="2" t="str">
        <v>INP6001</v>
      </c>
      <c r="C313" s="20" t="str">
        <v>Nồi cơm điện tử (Nồi cơm điện đa năng giảm đường) INP6001</v>
      </c>
      <c r="D313" s="2" t="str">
        <v>Cái</v>
      </c>
      <c r="E313" s="2" t="str">
        <v>4</v>
      </c>
      <c r="F313" s="2" t="str">
        <v>1138888.89</v>
      </c>
      <c r="G313" s="19" t="n">
        <v>4920000</v>
      </c>
      <c r="H313" s="2" t="str">
        <v>2.xlsx | 订单!Q1179</v>
      </c>
    </row>
    <row r="314" ht="26" customHeight="1">
      <c r="A314" s="2" t="str">
        <v>S2-01150-BH</v>
      </c>
      <c r="B314" s="2" t="str">
        <v>INP6003</v>
      </c>
      <c r="C314" s="20" t="str">
        <v>Nồi cơm điện tử (Nồi cơm điện đa năng giảm đường) INP6003</v>
      </c>
      <c r="D314" s="2" t="str">
        <v>Cái</v>
      </c>
      <c r="E314" s="2" t="str">
        <v>8</v>
      </c>
      <c r="F314" s="2" t="str">
        <v>851851.85</v>
      </c>
      <c r="G314" s="19" t="n">
        <v>7360000</v>
      </c>
      <c r="H314" s="2" t="str">
        <v>2.xlsx | 订单!Q1180</v>
      </c>
    </row>
    <row r="315" ht="26" customHeight="1">
      <c r="A315" s="2" t="str">
        <v>S2-01150-BH</v>
      </c>
      <c r="B315" s="2" t="str">
        <v>INP6902</v>
      </c>
      <c r="C315" s="20" t="str">
        <v>Nồi áp suất điện INP6902</v>
      </c>
      <c r="D315" s="2" t="str">
        <v>Cái</v>
      </c>
      <c r="E315" s="2" t="str">
        <v>4</v>
      </c>
      <c r="F315" s="2" t="str">
        <v>814814.81</v>
      </c>
      <c r="G315" s="19" t="n">
        <v>3520000</v>
      </c>
      <c r="H315" s="2" t="str">
        <v>2.xlsx | 订单!Q1184</v>
      </c>
    </row>
    <row r="316" ht="26" customHeight="1">
      <c r="A316" s="2" t="str">
        <v>S2-01150-BH</v>
      </c>
      <c r="B316" s="2" t="str">
        <v>INP6202</v>
      </c>
      <c r="C316" s="20" t="str">
        <v>Ấm điện siêu tốc INP6202 1,7 lít màu đen</v>
      </c>
      <c r="D316" s="2" t="str">
        <v>Cái</v>
      </c>
      <c r="E316" s="2" t="str">
        <v>10</v>
      </c>
      <c r="F316" s="2" t="str">
        <v>325925.93</v>
      </c>
      <c r="G316" s="19" t="n">
        <v>3520000</v>
      </c>
      <c r="H316" s="2" t="str">
        <v>2.xlsx | 订单!Q1185</v>
      </c>
    </row>
    <row r="317" ht="26" customHeight="1">
      <c r="A317" s="2" t="str">
        <v>S2-01150-BH</v>
      </c>
      <c r="B317" s="2" t="str">
        <v>INP6203</v>
      </c>
      <c r="C317" s="20" t="str">
        <v>Ấm đun nước INP6203, 1.7L</v>
      </c>
      <c r="D317" s="2" t="str">
        <v>Cái</v>
      </c>
      <c r="E317" s="2" t="str">
        <v>10</v>
      </c>
      <c r="F317" s="2" t="str">
        <v>349074.07</v>
      </c>
      <c r="G317" s="19" t="n">
        <v>3770000</v>
      </c>
      <c r="H317" s="2" t="str">
        <v>2.xlsx | 订单!Q1186</v>
      </c>
    </row>
    <row r="318" ht="26" customHeight="1">
      <c r="A318" s="2" t="str">
        <v>S2-01150-BH</v>
      </c>
      <c r="B318" s="2" t="str">
        <v>INP6204</v>
      </c>
      <c r="C318" s="20" t="str">
        <v>Ấm đun nước INP6204, 1.0L</v>
      </c>
      <c r="D318" s="2" t="str">
        <v>Cái</v>
      </c>
      <c r="E318" s="2" t="str">
        <v>10</v>
      </c>
      <c r="F318" s="2" t="str">
        <v>284259.26</v>
      </c>
      <c r="G318" s="19" t="n">
        <v>3070000</v>
      </c>
      <c r="H318" s="2" t="str">
        <v>2.xlsx | 订单!Q1187</v>
      </c>
    </row>
    <row r="319" ht="26" customHeight="1">
      <c r="A319" s="2" t="str">
        <v>S2-01150-BH</v>
      </c>
      <c r="B319" s="2" t="str">
        <v>INP6802</v>
      </c>
      <c r="C319" s="20" t="str">
        <v>Thùng đựng gạo inoxpran INP6802</v>
      </c>
      <c r="D319" s="2" t="str">
        <v>Thùng</v>
      </c>
      <c r="E319" s="2" t="str">
        <v>2</v>
      </c>
      <c r="F319" s="2" t="str">
        <v>882407.41</v>
      </c>
      <c r="G319" s="19" t="n">
        <v>1906000</v>
      </c>
      <c r="H319" s="2" t="str">
        <v>2.xlsx | 订单!Q1188</v>
      </c>
    </row>
    <row r="320" ht="26" customHeight="1">
      <c r="A320" s="2" t="str">
        <v>S2-01181-BH</v>
      </c>
      <c r="B320" s="2" t="str">
        <v>INP6006</v>
      </c>
      <c r="C320" s="20" t="str">
        <v>Nồi cơm điện INP6006 (1,2L)</v>
      </c>
      <c r="D320" s="2" t="str">
        <v>Cái</v>
      </c>
      <c r="E320" s="2" t="str">
        <v>15</v>
      </c>
      <c r="F320" s="2" t="str">
        <v>527777.78</v>
      </c>
      <c r="G320" s="19" t="n">
        <v>8550000</v>
      </c>
      <c r="H320" s="2" t="str">
        <v>2.xlsx | 订单!Q1181</v>
      </c>
    </row>
    <row r="321" ht="26" customHeight="1">
      <c r="A321" s="2" t="str">
        <v>S2-01181-BH</v>
      </c>
      <c r="B321" s="2" t="str">
        <v>INP6007</v>
      </c>
      <c r="C321" s="20" t="str">
        <v>Nồi cơm điện INP6007 (1,8L)</v>
      </c>
      <c r="D321" s="2" t="str">
        <v>Cái</v>
      </c>
      <c r="E321" s="2" t="str">
        <v>15</v>
      </c>
      <c r="F321" s="2" t="str">
        <v>629629.63</v>
      </c>
      <c r="G321" s="19" t="n">
        <v>10200000</v>
      </c>
      <c r="H321" s="2" t="str">
        <v>2.xlsx | 订单!Q1182</v>
      </c>
    </row>
    <row r="322" ht="26" customHeight="1">
      <c r="A322" s="2" t="str">
        <v>S2-01181-BH</v>
      </c>
      <c r="B322" s="2" t="str">
        <v>INP6901</v>
      </c>
      <c r="C322" s="20" t="str">
        <v>Nồi áp suất điện INP6901</v>
      </c>
      <c r="D322" s="2" t="str">
        <v>Cái</v>
      </c>
      <c r="E322" s="2" t="str">
        <v>4</v>
      </c>
      <c r="F322" s="2" t="str">
        <v>861111.11</v>
      </c>
      <c r="G322" s="19" t="n">
        <v>3720000</v>
      </c>
      <c r="H322" s="2" t="str">
        <v>2.xlsx | 订单!Q1183</v>
      </c>
    </row>
    <row r="323" ht="26" customHeight="1">
      <c r="A323" s="2" t="str">
        <v>S2-01399-BH</v>
      </c>
      <c r="B323" s="2" t="str">
        <v>INP6901</v>
      </c>
      <c r="C323" s="20" t="str">
        <v>Nồi áp suất điện INP6901</v>
      </c>
      <c r="D323" s="2" t="str">
        <v>Cái</v>
      </c>
      <c r="E323" s="2" t="str">
        <v>4</v>
      </c>
      <c r="F323" s="2" t="str">
        <v>861111.11</v>
      </c>
      <c r="G323" s="19" t="n">
        <v>3720000</v>
      </c>
      <c r="H323" s="2" t="str">
        <v>2.xlsx | 订单!Q1399</v>
      </c>
    </row>
    <row r="324" ht="26" customHeight="1">
      <c r="A324" s="2" t="str">
        <v>S2-01399-BH</v>
      </c>
      <c r="B324" s="2" t="str">
        <v>INP6902</v>
      </c>
      <c r="C324" s="20" t="str">
        <v>Nồi áp suất điện INP6902</v>
      </c>
      <c r="D324" s="2" t="str">
        <v>Cái</v>
      </c>
      <c r="E324" s="2" t="str">
        <v>10</v>
      </c>
      <c r="F324" s="2" t="str">
        <v>814814.81</v>
      </c>
      <c r="G324" s="19" t="n">
        <v>8800000</v>
      </c>
      <c r="H324" s="2" t="str">
        <v>2.xlsx | 订单!Q1400</v>
      </c>
    </row>
    <row r="325" ht="26" customHeight="1">
      <c r="A325" s="2" t="str">
        <v>S2-01399-BH</v>
      </c>
      <c r="B325" s="2" t="str">
        <v>INP1401</v>
      </c>
      <c r="C325" s="20" t="str">
        <v>Nồi áp suất 4.5L INP1401</v>
      </c>
      <c r="D325" s="2" t="str">
        <v>Cái</v>
      </c>
      <c r="E325" s="2" t="str">
        <v>2</v>
      </c>
      <c r="F325" s="2" t="str">
        <v>824074.07</v>
      </c>
      <c r="G325" s="19" t="n">
        <v>1780000</v>
      </c>
      <c r="H325" s="2" t="str">
        <v>2.xlsx | 订单!Q1401</v>
      </c>
    </row>
    <row r="326" ht="26" customHeight="1">
      <c r="A326" s="2" t="str">
        <v>S2-01399-BH</v>
      </c>
      <c r="B326" s="2" t="str">
        <v>INP1003</v>
      </c>
      <c r="C326" s="20" t="str">
        <v>Bộ nồi Inox INP1003 </v>
      </c>
      <c r="D326" s="2" t="str">
        <v>Cái</v>
      </c>
      <c r="E326" s="2" t="str">
        <v>12</v>
      </c>
      <c r="F326" s="2" t="str">
        <v>324074.07</v>
      </c>
      <c r="G326" s="19" t="n">
        <v>4200000</v>
      </c>
      <c r="H326" s="2" t="str">
        <v>2.xlsx | 订单!Q1402</v>
      </c>
    </row>
    <row r="327" ht="26" customHeight="1">
      <c r="A327" s="2" t="str">
        <v>S2-01399-BH</v>
      </c>
      <c r="B327" s="2" t="str">
        <v>INP2002</v>
      </c>
      <c r="C327" s="20" t="str">
        <v>Bộ nồi inox đúc nguyên khối INP2002</v>
      </c>
      <c r="D327" s="2" t="str">
        <v>Cái</v>
      </c>
      <c r="E327" s="2" t="str">
        <v>4</v>
      </c>
      <c r="F327" s="2" t="str">
        <v>851851.85</v>
      </c>
      <c r="G327" s="19" t="n">
        <v>3680000</v>
      </c>
      <c r="H327" s="2" t="str">
        <v>2.xlsx | 订单!Q1403</v>
      </c>
    </row>
    <row r="328" ht="26" customHeight="1">
      <c r="A328" s="2" t="str">
        <v>S2-01399-BH</v>
      </c>
      <c r="B328" s="2" t="str">
        <v>INP2109</v>
      </c>
      <c r="C328" s="20" t="str">
        <v>Chảo inox đúc nguyên khối (không chống dính)INP2109</v>
      </c>
      <c r="D328" s="2" t="str">
        <v>Cái</v>
      </c>
      <c r="E328" s="2" t="str">
        <v>10</v>
      </c>
      <c r="F328" s="2" t="str">
        <v>240740.74</v>
      </c>
      <c r="G328" s="19" t="n">
        <v>2600000</v>
      </c>
      <c r="H328" s="2" t="str">
        <v>2.xlsx | 订单!Q1404</v>
      </c>
    </row>
    <row r="329" ht="26" customHeight="1">
      <c r="A329" s="2" t="str">
        <v>S2-01399-BH</v>
      </c>
      <c r="B329" s="2" t="str">
        <v>INP6202</v>
      </c>
      <c r="C329" s="20" t="str">
        <v>Ấm điện siêu tốc INP6202 1,7 lít màu đen</v>
      </c>
      <c r="D329" s="2" t="str">
        <v>Cái</v>
      </c>
      <c r="E329" s="2" t="str">
        <v>20</v>
      </c>
      <c r="F329" s="2" t="str">
        <v>325925.93</v>
      </c>
      <c r="G329" s="19" t="n">
        <v>7040000</v>
      </c>
      <c r="H329" s="2" t="str">
        <v>2.xlsx | 订单!Q1405</v>
      </c>
    </row>
    <row r="330" ht="26" customHeight="1">
      <c r="A330" s="2" t="str">
        <v>S2-01399-BH</v>
      </c>
      <c r="B330" s="2" t="str">
        <v>INP6203</v>
      </c>
      <c r="C330" s="20" t="str">
        <v>Ấm đun nước INP6203, 1.7L</v>
      </c>
      <c r="D330" s="2" t="str">
        <v>Cái</v>
      </c>
      <c r="E330" s="2" t="str">
        <v>20</v>
      </c>
      <c r="F330" s="2" t="str">
        <v>349074.07</v>
      </c>
      <c r="G330" s="19" t="n">
        <v>7540000</v>
      </c>
      <c r="H330" s="2" t="str">
        <v>2.xlsx | 订单!Q1406</v>
      </c>
    </row>
    <row r="331" ht="26" customHeight="1">
      <c r="A331" s="2" t="str">
        <v>S2-01399-BH</v>
      </c>
      <c r="B331" s="2" t="str">
        <v>INP6204</v>
      </c>
      <c r="C331" s="20" t="str">
        <v>Ấm đun nước INP6204, 1.0L</v>
      </c>
      <c r="D331" s="2" t="str">
        <v>Cái</v>
      </c>
      <c r="E331" s="2" t="str">
        <v>20</v>
      </c>
      <c r="F331" s="2" t="str">
        <v>284259.26</v>
      </c>
      <c r="G331" s="19" t="n">
        <v>6140000</v>
      </c>
      <c r="H331" s="2" t="str">
        <v>2.xlsx | 订单!Q1407</v>
      </c>
    </row>
    <row r="332" ht="26" customHeight="1">
      <c r="A332" s="2" t="str">
        <v>S2-01399-BH</v>
      </c>
      <c r="B332" s="2" t="str">
        <v>INP2301</v>
      </c>
      <c r="C332" s="20" t="str">
        <v>Chảo rán INP2301</v>
      </c>
      <c r="D332" s="2" t="str">
        <v>Cái</v>
      </c>
      <c r="E332" s="2" t="str">
        <v>3</v>
      </c>
      <c r="F332" s="2" t="str">
        <v>416666.67</v>
      </c>
      <c r="G332" s="19" t="n">
        <v>1350000</v>
      </c>
      <c r="H332" s="2" t="str">
        <v>2.xlsx | 订单!Q1408</v>
      </c>
    </row>
    <row r="333" ht="26" customHeight="1">
      <c r="A333" s="2" t="str">
        <v>S2-01399-BH</v>
      </c>
      <c r="B333" s="2" t="str">
        <v>INP3004</v>
      </c>
      <c r="C333" s="20" t="str">
        <v>Nồi gang tráng menINP3004</v>
      </c>
      <c r="D333" s="2" t="str">
        <v>Cái</v>
      </c>
      <c r="E333" s="2" t="str">
        <v>2</v>
      </c>
      <c r="F333" s="2" t="str">
        <v>358333.33</v>
      </c>
      <c r="G333" s="19" t="n">
        <v>774000</v>
      </c>
      <c r="H333" s="2" t="str">
        <v>2.xlsx | 订单!Q1409</v>
      </c>
    </row>
    <row r="334" ht="26" customHeight="1">
      <c r="A334" s="2" t="str">
        <v>S2-01399-BH</v>
      </c>
      <c r="B334" s="2" t="str">
        <v>INP3005</v>
      </c>
      <c r="C334" s="20" t="str">
        <v>Nồi gang tráng menINP3005</v>
      </c>
      <c r="D334" s="2" t="str">
        <v>Cái</v>
      </c>
      <c r="E334" s="2" t="str">
        <v>4</v>
      </c>
      <c r="F334" s="2" t="str">
        <v>398148.15</v>
      </c>
      <c r="G334" s="19" t="n">
        <v>1720000</v>
      </c>
      <c r="H334" s="2" t="str">
        <v>2.xlsx | 订单!Q1410</v>
      </c>
    </row>
    <row r="335" ht="26" customHeight="1">
      <c r="A335" s="2" t="str">
        <v>S2-01399-BH</v>
      </c>
      <c r="B335" s="2" t="str">
        <v>INP3201</v>
      </c>
      <c r="C335" s="20" t="str">
        <v>Chảo gang tráng menINP3201</v>
      </c>
      <c r="D335" s="2" t="str">
        <v>Cái</v>
      </c>
      <c r="E335" s="2" t="str">
        <v>2</v>
      </c>
      <c r="F335" s="2" t="str">
        <v>240740.74</v>
      </c>
      <c r="G335" s="19" t="n">
        <v>520000</v>
      </c>
      <c r="H335" s="2" t="str">
        <v>2.xlsx | 订单!Q1411</v>
      </c>
    </row>
    <row r="336" ht="26" customHeight="1">
      <c r="A336" s="2" t="str">
        <v>S2-01399-BH</v>
      </c>
      <c r="B336" s="2" t="str">
        <v>INP3202</v>
      </c>
      <c r="C336" s="20" t="str">
        <v>Chảo gang tráng menINP3202</v>
      </c>
      <c r="D336" s="2" t="str">
        <v>Cái</v>
      </c>
      <c r="E336" s="2" t="str">
        <v>2</v>
      </c>
      <c r="F336" s="2" t="str">
        <v>342592.59</v>
      </c>
      <c r="G336" s="19" t="n">
        <v>740000</v>
      </c>
      <c r="H336" s="2" t="str">
        <v>2.xlsx | 订单!Q1412</v>
      </c>
    </row>
    <row r="337" ht="26" customHeight="1">
      <c r="A337" s="2" t="str">
        <v>S2-01399-BH</v>
      </c>
      <c r="B337" s="2" t="str">
        <v>INP6701</v>
      </c>
      <c r="C337" s="20" t="str">
        <v>Máy xay thực phẩm INP6701</v>
      </c>
      <c r="D337" s="2" t="str">
        <v>Cái</v>
      </c>
      <c r="E337" s="2" t="str">
        <v>8</v>
      </c>
      <c r="F337" s="2" t="str">
        <v>382407.41</v>
      </c>
      <c r="G337" s="19" t="n">
        <v>3304000</v>
      </c>
      <c r="H337" s="2" t="str">
        <v>2.xlsx | 订单!Q1413</v>
      </c>
    </row>
    <row r="338" ht="26" customHeight="1">
      <c r="A338" s="2" t="str">
        <v>S2-01878-BH</v>
      </c>
      <c r="B338" s="2" t="str">
        <v>INP1401</v>
      </c>
      <c r="C338" s="20" t="str">
        <v>Nồi áp suất 4.5L INP1401</v>
      </c>
      <c r="D338" s="2" t="str">
        <v>Cái</v>
      </c>
      <c r="E338" s="2" t="str">
        <v>4</v>
      </c>
      <c r="F338" s="2" t="str">
        <v>824074.07</v>
      </c>
      <c r="G338" s="19" t="n">
        <v>3560000</v>
      </c>
      <c r="H338" s="2" t="str">
        <v>2.xlsx | 订单!Q1878</v>
      </c>
    </row>
    <row r="339" ht="26" customHeight="1">
      <c r="A339" s="2" t="str">
        <v>S2-01878-BH</v>
      </c>
      <c r="B339" s="2" t="str">
        <v>INP1402</v>
      </c>
      <c r="C339" s="20" t="str">
        <v>Nồi áp suất 6L INP1402</v>
      </c>
      <c r="D339" s="2" t="str">
        <v>Cái</v>
      </c>
      <c r="E339" s="2" t="str">
        <v>4</v>
      </c>
      <c r="F339" s="2" t="str">
        <v>937962.96</v>
      </c>
      <c r="G339" s="19" t="n">
        <v>4052000</v>
      </c>
      <c r="H339" s="2" t="str">
        <v>2.xlsx | 订单!Q1879</v>
      </c>
    </row>
    <row r="340" ht="26" customHeight="1">
      <c r="A340" s="2" t="str">
        <v>S2-01878-BH</v>
      </c>
      <c r="B340" s="2" t="str">
        <v>INP3005</v>
      </c>
      <c r="C340" s="20" t="str">
        <v>Nồi gang tráng menINP3005</v>
      </c>
      <c r="D340" s="2" t="str">
        <v>Cái</v>
      </c>
      <c r="E340" s="2" t="str">
        <v>8</v>
      </c>
      <c r="F340" s="2" t="str">
        <v>398148.15</v>
      </c>
      <c r="G340" s="19" t="n">
        <v>3440000</v>
      </c>
      <c r="H340" s="2" t="str">
        <v>2.xlsx | 订单!Q1880</v>
      </c>
    </row>
    <row r="341" ht="26" customHeight="1">
      <c r="A341" s="2" t="str">
        <v>S2-01878-BH</v>
      </c>
      <c r="B341" s="2" t="str">
        <v>INP3201</v>
      </c>
      <c r="C341" s="20" t="str">
        <v>Chảo gang tráng menINP3201</v>
      </c>
      <c r="D341" s="2" t="str">
        <v>Cái</v>
      </c>
      <c r="E341" s="2" t="str">
        <v>6</v>
      </c>
      <c r="F341" s="2" t="str">
        <v>240740.74</v>
      </c>
      <c r="G341" s="19" t="n">
        <v>1560000</v>
      </c>
      <c r="H341" s="2" t="str">
        <v>2.xlsx | 订单!Q1881</v>
      </c>
    </row>
    <row r="342" ht="26" customHeight="1">
      <c r="A342" s="2" t="str">
        <v>S2-01878-BH</v>
      </c>
      <c r="B342" s="2" t="str">
        <v>INP3202</v>
      </c>
      <c r="C342" s="20" t="str">
        <v>Chảo gang tráng menINP3202</v>
      </c>
      <c r="D342" s="2" t="str">
        <v>Cái</v>
      </c>
      <c r="E342" s="2" t="str">
        <v>6</v>
      </c>
      <c r="F342" s="2" t="str">
        <v>342592.59</v>
      </c>
      <c r="G342" s="19" t="n">
        <v>2220000</v>
      </c>
      <c r="H342" s="2" t="str">
        <v>2.xlsx | 订单!Q1882</v>
      </c>
    </row>
    <row r="343" ht="26" customHeight="1">
      <c r="A343" s="2" t="str">
        <v>S2-01878-BH</v>
      </c>
      <c r="B343" s="2" t="str">
        <v>INP6003</v>
      </c>
      <c r="C343" s="20" t="str">
        <v>Nồi cơm điện tử (Nồi cơm điện đa năng giảm đường) INP6003</v>
      </c>
      <c r="D343" s="2" t="str">
        <v>Cái</v>
      </c>
      <c r="E343" s="2" t="str">
        <v>4</v>
      </c>
      <c r="F343" s="2" t="str">
        <v>851851.85</v>
      </c>
      <c r="G343" s="19" t="n">
        <v>3680000</v>
      </c>
      <c r="H343" s="2" t="str">
        <v>2.xlsx | 订单!Q1883</v>
      </c>
    </row>
    <row r="344" ht="26" customHeight="1">
      <c r="A344" s="2" t="str">
        <v>S2-01878-BH</v>
      </c>
      <c r="B344" s="2" t="str">
        <v>INP6006</v>
      </c>
      <c r="C344" s="20" t="str">
        <v>Nồi cơm điện INP6006 (1,2L)</v>
      </c>
      <c r="D344" s="2" t="str">
        <v>Cái</v>
      </c>
      <c r="E344" s="2" t="str">
        <v>15</v>
      </c>
      <c r="F344" s="2" t="str">
        <v>527777.78</v>
      </c>
      <c r="G344" s="19" t="n">
        <v>8550000</v>
      </c>
      <c r="H344" s="2" t="str">
        <v>2.xlsx | 订单!Q1884</v>
      </c>
    </row>
    <row r="345" ht="26" customHeight="1">
      <c r="A345" s="2" t="str">
        <v>S2-01878-BH</v>
      </c>
      <c r="B345" s="2" t="str">
        <v>INP6007</v>
      </c>
      <c r="C345" s="20" t="str">
        <v>Nồi cơm điện INP6007 (1,8L)</v>
      </c>
      <c r="D345" s="2" t="str">
        <v>Cái</v>
      </c>
      <c r="E345" s="2" t="str">
        <v>15</v>
      </c>
      <c r="F345" s="2" t="str">
        <v>629629.63</v>
      </c>
      <c r="G345" s="19" t="n">
        <v>10200000</v>
      </c>
      <c r="H345" s="2" t="str">
        <v>2.xlsx | 订单!Q1885</v>
      </c>
    </row>
    <row r="346" ht="26" customHeight="1">
      <c r="A346" s="2" t="str">
        <v>S2-01878-BH</v>
      </c>
      <c r="B346" s="2" t="str">
        <v>INP2102</v>
      </c>
      <c r="C346" s="20" t="str">
        <v>Chảo inox chống dính đúc nguyên khốiINP2102</v>
      </c>
      <c r="D346" s="2" t="str">
        <v>Cái</v>
      </c>
      <c r="E346" s="2" t="str">
        <v>10</v>
      </c>
      <c r="F346" s="2" t="str">
        <v>256481.48</v>
      </c>
      <c r="G346" s="19" t="n">
        <v>2770000</v>
      </c>
      <c r="H346" s="2" t="str">
        <v>2.xlsx | 订单!Q1886</v>
      </c>
    </row>
    <row r="347" ht="26" customHeight="1">
      <c r="A347" s="2" t="str">
        <v>S2-01878-BH</v>
      </c>
      <c r="B347" s="2" t="str">
        <v>INP2103</v>
      </c>
      <c r="C347" s="20" t="str">
        <v>Chảo inox chống dính đúc nguyên khốiINP2103</v>
      </c>
      <c r="D347" s="2" t="str">
        <v>Cái</v>
      </c>
      <c r="E347" s="2" t="str">
        <v>10</v>
      </c>
      <c r="F347" s="2" t="str">
        <v>281481.48</v>
      </c>
      <c r="G347" s="19" t="n">
        <v>3040000</v>
      </c>
      <c r="H347" s="2" t="str">
        <v>2.xlsx | 订单!Q1887</v>
      </c>
    </row>
    <row r="348" ht="26" customHeight="1">
      <c r="A348" s="2" t="str">
        <v>S2-01878-BH</v>
      </c>
      <c r="B348" s="2" t="str">
        <v>INP2101</v>
      </c>
      <c r="C348" s="20" t="str">
        <v>Chảo inox chống dính đúc nguyên khốiINP2101</v>
      </c>
      <c r="D348" s="2" t="str">
        <v>Cái</v>
      </c>
      <c r="E348" s="2" t="str">
        <v>10</v>
      </c>
      <c r="F348" s="2" t="str">
        <v>234259.26</v>
      </c>
      <c r="G348" s="19" t="n">
        <v>2530000</v>
      </c>
      <c r="H348" s="2" t="str">
        <v>2.xlsx | 订单!Q1888</v>
      </c>
    </row>
    <row r="349" ht="26" customHeight="1">
      <c r="A349" s="2" t="str">
        <v>S2-01878-BH</v>
      </c>
      <c r="B349" s="2" t="str">
        <v>INP2105</v>
      </c>
      <c r="C349" s="20" t="str">
        <v>Chảo inox đúc nguyên khối (không chống dính)INP2105</v>
      </c>
      <c r="D349" s="2" t="str">
        <v>Cái</v>
      </c>
      <c r="E349" s="2" t="str">
        <v>10</v>
      </c>
      <c r="F349" s="2" t="str">
        <v>240740.74</v>
      </c>
      <c r="G349" s="19" t="n">
        <v>2600000</v>
      </c>
      <c r="H349" s="2" t="str">
        <v>2.xlsx | 订单!Q1889</v>
      </c>
    </row>
    <row r="350" ht="26" customHeight="1">
      <c r="A350" s="2" t="str">
        <v>S2-01878-BH</v>
      </c>
      <c r="B350" s="2" t="str">
        <v>INP2106</v>
      </c>
      <c r="C350" s="20" t="str">
        <v>Chảo inox đúc nguyên khối (không chống dính)INP2106</v>
      </c>
      <c r="D350" s="2" t="str">
        <v>Cái</v>
      </c>
      <c r="E350" s="2" t="str">
        <v>10</v>
      </c>
      <c r="F350" s="2" t="str">
        <v>259259.26</v>
      </c>
      <c r="G350" s="19" t="n">
        <v>2800000</v>
      </c>
      <c r="H350" s="2" t="str">
        <v>2.xlsx | 订单!Q1890</v>
      </c>
    </row>
    <row r="351" ht="26" customHeight="1">
      <c r="A351" s="2" t="str">
        <v>S2-01878-BH</v>
      </c>
      <c r="B351" s="2" t="str">
        <v>INP2107</v>
      </c>
      <c r="C351" s="20" t="str">
        <v>Chảo inox đúc nguyên khối (không chống dính) INP2107</v>
      </c>
      <c r="D351" s="2" t="str">
        <v>Cái</v>
      </c>
      <c r="E351" s="2" t="str">
        <v>10</v>
      </c>
      <c r="F351" s="2" t="str">
        <v>277777.78</v>
      </c>
      <c r="G351" s="19" t="n">
        <v>3000000</v>
      </c>
      <c r="H351" s="2" t="str">
        <v>2.xlsx | 订单!Q1891</v>
      </c>
    </row>
    <row r="352" ht="26" customHeight="1">
      <c r="A352" s="2" t="str">
        <v>S2-01878-BH</v>
      </c>
      <c r="B352" s="2" t="str">
        <v>INP2108</v>
      </c>
      <c r="C352" s="20" t="str">
        <v>Chảo inox đúc nguyên khối (không chống dính)INP2108</v>
      </c>
      <c r="D352" s="2" t="str">
        <v>Cái</v>
      </c>
      <c r="E352" s="2" t="str">
        <v>10</v>
      </c>
      <c r="F352" s="2" t="str">
        <v>226851.85</v>
      </c>
      <c r="G352" s="19" t="n">
        <v>2450000</v>
      </c>
      <c r="H352" s="2" t="str">
        <v>2.xlsx | 订单!Q1892</v>
      </c>
    </row>
    <row r="353" ht="26" customHeight="1">
      <c r="A353" s="2" t="str">
        <v>S2-01878-BH</v>
      </c>
      <c r="B353" s="2" t="str">
        <v>INP2109</v>
      </c>
      <c r="C353" s="20" t="str">
        <v>Chảo inox đúc nguyên khối (không chống dính)INP2109</v>
      </c>
      <c r="D353" s="2" t="str">
        <v>Cái</v>
      </c>
      <c r="E353" s="2" t="str">
        <v>10</v>
      </c>
      <c r="F353" s="2" t="str">
        <v>240740.74</v>
      </c>
      <c r="G353" s="19" t="n">
        <v>2600000</v>
      </c>
      <c r="H353" s="2" t="str">
        <v>2.xlsx | 订单!Q1893</v>
      </c>
    </row>
    <row r="354" ht="26" customHeight="1">
      <c r="A354" s="2" t="str">
        <v>S2-01878-BH</v>
      </c>
      <c r="B354" s="2" t="str">
        <v>INP2110</v>
      </c>
      <c r="C354" s="20" t="str">
        <v>Chảo inox đúc nguyên khối (không chống dính)INP2110</v>
      </c>
      <c r="D354" s="2" t="str">
        <v>Cái</v>
      </c>
      <c r="E354" s="2" t="str">
        <v>10</v>
      </c>
      <c r="F354" s="2" t="str">
        <v>259259.26</v>
      </c>
      <c r="G354" s="19" t="n">
        <v>2800000</v>
      </c>
      <c r="H354" s="2" t="str">
        <v>2.xlsx | 订单!Q1894</v>
      </c>
    </row>
    <row r="355" ht="26" customHeight="1">
      <c r="A355" s="2" t="str">
        <v>S2-01878-BH</v>
      </c>
      <c r="B355" s="2" t="str">
        <v>INP2111</v>
      </c>
      <c r="C355" s="20" t="str">
        <v>Chảo inox đúc nguyên khối (không chống dính)INP2111</v>
      </c>
      <c r="D355" s="2" t="str">
        <v>Cái</v>
      </c>
      <c r="E355" s="2" t="str">
        <v>10</v>
      </c>
      <c r="F355" s="2" t="str">
        <v>277777.78</v>
      </c>
      <c r="G355" s="19" t="n">
        <v>3000000</v>
      </c>
      <c r="H355" s="2" t="str">
        <v>2.xlsx | 订单!Q1895</v>
      </c>
    </row>
    <row r="356" ht="26" customHeight="1">
      <c r="A356" s="2" t="str">
        <v>S2-01878-BH</v>
      </c>
      <c r="B356" s="2" t="str">
        <v>INP6206</v>
      </c>
      <c r="C356" s="20" t="str">
        <v> Ấm đun nước INP6206, 1.7L</v>
      </c>
      <c r="D356" s="2" t="str">
        <v>Cái</v>
      </c>
      <c r="E356" s="2" t="str">
        <v>10</v>
      </c>
      <c r="F356" s="2" t="str">
        <v>263888.89</v>
      </c>
      <c r="G356" s="19" t="n">
        <v>2850000</v>
      </c>
      <c r="H356" s="2" t="str">
        <v>2.xlsx | 订单!Q1896</v>
      </c>
    </row>
    <row r="357" ht="26" customHeight="1">
      <c r="A357" s="2" t="str">
        <v>S2-01103-BH</v>
      </c>
      <c r="B357" s="2" t="str">
        <v>INP1002</v>
      </c>
      <c r="C357" s="20" t="str">
        <v>Bộ nồi inox INP1002</v>
      </c>
      <c r="D357" s="2" t="str">
        <v>Bộ</v>
      </c>
      <c r="E357" s="2" t="str">
        <v>6</v>
      </c>
      <c r="F357" s="2" t="str">
        <v>647222.22</v>
      </c>
      <c r="G357" s="19" t="n">
        <v>4194000</v>
      </c>
      <c r="H357" s="2" t="str">
        <v>2.xlsx | 订单!Q1103</v>
      </c>
    </row>
    <row r="358" ht="26" customHeight="1">
      <c r="A358" s="2" t="str">
        <v>S2-01103-BH</v>
      </c>
      <c r="B358" s="2" t="str">
        <v>INP1003</v>
      </c>
      <c r="C358" s="20" t="str">
        <v>Bộ nồi Inox INP1003 </v>
      </c>
      <c r="D358" s="2" t="str">
        <v>Bộ</v>
      </c>
      <c r="E358" s="2" t="str">
        <v>20</v>
      </c>
      <c r="F358" s="2" t="str">
        <v>333333.33</v>
      </c>
      <c r="G358" s="19" t="n">
        <v>7200000</v>
      </c>
      <c r="H358" s="2" t="str">
        <v>2.xlsx | 订单!Q1104</v>
      </c>
    </row>
    <row r="359" ht="26" customHeight="1">
      <c r="A359" s="2" t="str">
        <v>S2-01103-BH</v>
      </c>
      <c r="B359" s="2" t="str">
        <v>INP1101</v>
      </c>
      <c r="C359" s="20" t="str">
        <v>Bộ nồi inox INP1101</v>
      </c>
      <c r="D359" s="2" t="str">
        <v>Bộ</v>
      </c>
      <c r="E359" s="2" t="str">
        <v>10</v>
      </c>
      <c r="F359" s="2" t="str">
        <v>483333.33</v>
      </c>
      <c r="G359" s="19" t="n">
        <v>5220000</v>
      </c>
      <c r="H359" s="2" t="str">
        <v>2.xlsx | 订单!Q1105</v>
      </c>
    </row>
    <row r="360" ht="26" customHeight="1">
      <c r="A360" s="2" t="str">
        <v>S2-01103-BH</v>
      </c>
      <c r="B360" s="2" t="str">
        <v>INP1401</v>
      </c>
      <c r="C360" s="20" t="str">
        <v>Nồi áp suất 4.5L INP1401</v>
      </c>
      <c r="D360" s="2" t="str">
        <v>Cái</v>
      </c>
      <c r="E360" s="2" t="str">
        <v>6</v>
      </c>
      <c r="F360" s="2" t="str">
        <v>824074.07</v>
      </c>
      <c r="G360" s="19" t="n">
        <v>5340000</v>
      </c>
      <c r="H360" s="2" t="str">
        <v>2.xlsx | 订单!Q1106</v>
      </c>
    </row>
    <row r="361" ht="26" customHeight="1">
      <c r="A361" s="2" t="str">
        <v>S2-01103-BH</v>
      </c>
      <c r="B361" s="2" t="str">
        <v>INP2105</v>
      </c>
      <c r="C361" s="20" t="str">
        <v>Chảo inox đúc nguyên khối (không chống dính)INP2105</v>
      </c>
      <c r="D361" s="2" t="str">
        <v>cái</v>
      </c>
      <c r="E361" s="2" t="str">
        <v>10</v>
      </c>
      <c r="F361" s="2" t="str">
        <v>240740.74</v>
      </c>
      <c r="G361" s="19" t="n">
        <v>2600000</v>
      </c>
      <c r="H361" s="2" t="str">
        <v>2.xlsx | 订单!Q1107</v>
      </c>
    </row>
    <row r="362" ht="26" customHeight="1">
      <c r="A362" s="2" t="str">
        <v>S2-01103-BH</v>
      </c>
      <c r="B362" s="2" t="str">
        <v>INP2106</v>
      </c>
      <c r="C362" s="20" t="str">
        <v>Chảo inox đúc nguyên khối (không chống dính)INP2106</v>
      </c>
      <c r="D362" s="2" t="str">
        <v>cái</v>
      </c>
      <c r="E362" s="2" t="str">
        <v>10</v>
      </c>
      <c r="F362" s="2" t="str">
        <v>259259.26</v>
      </c>
      <c r="G362" s="19" t="n">
        <v>2800000</v>
      </c>
      <c r="H362" s="2" t="str">
        <v>2.xlsx | 订单!Q1108</v>
      </c>
    </row>
    <row r="363" ht="26" customHeight="1">
      <c r="A363" s="2" t="str">
        <v>S2-01103-BH</v>
      </c>
      <c r="B363" s="2" t="str">
        <v>INP2107</v>
      </c>
      <c r="C363" s="20" t="str">
        <v>Chảo inox đúc nguyên khối (không chống dính) INP2107</v>
      </c>
      <c r="D363" s="2" t="str">
        <v>cái</v>
      </c>
      <c r="E363" s="2" t="str">
        <v>10</v>
      </c>
      <c r="F363" s="2" t="str">
        <v>277777.78</v>
      </c>
      <c r="G363" s="19" t="n">
        <v>3000000</v>
      </c>
      <c r="H363" s="2" t="str">
        <v>2.xlsx | 订单!Q1109</v>
      </c>
    </row>
    <row r="364" ht="26" customHeight="1">
      <c r="A364" s="2" t="str">
        <v>S2-01103-BH</v>
      </c>
      <c r="B364" s="2" t="str">
        <v>INP2109</v>
      </c>
      <c r="C364" s="20" t="str">
        <v>Chảo inox đúc nguyên khối (không chống dính)INP2109</v>
      </c>
      <c r="D364" s="2" t="str">
        <v>cái</v>
      </c>
      <c r="E364" s="2" t="str">
        <v>5</v>
      </c>
      <c r="F364" s="2" t="str">
        <v>240740.74</v>
      </c>
      <c r="G364" s="19" t="n">
        <v>1300000</v>
      </c>
      <c r="H364" s="2" t="str">
        <v>2.xlsx | 订单!Q1110</v>
      </c>
    </row>
    <row r="365" ht="26" customHeight="1">
      <c r="A365" s="2" t="str">
        <v>S2-01103-BH</v>
      </c>
      <c r="B365" s="2" t="str">
        <v>INP2110</v>
      </c>
      <c r="C365" s="20" t="str">
        <v>Chảo inox đúc nguyên khối (không chống dính)INP2110</v>
      </c>
      <c r="D365" s="2" t="str">
        <v>cái</v>
      </c>
      <c r="E365" s="2" t="str">
        <v>10</v>
      </c>
      <c r="F365" s="2" t="str">
        <v>259259.26</v>
      </c>
      <c r="G365" s="19" t="n">
        <v>2800000</v>
      </c>
      <c r="H365" s="2" t="str">
        <v>2.xlsx | 订单!Q1111</v>
      </c>
    </row>
    <row r="366" ht="26" customHeight="1">
      <c r="A366" s="2" t="str">
        <v>S2-01103-BH</v>
      </c>
      <c r="B366" s="2" t="str">
        <v>INP6903</v>
      </c>
      <c r="C366" s="20" t="str">
        <v>Nồi áp suất điện INP6903</v>
      </c>
      <c r="D366" s="2" t="str">
        <v>cái</v>
      </c>
      <c r="E366" s="2" t="str">
        <v>6</v>
      </c>
      <c r="F366" s="2" t="str">
        <v>907407.41</v>
      </c>
      <c r="G366" s="19" t="n">
        <v>5880000</v>
      </c>
      <c r="H366" s="2" t="str">
        <v>2.xlsx | 订单!Q1122</v>
      </c>
    </row>
    <row r="367" ht="26" customHeight="1">
      <c r="A367" s="2" t="str">
        <v>S2-01103-BH</v>
      </c>
      <c r="B367" s="2" t="str">
        <v>INP6101</v>
      </c>
      <c r="C367" s="20" t="str">
        <v>Bếp từ đơn INP6101( 2200W, mặt kính màu sữa )</v>
      </c>
      <c r="D367" s="2" t="str">
        <v>cái</v>
      </c>
      <c r="E367" s="2" t="str">
        <v>6</v>
      </c>
      <c r="F367" s="2" t="str">
        <v>601851.85</v>
      </c>
      <c r="G367" s="19" t="n">
        <v>3900000</v>
      </c>
      <c r="H367" s="2" t="str">
        <v>2.xlsx | 订单!Q1123</v>
      </c>
    </row>
    <row r="368" ht="26" customHeight="1">
      <c r="A368" s="2" t="str">
        <v>S2-01103-BH</v>
      </c>
      <c r="B368" s="2" t="str">
        <v>INP6103</v>
      </c>
      <c r="C368" s="20" t="str">
        <v>Bếp từ đơn INP6103</v>
      </c>
      <c r="D368" s="2" t="str">
        <v>cái</v>
      </c>
      <c r="E368" s="2" t="str">
        <v>6</v>
      </c>
      <c r="F368" s="2" t="str">
        <v>799074.07</v>
      </c>
      <c r="G368" s="19" t="n">
        <v>5178000</v>
      </c>
      <c r="H368" s="2" t="str">
        <v>2.xlsx | 订单!Q1124</v>
      </c>
    </row>
    <row r="369" ht="26" customHeight="1">
      <c r="A369" s="2" t="str">
        <v>S2-01103-BH</v>
      </c>
      <c r="B369" s="2" t="str">
        <v>INP1203</v>
      </c>
      <c r="C369" s="20" t="str">
        <v>Nồi Inox INP1203</v>
      </c>
      <c r="D369" s="2" t="str">
        <v>cái</v>
      </c>
      <c r="E369" s="2" t="str">
        <v>10</v>
      </c>
      <c r="F369" s="2" t="str">
        <v>492592.59</v>
      </c>
      <c r="G369" s="19" t="n">
        <v>5320000</v>
      </c>
      <c r="H369" s="2" t="str">
        <v>2.xlsx | 订单!Q1126</v>
      </c>
    </row>
    <row r="370" ht="26" customHeight="1">
      <c r="A370" s="2" t="str">
        <v>S2-01112-BH</v>
      </c>
      <c r="B370" s="2" t="str">
        <v>INP2111</v>
      </c>
      <c r="C370" s="20" t="str">
        <v>Chảo inox đúc nguyên khối (không chống dính)INP2111</v>
      </c>
      <c r="D370" s="2" t="str">
        <v>cái</v>
      </c>
      <c r="E370" s="2" t="str">
        <v>10</v>
      </c>
      <c r="F370" s="2" t="str">
        <v>277777.78</v>
      </c>
      <c r="G370" s="19" t="n">
        <v>3000000</v>
      </c>
      <c r="H370" s="2" t="str">
        <v>2.xlsx | 订单!Q1112</v>
      </c>
    </row>
    <row r="371" ht="26" customHeight="1">
      <c r="A371" s="2" t="str">
        <v>S2-01112-BH</v>
      </c>
      <c r="B371" s="2" t="str">
        <v>INP6105</v>
      </c>
      <c r="C371" s="20" t="str">
        <v>Bếp từ đơn INP6105</v>
      </c>
      <c r="D371" s="2" t="str">
        <v>cái</v>
      </c>
      <c r="E371" s="2" t="str">
        <v>6</v>
      </c>
      <c r="F371" s="2" t="str">
        <v>675925.93</v>
      </c>
      <c r="G371" s="19" t="n">
        <v>4380000</v>
      </c>
      <c r="H371" s="2" t="str">
        <v>2.xlsx | 订单!Q1125</v>
      </c>
    </row>
    <row r="372" ht="26" customHeight="1">
      <c r="A372" s="2" t="str">
        <v>S2-01113-BH</v>
      </c>
      <c r="B372" s="2" t="str">
        <v>INP6004</v>
      </c>
      <c r="C372" s="20" t="str">
        <v>Nồi cơm điện INP6004 (1,2L)</v>
      </c>
      <c r="D372" s="2" t="str">
        <v>cái</v>
      </c>
      <c r="E372" s="2" t="str">
        <v>15</v>
      </c>
      <c r="F372" s="2" t="str">
        <v>537037.04</v>
      </c>
      <c r="G372" s="19" t="n">
        <v>8700000</v>
      </c>
      <c r="H372" s="2" t="str">
        <v>2.xlsx | 订单!Q1113</v>
      </c>
    </row>
    <row r="373" ht="26" customHeight="1">
      <c r="A373" s="2" t="str">
        <v>S2-01113-BH</v>
      </c>
      <c r="B373" s="2" t="str">
        <v>INP6005</v>
      </c>
      <c r="C373" s="20" t="str">
        <v>Nồi cơm điện INP6005 (1,8L)</v>
      </c>
      <c r="D373" s="2" t="str">
        <v>cái</v>
      </c>
      <c r="E373" s="2" t="str">
        <v>15</v>
      </c>
      <c r="F373" s="2" t="str">
        <v>638888.89</v>
      </c>
      <c r="G373" s="19" t="n">
        <v>10350000</v>
      </c>
      <c r="H373" s="2" t="str">
        <v>2.xlsx | 订单!Q1114</v>
      </c>
    </row>
    <row r="374" ht="26" customHeight="1">
      <c r="A374" s="2" t="str">
        <v>S2-01113-BH</v>
      </c>
      <c r="B374" s="2" t="str">
        <v>INP6006</v>
      </c>
      <c r="C374" s="20" t="str">
        <v>Nồi cơm điện INP6006 (1,2L)</v>
      </c>
      <c r="D374" s="2" t="str">
        <v>cái</v>
      </c>
      <c r="E374" s="2" t="str">
        <v>15</v>
      </c>
      <c r="F374" s="2" t="str">
        <v>527777.78</v>
      </c>
      <c r="G374" s="19" t="n">
        <v>8550000</v>
      </c>
      <c r="H374" s="2" t="str">
        <v>2.xlsx | 订单!Q1115</v>
      </c>
    </row>
    <row r="375" ht="26" customHeight="1">
      <c r="A375" s="2" t="str">
        <v>S2-01113-BH</v>
      </c>
      <c r="B375" s="2" t="str">
        <v>INP6007</v>
      </c>
      <c r="C375" s="20" t="str">
        <v>Nồi cơm điện INP6007 (1,8L)</v>
      </c>
      <c r="D375" s="2" t="str">
        <v>cái</v>
      </c>
      <c r="E375" s="2" t="str">
        <v>4</v>
      </c>
      <c r="F375" s="2" t="str">
        <v>629629.63</v>
      </c>
      <c r="G375" s="19" t="n">
        <v>2720000</v>
      </c>
      <c r="H375" s="2" t="str">
        <v>2.xlsx | 订单!Q1116</v>
      </c>
    </row>
    <row r="376" ht="26" customHeight="1">
      <c r="A376" s="2" t="str">
        <v>S2-01113-BH</v>
      </c>
      <c r="B376" s="2" t="str">
        <v>INP6008</v>
      </c>
      <c r="C376" s="20" t="str">
        <v>Nồi cơm điện INP6008 (1,2L)</v>
      </c>
      <c r="D376" s="2" t="str">
        <v>cái</v>
      </c>
      <c r="E376" s="2" t="str">
        <v>15</v>
      </c>
      <c r="F376" s="2" t="str">
        <v>574074.07</v>
      </c>
      <c r="G376" s="19" t="n">
        <v>9300000</v>
      </c>
      <c r="H376" s="2" t="str">
        <v>2.xlsx | 订单!Q1117</v>
      </c>
    </row>
    <row r="377" ht="26" customHeight="1">
      <c r="A377" s="2" t="str">
        <v>S2-01113-BH</v>
      </c>
      <c r="B377" s="2" t="str">
        <v>INP6009</v>
      </c>
      <c r="C377" s="20" t="str">
        <v>Nồi cơm điện INP6009 (1,8L)</v>
      </c>
      <c r="D377" s="2" t="str">
        <v>cái</v>
      </c>
      <c r="E377" s="2" t="str">
        <v>15</v>
      </c>
      <c r="F377" s="2" t="str">
        <v>694444.44</v>
      </c>
      <c r="G377" s="19" t="n">
        <v>11250000</v>
      </c>
      <c r="H377" s="2" t="str">
        <v>2.xlsx | 订单!Q1118</v>
      </c>
    </row>
    <row r="378" ht="26" customHeight="1">
      <c r="A378" s="2" t="str">
        <v>S2-01113-BH</v>
      </c>
      <c r="B378" s="2" t="str">
        <v>INP6010</v>
      </c>
      <c r="C378" s="20" t="str">
        <v>Nồi cơm điện INP6010 (1,2L)</v>
      </c>
      <c r="D378" s="2" t="str">
        <v>cái</v>
      </c>
      <c r="E378" s="2" t="str">
        <v>15</v>
      </c>
      <c r="F378" s="2" t="str">
        <v>481481.48</v>
      </c>
      <c r="G378" s="19" t="n">
        <v>7800000</v>
      </c>
      <c r="H378" s="2" t="str">
        <v>2.xlsx | 订单!Q1119</v>
      </c>
    </row>
    <row r="379" ht="26" customHeight="1">
      <c r="A379" s="2" t="str">
        <v>S2-01113-BH</v>
      </c>
      <c r="B379" s="2" t="str">
        <v>INP6011</v>
      </c>
      <c r="C379" s="20" t="str">
        <v>Nồi cơm điện INP6011 (1,8L)</v>
      </c>
      <c r="D379" s="2" t="str">
        <v>cái</v>
      </c>
      <c r="E379" s="2" t="str">
        <v>26</v>
      </c>
      <c r="F379" s="2" t="str">
        <v>574074.07</v>
      </c>
      <c r="G379" s="19" t="n">
        <v>16120000</v>
      </c>
      <c r="H379" s="2" t="str">
        <v>2.xlsx | 订单!Q1120</v>
      </c>
    </row>
    <row r="380" ht="26" customHeight="1">
      <c r="A380" s="2" t="str">
        <v>S2-01121-BH</v>
      </c>
      <c r="B380" s="2" t="str">
        <v>INP6901</v>
      </c>
      <c r="C380" s="20" t="str">
        <v>Nồi áp suất điện INP6901</v>
      </c>
      <c r="D380" s="2" t="str">
        <v>cái</v>
      </c>
      <c r="E380" s="2" t="str">
        <v>6</v>
      </c>
      <c r="F380" s="2" t="str">
        <v>861111.11</v>
      </c>
      <c r="G380" s="19" t="n">
        <v>5580000</v>
      </c>
      <c r="H380" s="2" t="str">
        <v>2.xlsx | 订单!Q1121</v>
      </c>
    </row>
    <row r="381" ht="26" customHeight="1">
      <c r="A381" s="2" t="str">
        <v>S2-01273-BH</v>
      </c>
      <c r="B381" s="2" t="str">
        <v>INP6005</v>
      </c>
      <c r="C381" s="20" t="str">
        <v>Nồi cơm điện INP6005 (1,8L)</v>
      </c>
      <c r="D381" s="2" t="str">
        <v>Cái</v>
      </c>
      <c r="E381" s="2" t="str">
        <v>30</v>
      </c>
      <c r="F381" s="2" t="str">
        <v>638888.89</v>
      </c>
      <c r="G381" s="19" t="n">
        <v>20700000</v>
      </c>
      <c r="H381" s="2" t="str">
        <v>2.xlsx | 订单!Q1273</v>
      </c>
    </row>
    <row r="382" ht="26" customHeight="1">
      <c r="A382" s="2" t="str">
        <v>S2-01273-BH</v>
      </c>
      <c r="B382" s="2" t="str">
        <v>INP6007</v>
      </c>
      <c r="C382" s="20" t="str">
        <v>Nồi cơm điện INP6007 (1,8L)</v>
      </c>
      <c r="D382" s="2" t="str">
        <v>Cái</v>
      </c>
      <c r="E382" s="2" t="str">
        <v>30</v>
      </c>
      <c r="F382" s="2" t="str">
        <v>629629.63</v>
      </c>
      <c r="G382" s="19" t="n">
        <v>20400000</v>
      </c>
      <c r="H382" s="2" t="str">
        <v>2.xlsx | 订单!Q1274</v>
      </c>
    </row>
    <row r="383" ht="26" customHeight="1">
      <c r="A383" s="2" t="str">
        <v>S2-01273-BH</v>
      </c>
      <c r="B383" s="2" t="str">
        <v>INP1402</v>
      </c>
      <c r="C383" s="20" t="str">
        <v>Nồi áp suất 6L INP1402</v>
      </c>
      <c r="D383" s="2" t="str">
        <v>Cái</v>
      </c>
      <c r="E383" s="2" t="str">
        <v>6</v>
      </c>
      <c r="F383" s="2" t="str">
        <v>937962.96</v>
      </c>
      <c r="G383" s="19" t="n">
        <v>6078000</v>
      </c>
      <c r="H383" s="2" t="str">
        <v>2.xlsx | 订单!Q1275</v>
      </c>
    </row>
    <row r="384" ht="26" customHeight="1">
      <c r="A384" s="2" t="str">
        <v>S2-01273-BH</v>
      </c>
      <c r="B384" s="2" t="str">
        <v>INP2111</v>
      </c>
      <c r="C384" s="20" t="str">
        <v>Chảo inox đúc nguyên khối (không chống dính)INP2111</v>
      </c>
      <c r="D384" s="2" t="str">
        <v>Cái</v>
      </c>
      <c r="E384" s="2" t="str">
        <v>10</v>
      </c>
      <c r="F384" s="2" t="str">
        <v>277777.78</v>
      </c>
      <c r="G384" s="19" t="n">
        <v>3000000</v>
      </c>
      <c r="H384" s="2" t="str">
        <v>2.xlsx | 订单!Q1276</v>
      </c>
    </row>
    <row r="385" ht="26" customHeight="1">
      <c r="A385" s="2" t="str">
        <v>S2-01273-BH</v>
      </c>
      <c r="B385" s="2" t="str">
        <v>INP1301</v>
      </c>
      <c r="C385" s="20" t="str">
        <v>Nồi mã INP1301</v>
      </c>
      <c r="D385" s="2" t="str">
        <v>Cái</v>
      </c>
      <c r="E385" s="2" t="str">
        <v>30</v>
      </c>
      <c r="F385" s="2" t="str">
        <v>111111.11</v>
      </c>
      <c r="G385" s="19" t="n">
        <v>3600000</v>
      </c>
      <c r="H385" s="2" t="str">
        <v>2.xlsx | 订单!Q1277</v>
      </c>
    </row>
    <row r="386" ht="26" customHeight="1">
      <c r="A386" s="2" t="str">
        <v>S2-01562-BH</v>
      </c>
      <c r="B386" s="2" t="str">
        <v>INP1001</v>
      </c>
      <c r="C386" s="20" t="str">
        <v>Bộ nồi inox INP1001</v>
      </c>
      <c r="D386" s="2" t="str">
        <v>Cái</v>
      </c>
      <c r="E386" s="2" t="str">
        <v>10</v>
      </c>
      <c r="F386" s="2" t="str">
        <v>480555.56</v>
      </c>
      <c r="G386" s="19" t="n">
        <v>5190000</v>
      </c>
      <c r="H386" s="2" t="str">
        <v>2.xlsx | 订单!Q1562</v>
      </c>
    </row>
    <row r="387" ht="26" customHeight="1">
      <c r="A387" s="2" t="str">
        <v>S2-01562-BH</v>
      </c>
      <c r="B387" s="2" t="str">
        <v>INP1003</v>
      </c>
      <c r="C387" s="20" t="str">
        <v>Bộ nồi  Inox INP1003 </v>
      </c>
      <c r="D387" s="2" t="str">
        <v>Cái</v>
      </c>
      <c r="E387" s="2" t="str">
        <v>20</v>
      </c>
      <c r="F387" s="2" t="str">
        <v>324074.07</v>
      </c>
      <c r="G387" s="19" t="n">
        <v>7000000</v>
      </c>
      <c r="H387" s="2" t="str">
        <v>2.xlsx | 订单!Q1563</v>
      </c>
    </row>
    <row r="388" ht="26" customHeight="1">
      <c r="A388" s="2" t="str">
        <v>S2-01562-BH</v>
      </c>
      <c r="B388" s="2" t="str">
        <v>INP1101</v>
      </c>
      <c r="C388" s="20" t="str">
        <v>Bộ nồi inox  INP1101</v>
      </c>
      <c r="D388" s="2" t="str">
        <v>Cái</v>
      </c>
      <c r="E388" s="2" t="str">
        <v>10</v>
      </c>
      <c r="F388" s="2" t="str">
        <v>483333.33</v>
      </c>
      <c r="G388" s="19" t="n">
        <v>5220000</v>
      </c>
      <c r="H388" s="2" t="str">
        <v>2.xlsx | 订单!Q1564</v>
      </c>
    </row>
    <row r="389" ht="26" customHeight="1">
      <c r="A389" s="2" t="str">
        <v>S2-01562-BH</v>
      </c>
      <c r="B389" s="2" t="str">
        <v>INP1403</v>
      </c>
      <c r="C389" s="20" t="str">
        <v>Nồi áp suất INP1403</v>
      </c>
      <c r="D389" s="2" t="str">
        <v>Cái</v>
      </c>
      <c r="E389" s="2" t="str">
        <v>4</v>
      </c>
      <c r="F389" s="2" t="str">
        <v>601851.85</v>
      </c>
      <c r="G389" s="19" t="n">
        <v>2600000</v>
      </c>
      <c r="H389" s="2" t="str">
        <v>2.xlsx | 订单!Q1565</v>
      </c>
    </row>
    <row r="390" ht="26" customHeight="1">
      <c r="A390" s="2" t="str">
        <v>S2-01562-BH</v>
      </c>
      <c r="B390" s="2" t="str">
        <v>INP2301</v>
      </c>
      <c r="C390" s="20" t="str">
        <v>Chảo rán INP2301</v>
      </c>
      <c r="D390" s="2" t="str">
        <v>Cái</v>
      </c>
      <c r="E390" s="2" t="str">
        <v>2</v>
      </c>
      <c r="F390" s="2" t="str">
        <v>416666.67</v>
      </c>
      <c r="G390" s="19" t="n">
        <v>900000</v>
      </c>
      <c r="H390" s="2" t="str">
        <v>2.xlsx | 订单!Q1566</v>
      </c>
    </row>
    <row r="391" ht="26" customHeight="1">
      <c r="A391" s="2" t="str">
        <v>S2-01562-BH</v>
      </c>
      <c r="B391" s="2" t="str">
        <v>INP6202</v>
      </c>
      <c r="C391" s="20" t="str">
        <v>Ấm điện siêu tốc INP6202 1,7 lít màu đen</v>
      </c>
      <c r="D391" s="2" t="str">
        <v>Cái</v>
      </c>
      <c r="E391" s="2" t="str">
        <v>12</v>
      </c>
      <c r="F391" s="2" t="str">
        <v>325925.93</v>
      </c>
      <c r="G391" s="19" t="n">
        <v>4224000</v>
      </c>
      <c r="H391" s="2" t="str">
        <v>2.xlsx | 订单!Q1573</v>
      </c>
    </row>
    <row r="392" ht="26" customHeight="1">
      <c r="A392" s="2" t="str">
        <v>S2-01562-BH</v>
      </c>
      <c r="B392" s="2" t="str">
        <v>INP6903</v>
      </c>
      <c r="C392" s="20" t="str">
        <v>Nồi áp suất điện INP6903</v>
      </c>
      <c r="D392" s="2" t="str">
        <v>Cái</v>
      </c>
      <c r="E392" s="2" t="str">
        <v>4</v>
      </c>
      <c r="F392" s="2" t="str">
        <v>907407.41</v>
      </c>
      <c r="G392" s="19" t="n">
        <v>3920000</v>
      </c>
      <c r="H392" s="2" t="str">
        <v>2.xlsx | 订单!Q1574</v>
      </c>
    </row>
    <row r="393" ht="26" customHeight="1">
      <c r="A393" s="2" t="str">
        <v>S2-01562-BH</v>
      </c>
      <c r="B393" s="2" t="str">
        <v>INP6004</v>
      </c>
      <c r="C393" s="20" t="str">
        <v>Nồi cơm điện INP6004 (1,2L)</v>
      </c>
      <c r="D393" s="2" t="str">
        <v>Cái</v>
      </c>
      <c r="E393" s="2" t="str">
        <v>15</v>
      </c>
      <c r="F393" s="2" t="str">
        <v>537037.04</v>
      </c>
      <c r="G393" s="19" t="n">
        <v>8700000</v>
      </c>
      <c r="H393" s="2" t="str">
        <v>2.xlsx | 订单!Q1567</v>
      </c>
    </row>
    <row r="394" ht="26" customHeight="1">
      <c r="A394" s="2" t="str">
        <v>S2-01562-BH</v>
      </c>
      <c r="B394" s="2" t="str">
        <v>INP6005</v>
      </c>
      <c r="C394" s="20" t="str">
        <v>Nồi cơm điện INP6005 (1,8L)</v>
      </c>
      <c r="D394" s="2" t="str">
        <v>Cái</v>
      </c>
      <c r="E394" s="2" t="str">
        <v>30</v>
      </c>
      <c r="F394" s="2" t="str">
        <v>638888.89</v>
      </c>
      <c r="G394" s="19" t="n">
        <v>20700000</v>
      </c>
      <c r="H394" s="2" t="str">
        <v>2.xlsx | 订单!Q1568</v>
      </c>
    </row>
    <row r="395" ht="26" customHeight="1">
      <c r="A395" s="2" t="str">
        <v>S2-01562-BH</v>
      </c>
      <c r="B395" s="2" t="str">
        <v>INP6006</v>
      </c>
      <c r="C395" s="20" t="str">
        <v>Nồi cơm điện INP6006 (1,2L)</v>
      </c>
      <c r="D395" s="2" t="str">
        <v>Cái</v>
      </c>
      <c r="E395" s="2" t="str">
        <v>15</v>
      </c>
      <c r="F395" s="2" t="str">
        <v>527777.78</v>
      </c>
      <c r="G395" s="19" t="n">
        <v>8550000</v>
      </c>
      <c r="H395" s="2" t="str">
        <v>2.xlsx | 订单!Q1569</v>
      </c>
    </row>
    <row r="396" ht="26" customHeight="1">
      <c r="A396" s="2" t="str">
        <v>S2-01562-BH</v>
      </c>
      <c r="B396" s="2" t="str">
        <v>INP6010</v>
      </c>
      <c r="C396" s="20" t="str">
        <v>Nồi cơm điện INP6010 (1,2L)</v>
      </c>
      <c r="D396" s="2" t="str">
        <v>Cái</v>
      </c>
      <c r="E396" s="2" t="str">
        <v>15</v>
      </c>
      <c r="F396" s="2" t="str">
        <v>481481.48</v>
      </c>
      <c r="G396" s="19" t="n">
        <v>7800000</v>
      </c>
      <c r="H396" s="2" t="str">
        <v>2.xlsx | 订单!Q1570</v>
      </c>
    </row>
    <row r="397" ht="26" customHeight="1">
      <c r="A397" s="2" t="str">
        <v>S2-01562-BH</v>
      </c>
      <c r="B397" s="2" t="str">
        <v>INP6011</v>
      </c>
      <c r="C397" s="20" t="str">
        <v>Nồi cơm điện INP6011 (1,8L)</v>
      </c>
      <c r="D397" s="2" t="str">
        <v>Cái</v>
      </c>
      <c r="E397" s="2" t="str">
        <v>15</v>
      </c>
      <c r="F397" s="2" t="str">
        <v>574074.07</v>
      </c>
      <c r="G397" s="19" t="n">
        <v>9300000</v>
      </c>
      <c r="H397" s="2" t="str">
        <v>2.xlsx | 订单!Q1571</v>
      </c>
    </row>
    <row r="398" ht="26" customHeight="1">
      <c r="A398" s="2" t="str">
        <v>S2-01562-BH</v>
      </c>
      <c r="B398" s="2" t="str">
        <v>INP6105</v>
      </c>
      <c r="C398" s="20" t="str">
        <v>Bếp từ đơn INP6105</v>
      </c>
      <c r="D398" s="2" t="str">
        <v>Cái</v>
      </c>
      <c r="E398" s="2" t="str">
        <v>6</v>
      </c>
      <c r="F398" s="2" t="str">
        <v>937962.96</v>
      </c>
      <c r="G398" s="19" t="n">
        <v>6078000</v>
      </c>
      <c r="H398" s="2" t="str">
        <v>2.xlsx | 订单!Q1572</v>
      </c>
    </row>
    <row r="399" ht="26" customHeight="1">
      <c r="A399" s="2" t="str">
        <v>S2-01941-BH</v>
      </c>
      <c r="B399" s="2" t="str">
        <v>INP6007</v>
      </c>
      <c r="C399" s="20" t="str">
        <v>Nồi cơm điện INP6007 (1,8L)</v>
      </c>
      <c r="D399" s="2" t="str">
        <v>Cái</v>
      </c>
      <c r="E399" s="2" t="str">
        <v>30</v>
      </c>
      <c r="F399" s="2" t="str">
        <v>629629.63</v>
      </c>
      <c r="G399" s="19" t="n">
        <v>20400000</v>
      </c>
      <c r="H399" s="2" t="str">
        <v>2.xlsx | 订单!Q1941</v>
      </c>
    </row>
    <row r="400" ht="26" customHeight="1">
      <c r="A400" s="2" t="str">
        <v>S2-01941-BH</v>
      </c>
      <c r="B400" s="2" t="str">
        <v>INP2114</v>
      </c>
      <c r="C400" s="20" t="str">
        <v>Chảo inox INP2114</v>
      </c>
      <c r="D400" s="2" t="str">
        <v>Cái</v>
      </c>
      <c r="E400" s="2" t="str">
        <v>10</v>
      </c>
      <c r="F400" s="2" t="str">
        <v>259259.26</v>
      </c>
      <c r="G400" s="19" t="n">
        <v>2800000</v>
      </c>
      <c r="H400" s="2" t="str">
        <v>2.xlsx | 订单!Q1942</v>
      </c>
    </row>
    <row r="401" ht="26" customHeight="1">
      <c r="A401" s="2" t="str">
        <v>S2-01941-BH</v>
      </c>
      <c r="B401" s="2" t="str">
        <v>INP2115</v>
      </c>
      <c r="C401" s="20" t="str">
        <v>Chảo inox INP2115</v>
      </c>
      <c r="D401" s="2" t="str">
        <v>Cái</v>
      </c>
      <c r="E401" s="2" t="str">
        <v>10</v>
      </c>
      <c r="F401" s="2" t="str">
        <v>277777.78</v>
      </c>
      <c r="G401" s="19" t="n">
        <v>3000000</v>
      </c>
      <c r="H401" s="2" t="str">
        <v>2.xlsx | 订单!Q1943</v>
      </c>
    </row>
    <row r="402" ht="26" customHeight="1">
      <c r="A402" s="2" t="str">
        <v>S2-01941-BH</v>
      </c>
      <c r="B402" s="2" t="str">
        <v>INP2116</v>
      </c>
      <c r="C402" s="20" t="str">
        <v>Chảo inox INP2116</v>
      </c>
      <c r="D402" s="2" t="str">
        <v>Cái</v>
      </c>
      <c r="E402" s="2" t="str">
        <v>10</v>
      </c>
      <c r="F402" s="2" t="str">
        <v>305555.56</v>
      </c>
      <c r="G402" s="19" t="n">
        <v>3300000</v>
      </c>
      <c r="H402" s="2" t="str">
        <v>2.xlsx | 订单!Q1944</v>
      </c>
    </row>
    <row r="403" ht="26" customHeight="1">
      <c r="A403" s="2" t="str">
        <v>S2-01941-BH</v>
      </c>
      <c r="B403" s="2" t="str">
        <v>INP2117</v>
      </c>
      <c r="C403" s="20" t="str">
        <v>Chảo inox INP2117</v>
      </c>
      <c r="D403" s="2" t="str">
        <v>Cái</v>
      </c>
      <c r="E403" s="2" t="str">
        <v>10</v>
      </c>
      <c r="F403" s="2" t="str">
        <v>333333.33</v>
      </c>
      <c r="G403" s="19" t="n">
        <v>3600000</v>
      </c>
      <c r="H403" s="2" t="str">
        <v>2.xlsx | 订单!Q1945</v>
      </c>
    </row>
    <row r="404" ht="26" customHeight="1">
      <c r="A404" s="2" t="str">
        <v>S2-02208-BH</v>
      </c>
      <c r="B404" s="2" t="str">
        <v>INP1003</v>
      </c>
      <c r="C404" s="20" t="str">
        <v>Bộ nồi  Inox INP1003 </v>
      </c>
      <c r="D404" s="2" t="str">
        <v>Cái</v>
      </c>
      <c r="E404" s="2" t="str">
        <v>12</v>
      </c>
      <c r="F404" s="2" t="str">
        <v>333333.33</v>
      </c>
      <c r="G404" s="19" t="n">
        <v>4319999.96</v>
      </c>
      <c r="H404" s="2" t="str">
        <v>2.xlsx | 订单!Q2208</v>
      </c>
    </row>
    <row r="405" ht="26" customHeight="1">
      <c r="A405" s="2" t="str">
        <v>S2-00961-BH</v>
      </c>
      <c r="B405" s="2" t="str">
        <v>INP3001</v>
      </c>
      <c r="C405" s="20" t="str">
        <v>Nồi gang tráng menINP3001</v>
      </c>
      <c r="D405" s="2" t="str">
        <v>Cái</v>
      </c>
      <c r="E405" s="2" t="str">
        <v>1</v>
      </c>
      <c r="F405" s="2" t="str">
        <v>574074.07</v>
      </c>
      <c r="G405" s="19" t="n">
        <v>620000</v>
      </c>
      <c r="H405" s="2" t="str">
        <v>2.xlsx | 订单!Q961</v>
      </c>
    </row>
    <row r="406" ht="26" customHeight="1">
      <c r="A406" s="2" t="str">
        <v>S2-00962-BH</v>
      </c>
      <c r="B406" s="2" t="str">
        <v>INP3002</v>
      </c>
      <c r="C406" s="20" t="str">
        <v>Nồi gang tráng menINP3002</v>
      </c>
      <c r="D406" s="2" t="str">
        <v>Cái</v>
      </c>
      <c r="E406" s="2" t="str">
        <v>1</v>
      </c>
      <c r="F406" s="2" t="str">
        <v>527777.77</v>
      </c>
      <c r="G406" s="19" t="n">
        <v>570000</v>
      </c>
      <c r="H406" s="2" t="str">
        <v>2.xlsx | 订单!Q962</v>
      </c>
    </row>
    <row r="407" ht="26" customHeight="1">
      <c r="A407" s="2" t="str">
        <v>S2-00962-BH</v>
      </c>
      <c r="B407" s="2" t="str">
        <v>INP3003</v>
      </c>
      <c r="C407" s="20" t="str">
        <v>Nồi gang tráng menINP3003</v>
      </c>
      <c r="D407" s="2" t="str">
        <v>Cái</v>
      </c>
      <c r="E407" s="2" t="str">
        <v>1</v>
      </c>
      <c r="F407" s="2" t="str">
        <v>537037.04</v>
      </c>
      <c r="G407" s="19" t="n">
        <v>580000</v>
      </c>
      <c r="H407" s="2" t="str">
        <v>2.xlsx | 订单!Q963</v>
      </c>
    </row>
    <row r="408" ht="26" customHeight="1">
      <c r="A408" s="2" t="str">
        <v>S2-00962-BH</v>
      </c>
      <c r="B408" s="2" t="str">
        <v>INP3004</v>
      </c>
      <c r="C408" s="20" t="str">
        <v>Nồi gang tráng menINP3004</v>
      </c>
      <c r="D408" s="2" t="str">
        <v>Cái</v>
      </c>
      <c r="E408" s="2" t="str">
        <v>1</v>
      </c>
      <c r="F408" s="2" t="str">
        <v>296296.29</v>
      </c>
      <c r="G408" s="19" t="n">
        <v>320000</v>
      </c>
      <c r="H408" s="2" t="str">
        <v>2.xlsx | 订单!Q964</v>
      </c>
    </row>
    <row r="409" ht="26" customHeight="1">
      <c r="A409" s="2" t="str">
        <v>S2-00962-BH</v>
      </c>
      <c r="B409" s="2" t="str">
        <v>INP3005</v>
      </c>
      <c r="C409" s="20" t="str">
        <v>Nồi gang tráng menINP3005</v>
      </c>
      <c r="D409" s="2" t="str">
        <v>Cái</v>
      </c>
      <c r="E409" s="2" t="str">
        <v>1</v>
      </c>
      <c r="F409" s="2" t="str">
        <v>333333.33</v>
      </c>
      <c r="G409" s="19" t="n">
        <v>360000</v>
      </c>
      <c r="H409" s="2" t="str">
        <v>2.xlsx | 订单!Q965</v>
      </c>
    </row>
    <row r="410" ht="26" customHeight="1">
      <c r="A410" s="2" t="str">
        <v>S2-00962-BH</v>
      </c>
      <c r="B410" s="2" t="str">
        <v>INP3201</v>
      </c>
      <c r="C410" s="20" t="str">
        <v>Chảo gang tráng menINP3201</v>
      </c>
      <c r="D410" s="2" t="str">
        <v>Cái</v>
      </c>
      <c r="E410" s="2" t="str">
        <v>1</v>
      </c>
      <c r="F410" s="2" t="str">
        <v>240740.74</v>
      </c>
      <c r="G410" s="19" t="n">
        <v>260000</v>
      </c>
      <c r="H410" s="2" t="str">
        <v>2.xlsx | 订单!Q966</v>
      </c>
    </row>
    <row r="411" ht="26" customHeight="1">
      <c r="A411" s="2" t="str">
        <v>S2-00962-BH</v>
      </c>
      <c r="B411" s="2" t="str">
        <v>INP3202</v>
      </c>
      <c r="C411" s="20" t="str">
        <v>Chảo gang tráng menINP3202</v>
      </c>
      <c r="D411" s="2" t="str">
        <v>Cái</v>
      </c>
      <c r="E411" s="2" t="str">
        <v>1</v>
      </c>
      <c r="F411" s="2" t="str">
        <v>342592.59</v>
      </c>
      <c r="G411" s="19" t="n">
        <v>370000</v>
      </c>
      <c r="H411" s="2" t="str">
        <v>2.xlsx | 订单!Q967</v>
      </c>
    </row>
    <row r="412" ht="26" customHeight="1">
      <c r="A412" s="2" t="str">
        <v>S2-00962-BH</v>
      </c>
      <c r="B412" s="2" t="str">
        <v>INP6701</v>
      </c>
      <c r="C412" s="20" t="str">
        <v>Máy xay thực phẩm INP6701</v>
      </c>
      <c r="D412" s="2" t="str">
        <v>Cái</v>
      </c>
      <c r="E412" s="2" t="str">
        <v>1</v>
      </c>
      <c r="F412" s="2" t="str">
        <v>398148.14</v>
      </c>
      <c r="G412" s="19" t="n">
        <v>430000</v>
      </c>
      <c r="H412" s="2" t="str">
        <v>2.xlsx | 订单!Q968</v>
      </c>
    </row>
    <row r="413" ht="26" customHeight="1">
      <c r="A413" s="2" t="str">
        <v>S2-00962-BH</v>
      </c>
      <c r="B413" s="2" t="str">
        <v>INP6802</v>
      </c>
      <c r="C413" s="20" t="str">
        <v>Thùng đựng gạo inoxpran INP6802</v>
      </c>
      <c r="D413" s="2" t="str">
        <v>Thùng</v>
      </c>
      <c r="E413" s="2" t="str">
        <v>1</v>
      </c>
      <c r="F413" s="2" t="str">
        <v>787037.03</v>
      </c>
      <c r="G413" s="19" t="n">
        <v>850000</v>
      </c>
      <c r="H413" s="2" t="str">
        <v>2.xlsx | 订单!Q969</v>
      </c>
    </row>
    <row r="414" ht="26" customHeight="1">
      <c r="A414" s="2" t="str">
        <v>S2-00970-BH</v>
      </c>
      <c r="B414" s="2" t="str">
        <v>INP2101</v>
      </c>
      <c r="C414" s="20" t="str">
        <v>Chảo inox chống dính đúc nguyên khốiINP2101</v>
      </c>
      <c r="D414" s="2" t="str">
        <v>Cái</v>
      </c>
      <c r="E414" s="2" t="str">
        <v>1</v>
      </c>
      <c r="F414" s="2" t="str">
        <v>243518.52</v>
      </c>
      <c r="G414" s="19" t="n">
        <v>263000</v>
      </c>
      <c r="H414" s="2" t="str">
        <v>2.xlsx | 订单!Q970</v>
      </c>
    </row>
    <row r="415" ht="26" customHeight="1">
      <c r="A415" s="2" t="str">
        <v>S2-00970-BH</v>
      </c>
      <c r="B415" s="2" t="str">
        <v>INP2102</v>
      </c>
      <c r="C415" s="20" t="str">
        <v>Chảo inox chống dính đúc nguyên khốiINP2102</v>
      </c>
      <c r="D415" s="2" t="str">
        <v>Cái</v>
      </c>
      <c r="E415" s="2" t="str">
        <v>1</v>
      </c>
      <c r="F415" s="2" t="str">
        <v>265740.74</v>
      </c>
      <c r="G415" s="19" t="n">
        <v>287000</v>
      </c>
      <c r="H415" s="2" t="str">
        <v>2.xlsx | 订单!Q971</v>
      </c>
    </row>
    <row r="416" ht="26" customHeight="1">
      <c r="A416" s="2" t="str">
        <v>S2-00970-BH</v>
      </c>
      <c r="B416" s="2" t="str">
        <v>INP2103</v>
      </c>
      <c r="C416" s="20" t="str">
        <v>Chảo inox chống dính đúc nguyên khốiINP2103</v>
      </c>
      <c r="D416" s="2" t="str">
        <v>Cái</v>
      </c>
      <c r="E416" s="2" t="str">
        <v>1</v>
      </c>
      <c r="F416" s="2" t="str">
        <v>290740.74</v>
      </c>
      <c r="G416" s="19" t="n">
        <v>314000</v>
      </c>
      <c r="H416" s="2" t="str">
        <v>2.xlsx | 订单!Q972</v>
      </c>
    </row>
    <row r="417" ht="26" customHeight="1">
      <c r="A417" s="2" t="str">
        <v>S2-00970-BH</v>
      </c>
      <c r="B417" s="2" t="str">
        <v>INP2104</v>
      </c>
      <c r="C417" s="20" t="str">
        <v>Chảo inox chống dính đúc nguyên khối INP2104</v>
      </c>
      <c r="D417" s="2" t="str">
        <v>Cái</v>
      </c>
      <c r="E417" s="2" t="str">
        <v>1</v>
      </c>
      <c r="F417" s="2" t="str">
        <v>288888.89</v>
      </c>
      <c r="G417" s="19" t="n">
        <v>312000</v>
      </c>
      <c r="H417" s="2" t="str">
        <v>2.xlsx | 订单!Q973</v>
      </c>
    </row>
    <row r="418" ht="26" customHeight="1">
      <c r="A418" s="2" t="str">
        <v>S2-00970-BH</v>
      </c>
      <c r="B418" s="2" t="str">
        <v>INP2105</v>
      </c>
      <c r="C418" s="20" t="str">
        <v>Chảo inox đúc nguyên khối (không chống dính)INP2105</v>
      </c>
      <c r="D418" s="2" t="str">
        <v>Cái</v>
      </c>
      <c r="E418" s="2" t="str">
        <v>1</v>
      </c>
      <c r="F418" s="2" t="str">
        <v>250000</v>
      </c>
      <c r="G418" s="19" t="n">
        <v>270000</v>
      </c>
      <c r="H418" s="2" t="str">
        <v>2.xlsx | 订单!Q974</v>
      </c>
    </row>
    <row r="419" ht="26" customHeight="1">
      <c r="A419" s="2" t="str">
        <v>S2-00970-BH</v>
      </c>
      <c r="B419" s="2" t="str">
        <v>INP2106</v>
      </c>
      <c r="C419" s="20" t="str">
        <v>Chảo inox đúc nguyên khối (không chống dính)INP2106</v>
      </c>
      <c r="D419" s="2" t="str">
        <v>Cái</v>
      </c>
      <c r="E419" s="2" t="str">
        <v>1</v>
      </c>
      <c r="F419" s="2" t="str">
        <v>268518.52</v>
      </c>
      <c r="G419" s="19" t="n">
        <v>290000</v>
      </c>
      <c r="H419" s="2" t="str">
        <v>2.xlsx | 订单!Q975</v>
      </c>
    </row>
    <row r="420" ht="26" customHeight="1">
      <c r="A420" s="2" t="str">
        <v>S2-00970-BH</v>
      </c>
      <c r="B420" s="2" t="str">
        <v>INP2107</v>
      </c>
      <c r="C420" s="20" t="str">
        <v>Chảo inox đúc nguyên khối (không chống dính) INP2107</v>
      </c>
      <c r="D420" s="2" t="str">
        <v>Cái</v>
      </c>
      <c r="E420" s="2" t="str">
        <v>1</v>
      </c>
      <c r="F420" s="2" t="str">
        <v>287037.04</v>
      </c>
      <c r="G420" s="19" t="n">
        <v>310000</v>
      </c>
      <c r="H420" s="2" t="str">
        <v>2.xlsx | 订单!Q976</v>
      </c>
    </row>
    <row r="421" ht="26" customHeight="1">
      <c r="A421" s="2" t="str">
        <v>S2-00970-BH</v>
      </c>
      <c r="B421" s="2" t="str">
        <v>INP2108</v>
      </c>
      <c r="C421" s="20" t="str">
        <v>Chảo inox đúc nguyên khối (không chống dính)INP2108</v>
      </c>
      <c r="D421" s="2" t="str">
        <v>Cái</v>
      </c>
      <c r="E421" s="2" t="str">
        <v>1</v>
      </c>
      <c r="F421" s="2" t="str">
        <v>236111.11</v>
      </c>
      <c r="G421" s="19" t="n">
        <v>255000</v>
      </c>
      <c r="H421" s="2" t="str">
        <v>2.xlsx | 订单!Q977</v>
      </c>
    </row>
    <row r="422" ht="26" customHeight="1">
      <c r="A422" s="2" t="str">
        <v>S2-00970-BH</v>
      </c>
      <c r="B422" s="2" t="str">
        <v>INP2109</v>
      </c>
      <c r="C422" s="20" t="str">
        <v>Chảo inox đúc nguyên khối (không chống dính)INP2109</v>
      </c>
      <c r="D422" s="2" t="str">
        <v>Cái</v>
      </c>
      <c r="E422" s="2" t="str">
        <v>1</v>
      </c>
      <c r="F422" s="2" t="str">
        <v>250000</v>
      </c>
      <c r="G422" s="19" t="n">
        <v>270000</v>
      </c>
      <c r="H422" s="2" t="str">
        <v>2.xlsx | 订单!Q978</v>
      </c>
    </row>
    <row r="423" ht="26" customHeight="1">
      <c r="A423" s="2" t="str">
        <v>S2-00970-BH</v>
      </c>
      <c r="B423" s="2" t="str">
        <v>INP2110</v>
      </c>
      <c r="C423" s="20" t="str">
        <v>Chảo inox đúc nguyên khối (không chống dính)INP2110</v>
      </c>
      <c r="D423" s="2" t="str">
        <v>Cái</v>
      </c>
      <c r="E423" s="2" t="str">
        <v>1</v>
      </c>
      <c r="F423" s="2" t="str">
        <v>268518.52</v>
      </c>
      <c r="G423" s="19" t="n">
        <v>290000</v>
      </c>
      <c r="H423" s="2" t="str">
        <v>2.xlsx | 订单!Q979</v>
      </c>
    </row>
    <row r="424" ht="26" customHeight="1">
      <c r="A424" s="2" t="str">
        <v>S2-00970-BH</v>
      </c>
      <c r="B424" s="2" t="str">
        <v>INP2301</v>
      </c>
      <c r="C424" s="20" t="str">
        <v>Chảo rán INP2301</v>
      </c>
      <c r="D424" s="2" t="str">
        <v>Cái</v>
      </c>
      <c r="E424" s="2" t="str">
        <v>1</v>
      </c>
      <c r="F424" s="2" t="str">
        <v>416666.67</v>
      </c>
      <c r="G424" s="19" t="n">
        <v>450000</v>
      </c>
      <c r="H424" s="2" t="str">
        <v>2.xlsx | 订单!Q980</v>
      </c>
    </row>
    <row r="425" ht="26" customHeight="1">
      <c r="A425" s="2" t="str">
        <v>S2-00970-BH</v>
      </c>
      <c r="B425" s="2" t="str">
        <v>INP2202</v>
      </c>
      <c r="C425" s="20" t="str">
        <v>Nồi luộc gà inox đúc nguyên khốiINP2202</v>
      </c>
      <c r="D425" s="2" t="str">
        <v>Cái</v>
      </c>
      <c r="E425" s="2" t="str">
        <v>1</v>
      </c>
      <c r="F425" s="2" t="str">
        <v>879629.63</v>
      </c>
      <c r="G425" s="19" t="n">
        <v>950000</v>
      </c>
      <c r="H425" s="2" t="str">
        <v>2.xlsx | 订单!Q981</v>
      </c>
    </row>
    <row r="426" ht="26" customHeight="1">
      <c r="A426" s="2" t="str">
        <v>S2-00970-BH</v>
      </c>
      <c r="B426" s="2" t="str">
        <v>INP6501</v>
      </c>
      <c r="C426" s="20" t="str">
        <v>Máy làm tỏi đen đa năng INP6501</v>
      </c>
      <c r="D426" s="2" t="str">
        <v>Cái</v>
      </c>
      <c r="E426" s="2" t="str">
        <v>1</v>
      </c>
      <c r="F426" s="2" t="str">
        <v>740740.74</v>
      </c>
      <c r="G426" s="19" t="n">
        <v>800000</v>
      </c>
      <c r="H426" s="2" t="str">
        <v>2.xlsx | 订单!Q982</v>
      </c>
    </row>
    <row r="427" ht="26" customHeight="1">
      <c r="A427" s="2" t="str">
        <v>S2-00970-BH</v>
      </c>
      <c r="B427" s="2" t="str">
        <v>INP6601</v>
      </c>
      <c r="C427" s="20" t="str">
        <v>Máy sấy bát đĩa INP 6601</v>
      </c>
      <c r="D427" s="2" t="str">
        <v>Cái</v>
      </c>
      <c r="E427" s="2" t="str">
        <v>1</v>
      </c>
      <c r="F427" s="2" t="str">
        <v>1203703.7</v>
      </c>
      <c r="G427" s="19" t="n">
        <v>1300000</v>
      </c>
      <c r="H427" s="2" t="str">
        <v>2.xlsx | 订单!Q983</v>
      </c>
    </row>
    <row r="428" ht="26" customHeight="1">
      <c r="A428" s="2" t="str">
        <v>S2-00970-BH</v>
      </c>
      <c r="B428" s="2" t="str">
        <v>INP6602</v>
      </c>
      <c r="C428" s="20" t="str">
        <v>Máy sấy bát đĩa INP6602</v>
      </c>
      <c r="D428" s="2" t="str">
        <v>Cái</v>
      </c>
      <c r="E428" s="2" t="str">
        <v>1</v>
      </c>
      <c r="F428" s="2" t="str">
        <v>1361111.11</v>
      </c>
      <c r="G428" s="19" t="n">
        <v>1470000</v>
      </c>
      <c r="H428" s="2" t="str">
        <v>2.xlsx | 订单!Q984</v>
      </c>
    </row>
    <row r="429" ht="26" customHeight="1">
      <c r="A429" s="2" t="str">
        <v>S2-00988-BH</v>
      </c>
      <c r="B429" s="2" t="str">
        <v>INP6802</v>
      </c>
      <c r="C429" s="20" t="str">
        <v>Thùng đựng gạo inoxpran INP6802</v>
      </c>
      <c r="D429" s="2" t="str">
        <v>Thùng</v>
      </c>
      <c r="E429" s="2" t="str">
        <v>4</v>
      </c>
      <c r="F429" s="2" t="str">
        <v>768518.52</v>
      </c>
      <c r="G429" s="19" t="n">
        <v>3320000</v>
      </c>
      <c r="H429" s="2" t="str">
        <v>2.xlsx | 订单!Q988</v>
      </c>
    </row>
    <row r="430" ht="26" customHeight="1">
      <c r="A430" s="2" t="str">
        <v>S2-00989-BH</v>
      </c>
      <c r="B430" s="2" t="str">
        <v>INP6601</v>
      </c>
      <c r="C430" s="20" t="str">
        <v>Máy sấy bát đĩa INP 6601</v>
      </c>
      <c r="D430" s="2" t="str">
        <v>Cái </v>
      </c>
      <c r="E430" s="2" t="str">
        <v>3</v>
      </c>
      <c r="F430" s="2" t="str">
        <v>1203703.7</v>
      </c>
      <c r="G430" s="19" t="n">
        <v>3900000</v>
      </c>
      <c r="H430" s="2" t="str">
        <v>2.xlsx | 订单!Q989</v>
      </c>
    </row>
    <row r="431" ht="26" customHeight="1">
      <c r="A431" s="2" t="str">
        <v>S2-00990-BH</v>
      </c>
      <c r="B431" s="2" t="str">
        <v>INP6602</v>
      </c>
      <c r="C431" s="20" t="str">
        <v>Máy sấy bát đĩa INP6602</v>
      </c>
      <c r="D431" s="2" t="str">
        <v>Cái </v>
      </c>
      <c r="E431" s="2" t="str">
        <v>3</v>
      </c>
      <c r="F431" s="2" t="str">
        <v>1361111.11</v>
      </c>
      <c r="G431" s="19" t="n">
        <v>4410000</v>
      </c>
      <c r="H431" s="2" t="str">
        <v>2.xlsx | 订单!Q990</v>
      </c>
    </row>
    <row r="432" ht="26" customHeight="1">
      <c r="A432" s="2" t="str">
        <v>S2-00990-BH</v>
      </c>
      <c r="B432" s="2" t="str">
        <v>INP6802</v>
      </c>
      <c r="C432" s="20" t="str">
        <v>Thùng đựng gạo inoxpran INP6802</v>
      </c>
      <c r="D432" s="2" t="str">
        <v>Thùng</v>
      </c>
      <c r="E432" s="2" t="str">
        <v>5</v>
      </c>
      <c r="F432" s="2" t="str">
        <v>768518.52</v>
      </c>
      <c r="G432" s="19" t="n">
        <v>4150000</v>
      </c>
      <c r="H432" s="2" t="str">
        <v>2.xlsx | 订单!Q991</v>
      </c>
    </row>
    <row r="433" ht="26" customHeight="1">
      <c r="A433" s="2" t="str">
        <v>S2-00990-BH</v>
      </c>
      <c r="B433" s="2" t="str">
        <v>INP6802</v>
      </c>
      <c r="C433" s="20" t="str">
        <v>Thùng đựng gạo inoxpran INP6802</v>
      </c>
      <c r="D433" s="2" t="str">
        <v>Thùng</v>
      </c>
      <c r="E433" s="2" t="str">
        <v>20</v>
      </c>
      <c r="F433" s="2" t="str">
        <v>768518.52</v>
      </c>
      <c r="G433" s="19" t="n">
        <v>16600000</v>
      </c>
      <c r="H433" s="2" t="str">
        <v>2.xlsx | 订单!Q992</v>
      </c>
    </row>
    <row r="434" ht="26" customHeight="1">
      <c r="A434" s="2" t="str">
        <v>S2-00993-BH</v>
      </c>
      <c r="B434" s="2" t="str">
        <v>INP6602</v>
      </c>
      <c r="C434" s="20" t="str">
        <v>Máy sấy bát đĩa INP6602</v>
      </c>
      <c r="D434" s="2" t="str">
        <v>Cái</v>
      </c>
      <c r="E434" s="2" t="str">
        <v>7</v>
      </c>
      <c r="F434" s="2" t="str">
        <v>1361111.11</v>
      </c>
      <c r="G434" s="19" t="n">
        <v>10290000</v>
      </c>
      <c r="H434" s="2" t="str">
        <v>2.xlsx | 订单!Q993</v>
      </c>
    </row>
    <row r="435" ht="26" customHeight="1">
      <c r="A435" s="2" t="str">
        <v>S2-00994-BH</v>
      </c>
      <c r="B435" s="2" t="str">
        <v>INP6601</v>
      </c>
      <c r="C435" s="20" t="str">
        <v>Máy sấy bát đĩa INP 6601</v>
      </c>
      <c r="D435" s="2" t="str">
        <v>Cái</v>
      </c>
      <c r="E435" s="2" t="str">
        <v>3</v>
      </c>
      <c r="F435" s="2" t="str">
        <v>1203703.7</v>
      </c>
      <c r="G435" s="19" t="n">
        <v>3900000</v>
      </c>
      <c r="H435" s="2" t="str">
        <v>2.xlsx | 订单!Q994</v>
      </c>
    </row>
    <row r="436" ht="26" customHeight="1">
      <c r="A436" s="2" t="str">
        <v>S2-00994-BH</v>
      </c>
      <c r="B436" s="2" t="str">
        <v>INP6602</v>
      </c>
      <c r="C436" s="20" t="str">
        <v>Máy sấy bát đĩa INP6602</v>
      </c>
      <c r="D436" s="2" t="str">
        <v>Cái</v>
      </c>
      <c r="E436" s="2" t="str">
        <v>3</v>
      </c>
      <c r="F436" s="2" t="str">
        <v>1361111.11</v>
      </c>
      <c r="G436" s="19" t="n">
        <v>4410000</v>
      </c>
      <c r="H436" s="2" t="str">
        <v>2.xlsx | 订单!Q995</v>
      </c>
    </row>
    <row r="437" ht="26" customHeight="1">
      <c r="A437" s="2" t="str">
        <v>S2-00996-BH</v>
      </c>
      <c r="B437" s="2" t="str">
        <v>INP3001</v>
      </c>
      <c r="C437" s="20" t="str">
        <v>Nồi gang tráng menINP3001</v>
      </c>
      <c r="D437" s="2" t="str">
        <v>Cái</v>
      </c>
      <c r="E437" s="2" t="str">
        <v>5</v>
      </c>
      <c r="F437" s="2" t="str">
        <v>574074.07</v>
      </c>
      <c r="G437" s="19" t="n">
        <v>3100000</v>
      </c>
      <c r="H437" s="2" t="str">
        <v>2.xlsx | 订单!Q996</v>
      </c>
    </row>
    <row r="438" ht="26" customHeight="1">
      <c r="A438" s="2" t="str">
        <v>S2-00996-BH</v>
      </c>
      <c r="B438" s="2" t="str">
        <v>INP3002</v>
      </c>
      <c r="C438" s="20" t="str">
        <v>Nồi gang tráng menINP3002</v>
      </c>
      <c r="D438" s="2" t="str">
        <v>Cái</v>
      </c>
      <c r="E438" s="2" t="str">
        <v>2</v>
      </c>
      <c r="F438" s="2" t="str">
        <v>527777.78</v>
      </c>
      <c r="G438" s="19" t="n">
        <v>1140000</v>
      </c>
      <c r="H438" s="2" t="str">
        <v>2.xlsx | 订单!Q997</v>
      </c>
    </row>
    <row r="439" ht="26" customHeight="1">
      <c r="A439" s="2" t="str">
        <v>S2-00996-BH</v>
      </c>
      <c r="B439" s="2" t="str">
        <v>INP3003</v>
      </c>
      <c r="C439" s="20" t="str">
        <v>Nồi gang tráng menINP3003</v>
      </c>
      <c r="D439" s="2" t="str">
        <v>Cái</v>
      </c>
      <c r="E439" s="2" t="str">
        <v>4</v>
      </c>
      <c r="F439" s="2" t="str">
        <v>537037.04</v>
      </c>
      <c r="G439" s="19" t="n">
        <v>2320000</v>
      </c>
      <c r="H439" s="2" t="str">
        <v>2.xlsx | 订单!Q998</v>
      </c>
    </row>
    <row r="440" ht="26" customHeight="1">
      <c r="A440" s="2" t="str">
        <v>S2-00996-BH</v>
      </c>
      <c r="B440" s="2" t="str">
        <v>INP3004</v>
      </c>
      <c r="C440" s="20" t="str">
        <v>Nồi gang tráng menINP3004</v>
      </c>
      <c r="D440" s="2" t="str">
        <v>Cái</v>
      </c>
      <c r="E440" s="2" t="str">
        <v>5</v>
      </c>
      <c r="F440" s="2" t="str">
        <v>296296.3</v>
      </c>
      <c r="G440" s="19" t="n">
        <v>1600000</v>
      </c>
      <c r="H440" s="2" t="str">
        <v>2.xlsx | 订单!Q999</v>
      </c>
    </row>
    <row r="441" ht="26" customHeight="1">
      <c r="A441" s="2" t="str">
        <v>S2-00996-BH</v>
      </c>
      <c r="B441" s="2" t="str">
        <v>INP3005</v>
      </c>
      <c r="C441" s="20" t="str">
        <v>Nồi gang tráng menINP3005</v>
      </c>
      <c r="D441" s="2" t="str">
        <v>Cái</v>
      </c>
      <c r="E441" s="2" t="str">
        <v>10</v>
      </c>
      <c r="F441" s="2" t="str">
        <v>333333.33</v>
      </c>
      <c r="G441" s="19" t="n">
        <v>3600000</v>
      </c>
      <c r="H441" s="2" t="str">
        <v>2.xlsx | 订单!Q1000</v>
      </c>
    </row>
    <row r="442" ht="26" customHeight="1">
      <c r="A442" s="2" t="str">
        <v>S2-00996-BH</v>
      </c>
      <c r="B442" s="2" t="str">
        <v>INP3201</v>
      </c>
      <c r="C442" s="20" t="str">
        <v>Chảo gang tráng menINP3201</v>
      </c>
      <c r="D442" s="2" t="str">
        <v>Cái</v>
      </c>
      <c r="E442" s="2" t="str">
        <v>6</v>
      </c>
      <c r="F442" s="2" t="str">
        <v>240740.74</v>
      </c>
      <c r="G442" s="19" t="n">
        <v>1560000</v>
      </c>
      <c r="H442" s="2" t="str">
        <v>2.xlsx | 订单!Q1001</v>
      </c>
    </row>
    <row r="443" ht="26" customHeight="1">
      <c r="A443" s="2" t="str">
        <v>S2-01002-BH</v>
      </c>
      <c r="B443" s="2" t="str">
        <v>INP3001</v>
      </c>
      <c r="C443" s="20" t="str">
        <v>Nồi gang tráng menINP3001</v>
      </c>
      <c r="D443" s="2" t="str">
        <v>Cái</v>
      </c>
      <c r="E443" s="2" t="str">
        <v>4</v>
      </c>
      <c r="F443" s="2" t="str">
        <v>574074.07</v>
      </c>
      <c r="G443" s="19" t="n">
        <v>2480000</v>
      </c>
      <c r="H443" s="2" t="str">
        <v>2.xlsx | 订单!Q1002</v>
      </c>
    </row>
    <row r="444" ht="26" customHeight="1">
      <c r="A444" s="2" t="str">
        <v>S2-01002-BH</v>
      </c>
      <c r="B444" s="2" t="str">
        <v>INP3002</v>
      </c>
      <c r="C444" s="20" t="str">
        <v>Nồi gang tráng menINP3002</v>
      </c>
      <c r="D444" s="2" t="str">
        <v>Cái</v>
      </c>
      <c r="E444" s="2" t="str">
        <v>2</v>
      </c>
      <c r="F444" s="2" t="str">
        <v>527777.78</v>
      </c>
      <c r="G444" s="19" t="n">
        <v>1140000</v>
      </c>
      <c r="H444" s="2" t="str">
        <v>2.xlsx | 订单!Q1003</v>
      </c>
    </row>
    <row r="445" ht="26" customHeight="1">
      <c r="A445" s="2" t="str">
        <v>S2-01002-BH</v>
      </c>
      <c r="B445" s="2" t="str">
        <v>INP3003</v>
      </c>
      <c r="C445" s="20" t="str">
        <v>Nồi gang tráng menINP3003</v>
      </c>
      <c r="D445" s="2" t="str">
        <v>Cái</v>
      </c>
      <c r="E445" s="2" t="str">
        <v>2</v>
      </c>
      <c r="F445" s="2" t="str">
        <v>537037.04</v>
      </c>
      <c r="G445" s="19" t="n">
        <v>1160000</v>
      </c>
      <c r="H445" s="2" t="str">
        <v>2.xlsx | 订单!Q1004</v>
      </c>
    </row>
    <row r="446" ht="26" customHeight="1">
      <c r="A446" s="2" t="str">
        <v>S2-01002-BH</v>
      </c>
      <c r="B446" s="2" t="str">
        <v>INP3004</v>
      </c>
      <c r="C446" s="20" t="str">
        <v>Nồi gang tráng menINP3004</v>
      </c>
      <c r="D446" s="2" t="str">
        <v>Cái</v>
      </c>
      <c r="E446" s="2" t="str">
        <v>2</v>
      </c>
      <c r="F446" s="2" t="str">
        <v>296296.3</v>
      </c>
      <c r="G446" s="19" t="n">
        <v>640000</v>
      </c>
      <c r="H446" s="2" t="str">
        <v>2.xlsx | 订单!Q1005</v>
      </c>
    </row>
    <row r="447" ht="26" customHeight="1">
      <c r="A447" s="2" t="str">
        <v>S2-01002-BH</v>
      </c>
      <c r="B447" s="2" t="str">
        <v>INP3201</v>
      </c>
      <c r="C447" s="20" t="str">
        <v>Chảo gang tráng menINP3201</v>
      </c>
      <c r="D447" s="2" t="str">
        <v>Cái</v>
      </c>
      <c r="E447" s="2" t="str">
        <v>4</v>
      </c>
      <c r="F447" s="2" t="str">
        <v>240740.74</v>
      </c>
      <c r="G447" s="19" t="n">
        <v>1040000</v>
      </c>
      <c r="H447" s="2" t="str">
        <v>2.xlsx | 订单!Q1006</v>
      </c>
    </row>
    <row r="448" ht="26" customHeight="1">
      <c r="A448" s="2" t="str">
        <v>S2-01002-BH</v>
      </c>
      <c r="B448" s="2" t="str">
        <v>INP6602</v>
      </c>
      <c r="C448" s="20" t="str">
        <v>Máy sấy bát đĩa INP6602</v>
      </c>
      <c r="D448" s="2" t="str">
        <v>Cái </v>
      </c>
      <c r="E448" s="2" t="str">
        <v>3</v>
      </c>
      <c r="F448" s="2" t="str">
        <v>1361111.11</v>
      </c>
      <c r="G448" s="19" t="n">
        <v>4410000</v>
      </c>
      <c r="H448" s="2" t="str">
        <v>2.xlsx | 订单!Q1007</v>
      </c>
    </row>
    <row r="449" ht="26" customHeight="1">
      <c r="A449" s="2" t="str">
        <v>S2-01008-BH</v>
      </c>
      <c r="B449" s="2" t="str">
        <v>INP6602</v>
      </c>
      <c r="C449" s="20" t="str">
        <v>Máy sấy bát đĩa INP6602</v>
      </c>
      <c r="D449" s="2" t="str">
        <v>Cái </v>
      </c>
      <c r="E449" s="2" t="str">
        <v>3</v>
      </c>
      <c r="F449" s="2" t="str">
        <v>1361111.11</v>
      </c>
      <c r="G449" s="19" t="n">
        <v>4410000</v>
      </c>
      <c r="H449" s="2" t="str">
        <v>2.xlsx | 订单!Q1008</v>
      </c>
    </row>
    <row r="450" ht="26" customHeight="1">
      <c r="A450" s="2" t="str">
        <v>S2-01008-BH</v>
      </c>
      <c r="B450" s="2" t="str">
        <v>INP3003</v>
      </c>
      <c r="C450" s="20" t="str">
        <v>Nồi gang tráng menINP3003</v>
      </c>
      <c r="D450" s="2" t="str">
        <v>Cái</v>
      </c>
      <c r="E450" s="2" t="str">
        <v>2</v>
      </c>
      <c r="F450" s="2" t="str">
        <v>537037.04</v>
      </c>
      <c r="G450" s="19" t="n">
        <v>1160000</v>
      </c>
      <c r="H450" s="2" t="str">
        <v>2.xlsx | 订单!Q1009</v>
      </c>
    </row>
    <row r="451" ht="26" customHeight="1">
      <c r="A451" s="2" t="str">
        <v>S2-01008-BH</v>
      </c>
      <c r="B451" s="2" t="str">
        <v>INP3005</v>
      </c>
      <c r="C451" s="20" t="str">
        <v>Nồi gang tráng menINP3005</v>
      </c>
      <c r="D451" s="2" t="str">
        <v>Cái</v>
      </c>
      <c r="E451" s="2" t="str">
        <v>2</v>
      </c>
      <c r="F451" s="2" t="str">
        <v>333333.33</v>
      </c>
      <c r="G451" s="19" t="n">
        <v>720000</v>
      </c>
      <c r="H451" s="2" t="str">
        <v>2.xlsx | 订单!Q1010</v>
      </c>
    </row>
    <row r="452" ht="26" customHeight="1">
      <c r="A452" s="2" t="str">
        <v>S2-01135-BH</v>
      </c>
      <c r="B452" s="2" t="str">
        <v>INP1203</v>
      </c>
      <c r="C452" s="20" t="str">
        <v>Nồi Inox INP1203</v>
      </c>
      <c r="D452" s="2" t="str">
        <v>Nồi</v>
      </c>
      <c r="E452" s="2" t="str">
        <v>16</v>
      </c>
      <c r="F452" s="2" t="str">
        <v>407407.41</v>
      </c>
      <c r="G452" s="19" t="n">
        <v>7040000</v>
      </c>
      <c r="H452" s="2" t="str">
        <v>2.xlsx | 订单!Q1135</v>
      </c>
    </row>
    <row r="453" ht="26" customHeight="1">
      <c r="A453" s="2" t="str">
        <v>S2-01136-BH</v>
      </c>
      <c r="B453" s="2" t="str">
        <v>INP3001</v>
      </c>
      <c r="C453" s="20" t="str">
        <v>Nồi gang tráng menINP3001</v>
      </c>
      <c r="D453" s="2" t="str">
        <v>cái</v>
      </c>
      <c r="E453" s="2" t="str">
        <v>4</v>
      </c>
      <c r="F453" s="2" t="str">
        <v>574074.07</v>
      </c>
      <c r="G453" s="19" t="n">
        <v>2480000</v>
      </c>
      <c r="H453" s="2" t="str">
        <v>2.xlsx | 订单!Q1136</v>
      </c>
    </row>
    <row r="454" ht="26" customHeight="1">
      <c r="A454" s="2" t="str">
        <v>S2-01136-BH</v>
      </c>
      <c r="B454" s="2" t="str">
        <v>INP3002</v>
      </c>
      <c r="C454" s="20" t="str">
        <v>Nồi gang tráng menINP3002</v>
      </c>
      <c r="D454" s="2" t="str">
        <v>cái</v>
      </c>
      <c r="E454" s="2" t="str">
        <v>3</v>
      </c>
      <c r="F454" s="2" t="str">
        <v>527777.78</v>
      </c>
      <c r="G454" s="19" t="n">
        <v>1710000</v>
      </c>
      <c r="H454" s="2" t="str">
        <v>2.xlsx | 订单!Q1137</v>
      </c>
    </row>
    <row r="455" ht="26" customHeight="1">
      <c r="A455" s="2" t="str">
        <v>S2-01136-BH</v>
      </c>
      <c r="B455" s="2" t="str">
        <v>INP3003</v>
      </c>
      <c r="C455" s="20" t="str">
        <v>Nồi gang tráng menINP3003</v>
      </c>
      <c r="D455" s="2" t="str">
        <v>cái</v>
      </c>
      <c r="E455" s="2" t="str">
        <v>4</v>
      </c>
      <c r="F455" s="2" t="str">
        <v>537037.04</v>
      </c>
      <c r="G455" s="19" t="n">
        <v>2320000</v>
      </c>
      <c r="H455" s="2" t="str">
        <v>2.xlsx | 订单!Q1138</v>
      </c>
    </row>
    <row r="456" ht="26" customHeight="1">
      <c r="A456" s="2" t="str">
        <v>S2-01136-BH</v>
      </c>
      <c r="B456" s="2" t="str">
        <v>INP3004</v>
      </c>
      <c r="C456" s="20" t="str">
        <v>Nồi gang tráng menINP3004</v>
      </c>
      <c r="D456" s="2" t="str">
        <v>cái</v>
      </c>
      <c r="E456" s="2" t="str">
        <v>6</v>
      </c>
      <c r="F456" s="2" t="str">
        <v>296296.3</v>
      </c>
      <c r="G456" s="19" t="n">
        <v>1920000</v>
      </c>
      <c r="H456" s="2" t="str">
        <v>2.xlsx | 订单!Q1139</v>
      </c>
    </row>
    <row r="457" ht="26" customHeight="1">
      <c r="A457" s="2" t="str">
        <v>S2-01136-BH</v>
      </c>
      <c r="B457" s="2" t="str">
        <v>INP3005</v>
      </c>
      <c r="C457" s="20" t="str">
        <v>Nồi gang tráng menINP3005</v>
      </c>
      <c r="D457" s="2" t="str">
        <v>cái</v>
      </c>
      <c r="E457" s="2" t="str">
        <v>7</v>
      </c>
      <c r="F457" s="2" t="str">
        <v>333333.33</v>
      </c>
      <c r="G457" s="19" t="n">
        <v>2520000</v>
      </c>
      <c r="H457" s="2" t="str">
        <v>2.xlsx | 订单!Q1140</v>
      </c>
    </row>
    <row r="458" ht="26" customHeight="1">
      <c r="A458" s="2" t="str">
        <v>S2-01136-BH</v>
      </c>
      <c r="B458" s="2" t="str">
        <v>INP3201</v>
      </c>
      <c r="C458" s="20" t="str">
        <v>Chảo gang tráng menINP3201</v>
      </c>
      <c r="D458" s="2" t="str">
        <v>cái</v>
      </c>
      <c r="E458" s="2" t="str">
        <v>4</v>
      </c>
      <c r="F458" s="2" t="str">
        <v>240740.74</v>
      </c>
      <c r="G458" s="19" t="n">
        <v>1040000</v>
      </c>
      <c r="H458" s="2" t="str">
        <v>2.xlsx | 订单!Q1141</v>
      </c>
    </row>
    <row r="459" ht="26" customHeight="1">
      <c r="A459" s="2" t="str">
        <v>S2-01136-BH</v>
      </c>
      <c r="B459" s="2" t="str">
        <v>INP6602</v>
      </c>
      <c r="C459" s="20" t="str">
        <v>Máy sấy bát đĩa INP6602</v>
      </c>
      <c r="D459" s="2" t="str">
        <v>cái</v>
      </c>
      <c r="E459" s="2" t="str">
        <v>3</v>
      </c>
      <c r="F459" s="2" t="str">
        <v>1361111.11</v>
      </c>
      <c r="G459" s="19" t="n">
        <v>4410000</v>
      </c>
      <c r="H459" s="2" t="str">
        <v>2.xlsx | 订单!Q1142</v>
      </c>
    </row>
    <row r="460" ht="26" customHeight="1">
      <c r="A460" s="2" t="str">
        <v>S2-01291-BH</v>
      </c>
      <c r="B460" s="2" t="str">
        <v>INP1203</v>
      </c>
      <c r="C460" s="20" t="str">
        <v>Nồi Inox INP1203</v>
      </c>
      <c r="D460" s="2" t="str">
        <v>Cái</v>
      </c>
      <c r="E460" s="2" t="str">
        <v>12</v>
      </c>
      <c r="F460" s="2" t="str">
        <v>407407.41</v>
      </c>
      <c r="G460" s="19" t="n">
        <v>5280000</v>
      </c>
      <c r="H460" s="2" t="str">
        <v>2.xlsx | 订单!Q1291</v>
      </c>
    </row>
    <row r="461" ht="26" customHeight="1">
      <c r="A461" s="2" t="str">
        <v>S2-01291-BH</v>
      </c>
      <c r="B461" s="2" t="str">
        <v>INP3003</v>
      </c>
      <c r="C461" s="20" t="str">
        <v>Nồi gang tráng menINP3003</v>
      </c>
      <c r="D461" s="2" t="str">
        <v>Cái</v>
      </c>
      <c r="E461" s="2" t="str">
        <v>4</v>
      </c>
      <c r="F461" s="2" t="str">
        <v>537037.04</v>
      </c>
      <c r="G461" s="19" t="n">
        <v>2320000</v>
      </c>
      <c r="H461" s="2" t="str">
        <v>2.xlsx | 订单!Q1292</v>
      </c>
    </row>
    <row r="462" ht="26" customHeight="1">
      <c r="A462" s="2" t="str">
        <v>S2-01325-BH</v>
      </c>
      <c r="B462" s="2" t="str">
        <v>INP3201</v>
      </c>
      <c r="C462" s="20" t="str">
        <v>Chảo gang tráng menINP3201</v>
      </c>
      <c r="D462" s="2" t="str">
        <v>Cái</v>
      </c>
      <c r="E462" s="2" t="str">
        <v>30</v>
      </c>
      <c r="F462" s="2" t="str">
        <v>240740.74</v>
      </c>
      <c r="G462" s="19" t="n">
        <v>7800000</v>
      </c>
      <c r="H462" s="2" t="str">
        <v>2.xlsx | 订单!Q1325</v>
      </c>
    </row>
    <row r="463" ht="26" customHeight="1">
      <c r="A463" s="2" t="str">
        <v>S2-01325-BH</v>
      </c>
      <c r="B463" s="2" t="str">
        <v>INP3001</v>
      </c>
      <c r="C463" s="20" t="str">
        <v>Nồi gang tráng menINP3001</v>
      </c>
      <c r="D463" s="2" t="str">
        <v>Cái</v>
      </c>
      <c r="E463" s="2" t="str">
        <v>12</v>
      </c>
      <c r="F463" s="2" t="str">
        <v>574074.07</v>
      </c>
      <c r="G463" s="19" t="n">
        <v>7440000</v>
      </c>
      <c r="H463" s="2" t="str">
        <v>2.xlsx | 订单!Q1326</v>
      </c>
    </row>
    <row r="464" ht="26" customHeight="1">
      <c r="A464" s="2" t="str">
        <v>S2-01325-BH</v>
      </c>
      <c r="B464" s="2" t="str">
        <v>INP3004</v>
      </c>
      <c r="C464" s="20" t="str">
        <v>Nồi gang tráng menINP3004</v>
      </c>
      <c r="D464" s="2" t="str">
        <v>Cái</v>
      </c>
      <c r="E464" s="2" t="str">
        <v>20</v>
      </c>
      <c r="F464" s="2" t="str">
        <v>296296.3</v>
      </c>
      <c r="G464" s="19" t="n">
        <v>6400000</v>
      </c>
      <c r="H464" s="2" t="str">
        <v>2.xlsx | 订单!Q1327</v>
      </c>
    </row>
    <row r="465" ht="26" customHeight="1">
      <c r="A465" s="2" t="str">
        <v>S2-01325-BH</v>
      </c>
      <c r="B465" s="2" t="str">
        <v>INP3005</v>
      </c>
      <c r="C465" s="20" t="str">
        <v>Nồi gang tráng menINP3005</v>
      </c>
      <c r="D465" s="2" t="str">
        <v>Cái</v>
      </c>
      <c r="E465" s="2" t="str">
        <v>30</v>
      </c>
      <c r="F465" s="2" t="str">
        <v>333333.33</v>
      </c>
      <c r="G465" s="19" t="n">
        <v>10800000</v>
      </c>
      <c r="H465" s="2" t="str">
        <v>2.xlsx | 订单!Q1328</v>
      </c>
    </row>
    <row r="466" ht="26" customHeight="1">
      <c r="A466" s="2" t="str">
        <v>S2-01325-BH</v>
      </c>
      <c r="B466" s="2" t="str">
        <v>INP1203</v>
      </c>
      <c r="C466" s="20" t="str">
        <v>Nồi Inox INP1203</v>
      </c>
      <c r="D466" s="2" t="str">
        <v>Cái</v>
      </c>
      <c r="E466" s="2" t="str">
        <v>24</v>
      </c>
      <c r="F466" s="2" t="str">
        <v>407407.41</v>
      </c>
      <c r="G466" s="19" t="n">
        <v>10560000</v>
      </c>
      <c r="H466" s="2" t="str">
        <v>2.xlsx | 订单!Q1329</v>
      </c>
    </row>
    <row r="467" ht="26" customHeight="1">
      <c r="A467" s="2" t="str">
        <v>S2-01346-BH</v>
      </c>
      <c r="B467" s="2" t="str">
        <v>INP3201</v>
      </c>
      <c r="C467" s="20" t="str">
        <v>Chảo gang tráng menINP3201</v>
      </c>
      <c r="D467" s="2" t="str">
        <v>Cái</v>
      </c>
      <c r="E467" s="2" t="str">
        <v>12</v>
      </c>
      <c r="F467" s="2" t="str">
        <v>240740.74</v>
      </c>
      <c r="G467" s="19" t="n">
        <v>3120000</v>
      </c>
      <c r="H467" s="2" t="str">
        <v>2.xlsx | 订单!Q1346</v>
      </c>
    </row>
    <row r="468" ht="26" customHeight="1">
      <c r="A468" s="2" t="str">
        <v>S2-01346-BH</v>
      </c>
      <c r="B468" s="2" t="str">
        <v>INP3202</v>
      </c>
      <c r="C468" s="20" t="str">
        <v>Chảo gang tráng menINP3202</v>
      </c>
      <c r="D468" s="2" t="str">
        <v>Cái</v>
      </c>
      <c r="E468" s="2" t="str">
        <v>40</v>
      </c>
      <c r="F468" s="2" t="str">
        <v>342592.59</v>
      </c>
      <c r="G468" s="19" t="n">
        <v>14800000</v>
      </c>
      <c r="H468" s="2" t="str">
        <v>2.xlsx | 订单!Q1347</v>
      </c>
    </row>
    <row r="469" ht="26" customHeight="1">
      <c r="A469" s="2" t="str">
        <v>S2-01346-BH</v>
      </c>
      <c r="B469" s="2" t="str">
        <v>INP6701</v>
      </c>
      <c r="C469" s="20" t="str">
        <v>Máy xay thực phẩm INP6701</v>
      </c>
      <c r="D469" s="2" t="str">
        <v>Cái</v>
      </c>
      <c r="E469" s="2" t="str">
        <v>8</v>
      </c>
      <c r="F469" s="2" t="str">
        <v>388888.89</v>
      </c>
      <c r="G469" s="19" t="n">
        <v>3360000</v>
      </c>
      <c r="H469" s="2" t="str">
        <v>2.xlsx | 订单!Q1348</v>
      </c>
    </row>
    <row r="470" ht="26" customHeight="1">
      <c r="A470" s="2" t="str">
        <v>S2-01389-BH</v>
      </c>
      <c r="B470" s="2" t="str">
        <v>INP3202</v>
      </c>
      <c r="C470" s="20" t="str">
        <v>Chảo gang tráng menINP3202</v>
      </c>
      <c r="D470" s="2" t="str">
        <v>Cái</v>
      </c>
      <c r="E470" s="2" t="str">
        <v>12</v>
      </c>
      <c r="F470" s="2" t="str">
        <v>342592.59</v>
      </c>
      <c r="G470" s="19" t="n">
        <v>4440000</v>
      </c>
      <c r="H470" s="2" t="str">
        <v>2.xlsx | 订单!Q1389</v>
      </c>
    </row>
    <row r="471" ht="26" customHeight="1">
      <c r="A471" s="2" t="str">
        <v>S2-01389-BH</v>
      </c>
      <c r="B471" s="2" t="str">
        <v>INP1203</v>
      </c>
      <c r="C471" s="20" t="str">
        <v>Nồi Inox INP1203</v>
      </c>
      <c r="D471" s="2" t="str">
        <v>Cái</v>
      </c>
      <c r="E471" s="2" t="str">
        <v>16</v>
      </c>
      <c r="F471" s="2" t="str">
        <v>407407.41</v>
      </c>
      <c r="G471" s="19" t="n">
        <v>7040000</v>
      </c>
      <c r="H471" s="2" t="str">
        <v>2.xlsx | 订单!Q1390</v>
      </c>
    </row>
    <row r="472" ht="26" customHeight="1">
      <c r="A472" s="2" t="str">
        <v>S2-01389-BH</v>
      </c>
      <c r="B472" s="2" t="str">
        <v>INP3001</v>
      </c>
      <c r="C472" s="20" t="str">
        <v>Nồi gang tráng menINP3001</v>
      </c>
      <c r="D472" s="2" t="str">
        <v>Cái</v>
      </c>
      <c r="E472" s="2" t="str">
        <v>8</v>
      </c>
      <c r="F472" s="2" t="str">
        <v>574074.07</v>
      </c>
      <c r="G472" s="19" t="n">
        <v>4960000</v>
      </c>
      <c r="H472" s="2" t="str">
        <v>2.xlsx | 订单!Q1391</v>
      </c>
    </row>
    <row r="473" ht="26" customHeight="1">
      <c r="A473" s="2" t="str">
        <v>S2-01389-BH</v>
      </c>
      <c r="B473" s="2" t="str">
        <v>INP3002</v>
      </c>
      <c r="C473" s="20" t="str">
        <v>Nồi gang tráng menINP3002</v>
      </c>
      <c r="D473" s="2" t="str">
        <v>Cái</v>
      </c>
      <c r="E473" s="2" t="str">
        <v>12</v>
      </c>
      <c r="F473" s="2" t="str">
        <v>527777.78</v>
      </c>
      <c r="G473" s="19" t="n">
        <v>6840000</v>
      </c>
      <c r="H473" s="2" t="str">
        <v>2.xlsx | 订单!Q1392</v>
      </c>
    </row>
    <row r="474" ht="26" customHeight="1">
      <c r="A474" s="2" t="str">
        <v>S2-01544-BH</v>
      </c>
      <c r="B474" s="2" t="str">
        <v>INP3201</v>
      </c>
      <c r="C474" s="20" t="str">
        <v>Chảo gang tráng menINP3201</v>
      </c>
      <c r="D474" s="2" t="str">
        <v>Cái</v>
      </c>
      <c r="E474" s="2" t="str">
        <v>4</v>
      </c>
      <c r="F474" s="2" t="str">
        <v>240740.74</v>
      </c>
      <c r="G474" s="19" t="n">
        <v>1040000</v>
      </c>
      <c r="H474" s="2" t="str">
        <v>2.xlsx | 订单!Q1544</v>
      </c>
    </row>
    <row r="475" ht="26" customHeight="1">
      <c r="A475" s="2" t="str">
        <v>S2-01544-BH</v>
      </c>
      <c r="B475" s="2" t="str">
        <v>INP3202</v>
      </c>
      <c r="C475" s="20" t="str">
        <v>Chảo gang tráng menINP3202</v>
      </c>
      <c r="D475" s="2" t="str">
        <v>Cái</v>
      </c>
      <c r="E475" s="2" t="str">
        <v>4</v>
      </c>
      <c r="F475" s="2" t="str">
        <v>342592.59</v>
      </c>
      <c r="G475" s="19" t="n">
        <v>1480000</v>
      </c>
      <c r="H475" s="2" t="str">
        <v>2.xlsx | 订单!Q1545</v>
      </c>
    </row>
    <row r="476" ht="26" customHeight="1">
      <c r="A476" s="2" t="str">
        <v>S2-01544-BH</v>
      </c>
      <c r="B476" s="2" t="str">
        <v>INP3001</v>
      </c>
      <c r="C476" s="20" t="str">
        <v>Nồi gang tráng menINP3001</v>
      </c>
      <c r="D476" s="2" t="str">
        <v>Cái</v>
      </c>
      <c r="E476" s="2" t="str">
        <v>4</v>
      </c>
      <c r="F476" s="2" t="str">
        <v>574074.07</v>
      </c>
      <c r="G476" s="19" t="n">
        <v>2480000</v>
      </c>
      <c r="H476" s="2" t="str">
        <v>2.xlsx | 订单!Q1546</v>
      </c>
    </row>
    <row r="477" ht="26" customHeight="1">
      <c r="A477" s="2" t="str">
        <v>S2-01544-BH</v>
      </c>
      <c r="B477" s="2" t="str">
        <v>INP3002</v>
      </c>
      <c r="C477" s="20" t="str">
        <v>Nồi gang tráng menINP3002</v>
      </c>
      <c r="D477" s="2" t="str">
        <v>Cái</v>
      </c>
      <c r="E477" s="2" t="str">
        <v>18</v>
      </c>
      <c r="F477" s="2" t="str">
        <v>527777.78</v>
      </c>
      <c r="G477" s="19" t="n">
        <v>10260000</v>
      </c>
      <c r="H477" s="2" t="str">
        <v>2.xlsx | 订单!Q1547</v>
      </c>
    </row>
    <row r="478" ht="26" customHeight="1">
      <c r="A478" s="2" t="str">
        <v>S2-01544-BH</v>
      </c>
      <c r="B478" s="2" t="str">
        <v>INP3003</v>
      </c>
      <c r="C478" s="20" t="str">
        <v>Nồi gang tráng menINP3003</v>
      </c>
      <c r="D478" s="2" t="str">
        <v>Cái</v>
      </c>
      <c r="E478" s="2" t="str">
        <v>4</v>
      </c>
      <c r="F478" s="2" t="str">
        <v>537037.04</v>
      </c>
      <c r="G478" s="19" t="n">
        <v>2320000</v>
      </c>
      <c r="H478" s="2" t="str">
        <v>2.xlsx | 订单!Q1548</v>
      </c>
    </row>
    <row r="479" ht="26" customHeight="1">
      <c r="A479" s="2" t="str">
        <v>S2-01544-BH</v>
      </c>
      <c r="B479" s="2" t="str">
        <v>INP3004</v>
      </c>
      <c r="C479" s="20" t="str">
        <v>Nồi gang tráng menINP3004</v>
      </c>
      <c r="D479" s="2" t="str">
        <v>Cái</v>
      </c>
      <c r="E479" s="2" t="str">
        <v>12</v>
      </c>
      <c r="F479" s="2" t="str">
        <v>296296.3</v>
      </c>
      <c r="G479" s="19" t="n">
        <v>3840000</v>
      </c>
      <c r="H479" s="2" t="str">
        <v>2.xlsx | 订单!Q1549</v>
      </c>
    </row>
    <row r="480" ht="26" customHeight="1">
      <c r="A480" s="2" t="str">
        <v>S2-01544-BH</v>
      </c>
      <c r="B480" s="2" t="str">
        <v>INP3005</v>
      </c>
      <c r="C480" s="20" t="str">
        <v>Nồi gang tráng menINP3005</v>
      </c>
      <c r="D480" s="2" t="str">
        <v>Cái</v>
      </c>
      <c r="E480" s="2" t="str">
        <v>8</v>
      </c>
      <c r="F480" s="2" t="str">
        <v>333333.33</v>
      </c>
      <c r="G480" s="19" t="n">
        <v>2880000</v>
      </c>
      <c r="H480" s="2" t="str">
        <v>2.xlsx | 订单!Q1550</v>
      </c>
    </row>
    <row r="481" ht="26" customHeight="1">
      <c r="A481" s="2" t="str">
        <v>S2-01544-BH</v>
      </c>
      <c r="B481" s="2" t="str">
        <v>INP1203</v>
      </c>
      <c r="C481" s="20" t="str">
        <v>Nồi Inox INP1203</v>
      </c>
      <c r="D481" s="2" t="str">
        <v>Cái</v>
      </c>
      <c r="E481" s="2" t="str">
        <v>12</v>
      </c>
      <c r="F481" s="2" t="str">
        <v>407407.41</v>
      </c>
      <c r="G481" s="19" t="n">
        <v>5280000</v>
      </c>
      <c r="H481" s="2" t="str">
        <v>2.xlsx | 订单!Q1551</v>
      </c>
    </row>
    <row r="482" ht="26" customHeight="1">
      <c r="A482" s="2" t="str">
        <v>S2-01586-BH</v>
      </c>
      <c r="B482" s="2" t="str">
        <v>INP3201</v>
      </c>
      <c r="C482" s="20" t="str">
        <v>Chảo gang tráng menINP3201</v>
      </c>
      <c r="D482" s="2" t="str">
        <v>Cái</v>
      </c>
      <c r="E482" s="2" t="str">
        <v>4</v>
      </c>
      <c r="F482" s="2" t="str">
        <v>240740.74</v>
      </c>
      <c r="G482" s="19" t="n">
        <v>1040000</v>
      </c>
      <c r="H482" s="2" t="str">
        <v>2.xlsx | 订单!Q1586</v>
      </c>
    </row>
    <row r="483" ht="26" customHeight="1">
      <c r="A483" s="2" t="str">
        <v>S2-01586-BH</v>
      </c>
      <c r="B483" s="2" t="str">
        <v>INP3001</v>
      </c>
      <c r="C483" s="20" t="str">
        <v>Nồi gang tráng menINP3001</v>
      </c>
      <c r="D483" s="2" t="str">
        <v>Cái</v>
      </c>
      <c r="E483" s="2" t="str">
        <v>4</v>
      </c>
      <c r="F483" s="2" t="str">
        <v>574074.07</v>
      </c>
      <c r="G483" s="19" t="n">
        <v>2480000</v>
      </c>
      <c r="H483" s="2" t="str">
        <v>2.xlsx | 订单!Q1587</v>
      </c>
    </row>
    <row r="484" ht="26" customHeight="1">
      <c r="A484" s="2" t="str">
        <v>S2-01586-BH</v>
      </c>
      <c r="B484" s="2" t="str">
        <v>INP3002</v>
      </c>
      <c r="C484" s="20" t="str">
        <v>Nồi gang tráng menINP3002</v>
      </c>
      <c r="D484" s="2" t="str">
        <v>Cái</v>
      </c>
      <c r="E484" s="2" t="str">
        <v>4</v>
      </c>
      <c r="F484" s="2" t="str">
        <v>527777.78</v>
      </c>
      <c r="G484" s="19" t="n">
        <v>2280000</v>
      </c>
      <c r="H484" s="2" t="str">
        <v>2.xlsx | 订单!Q1588</v>
      </c>
    </row>
    <row r="485" ht="26" customHeight="1">
      <c r="A485" s="2" t="str">
        <v>S2-01586-BH</v>
      </c>
      <c r="B485" s="2" t="str">
        <v>INP3003</v>
      </c>
      <c r="C485" s="20" t="str">
        <v>Nồi gang tráng menINP3003</v>
      </c>
      <c r="D485" s="2" t="str">
        <v>Cái</v>
      </c>
      <c r="E485" s="2" t="str">
        <v>4</v>
      </c>
      <c r="F485" s="2" t="str">
        <v>537037.04</v>
      </c>
      <c r="G485" s="19" t="n">
        <v>2320000</v>
      </c>
      <c r="H485" s="2" t="str">
        <v>2.xlsx | 订单!Q1589</v>
      </c>
    </row>
    <row r="486" ht="26" customHeight="1">
      <c r="A486" s="2" t="str">
        <v>S2-01586-BH</v>
      </c>
      <c r="B486" s="2" t="str">
        <v>INP3004</v>
      </c>
      <c r="C486" s="20" t="str">
        <v>Nồi gang tráng menINP3004</v>
      </c>
      <c r="D486" s="2" t="str">
        <v>Cái</v>
      </c>
      <c r="E486" s="2" t="str">
        <v>12</v>
      </c>
      <c r="F486" s="2" t="str">
        <v>296296.3</v>
      </c>
      <c r="G486" s="19" t="n">
        <v>3840000</v>
      </c>
      <c r="H486" s="2" t="str">
        <v>2.xlsx | 订单!Q1590</v>
      </c>
    </row>
    <row r="487" ht="26" customHeight="1">
      <c r="A487" s="2" t="str">
        <v>S2-01586-BH</v>
      </c>
      <c r="B487" s="2" t="str">
        <v>INP3005</v>
      </c>
      <c r="C487" s="20" t="str">
        <v>Nồi gang tráng menINP3005</v>
      </c>
      <c r="D487" s="2" t="str">
        <v>Cái</v>
      </c>
      <c r="E487" s="2" t="str">
        <v>16</v>
      </c>
      <c r="F487" s="2" t="str">
        <v>333333.33</v>
      </c>
      <c r="G487" s="19" t="n">
        <v>5760000</v>
      </c>
      <c r="H487" s="2" t="str">
        <v>2.xlsx | 订单!Q1591</v>
      </c>
    </row>
    <row r="488" ht="26" customHeight="1">
      <c r="A488" s="2" t="str">
        <v>S2-01586-BH</v>
      </c>
      <c r="B488" s="2" t="str">
        <v>INP1203</v>
      </c>
      <c r="C488" s="20" t="str">
        <v>Nồi Inox INP1203</v>
      </c>
      <c r="D488" s="2" t="str">
        <v>Cái</v>
      </c>
      <c r="E488" s="2" t="str">
        <v>8</v>
      </c>
      <c r="F488" s="2" t="str">
        <v>407407.41</v>
      </c>
      <c r="G488" s="19" t="n">
        <v>3520000</v>
      </c>
      <c r="H488" s="2" t="str">
        <v>2.xlsx | 订单!Q1592</v>
      </c>
    </row>
    <row r="489" ht="26" customHeight="1">
      <c r="A489" s="2" t="str">
        <v>S2-01603-BH</v>
      </c>
      <c r="B489" s="2" t="str">
        <v>INP3202</v>
      </c>
      <c r="C489" s="20" t="str">
        <v>Chảo gang tráng menINP3202</v>
      </c>
      <c r="D489" s="2" t="str">
        <v>Cái</v>
      </c>
      <c r="E489" s="2" t="str">
        <v>4</v>
      </c>
      <c r="F489" s="2" t="str">
        <v>342592.59</v>
      </c>
      <c r="G489" s="19" t="n">
        <v>1480000</v>
      </c>
      <c r="H489" s="2" t="str">
        <v>2.xlsx | 订单!Q1603</v>
      </c>
    </row>
    <row r="490" ht="26" customHeight="1">
      <c r="A490" s="2" t="str">
        <v>S2-01603-BH</v>
      </c>
      <c r="B490" s="2" t="str">
        <v>INP3001</v>
      </c>
      <c r="C490" s="20" t="str">
        <v>Nồi gang tráng menINP3001</v>
      </c>
      <c r="D490" s="2" t="str">
        <v>Cái</v>
      </c>
      <c r="E490" s="2" t="str">
        <v>4</v>
      </c>
      <c r="F490" s="2" t="str">
        <v>574074.07</v>
      </c>
      <c r="G490" s="19" t="n">
        <v>2480000</v>
      </c>
      <c r="H490" s="2" t="str">
        <v>2.xlsx | 订单!Q1604</v>
      </c>
    </row>
    <row r="491" ht="26" customHeight="1">
      <c r="A491" s="2" t="str">
        <v>S2-01603-BH</v>
      </c>
      <c r="B491" s="2" t="str">
        <v>INP3004</v>
      </c>
      <c r="C491" s="20" t="str">
        <v>Nồi gang tráng menINP3004</v>
      </c>
      <c r="D491" s="2" t="str">
        <v>Cái</v>
      </c>
      <c r="E491" s="2" t="str">
        <v>4</v>
      </c>
      <c r="F491" s="2" t="str">
        <v>296296.3</v>
      </c>
      <c r="G491" s="19" t="n">
        <v>1280000</v>
      </c>
      <c r="H491" s="2" t="str">
        <v>2.xlsx | 订单!Q1605</v>
      </c>
    </row>
    <row r="492" ht="26" customHeight="1">
      <c r="A492" s="2" t="str">
        <v>S2-01603-BH</v>
      </c>
      <c r="B492" s="2" t="str">
        <v>INP3005</v>
      </c>
      <c r="C492" s="20" t="str">
        <v>Nồi gang tráng menINP3005</v>
      </c>
      <c r="D492" s="2" t="str">
        <v>Cái</v>
      </c>
      <c r="E492" s="2" t="str">
        <v>4</v>
      </c>
      <c r="F492" s="2" t="str">
        <v>333333.33</v>
      </c>
      <c r="G492" s="19" t="n">
        <v>1440000</v>
      </c>
      <c r="H492" s="2" t="str">
        <v>2.xlsx | 订单!Q1606</v>
      </c>
    </row>
    <row r="493" ht="26" customHeight="1">
      <c r="A493" s="2" t="str">
        <v>S2-01603-BH</v>
      </c>
      <c r="B493" s="2" t="str">
        <v>INP6601</v>
      </c>
      <c r="C493" s="20" t="str">
        <v>Máy sấy bát đĩa INP6601</v>
      </c>
      <c r="D493" s="2" t="str">
        <v>Cái</v>
      </c>
      <c r="E493" s="2" t="str">
        <v>3</v>
      </c>
      <c r="F493" s="2" t="str">
        <v>1203703.7</v>
      </c>
      <c r="G493" s="19" t="n">
        <v>3900000</v>
      </c>
      <c r="H493" s="2" t="str">
        <v>2.xlsx | 订单!Q1607</v>
      </c>
    </row>
    <row r="494" ht="26" customHeight="1">
      <c r="A494" s="2" t="str">
        <v>S2-01286-BH</v>
      </c>
      <c r="B494" s="2" t="str">
        <v>INP6403</v>
      </c>
      <c r="C494" s="20" t="str">
        <v>Quạt điện đứng INP6403</v>
      </c>
      <c r="D494" s="2" t="str">
        <v>Cái</v>
      </c>
      <c r="E494" s="2" t="str">
        <v>2</v>
      </c>
      <c r="F494" s="2" t="str">
        <v>740740.74</v>
      </c>
      <c r="G494" s="19" t="n">
        <v>1600000</v>
      </c>
      <c r="H494" s="2" t="str">
        <v>2.xlsx | 订单!Q1286</v>
      </c>
    </row>
    <row r="495" ht="26" customHeight="1">
      <c r="A495" s="2" t="str">
        <v>S2-01837-BH</v>
      </c>
      <c r="B495" s="2" t="str">
        <v>INP1502</v>
      </c>
      <c r="C495" s="20" t="str">
        <v>Ấm đun nước 4L INP1502</v>
      </c>
      <c r="D495" s="2" t="str">
        <v>Cái</v>
      </c>
      <c r="E495" s="2" t="str">
        <v>12</v>
      </c>
      <c r="F495" s="2" t="str">
        <v>138888.89</v>
      </c>
      <c r="G495" s="19" t="n">
        <v>1800000</v>
      </c>
      <c r="H495" s="2" t="str">
        <v>2.xlsx | 订单!Q1837</v>
      </c>
    </row>
    <row r="496" ht="26" customHeight="1">
      <c r="A496" s="2" t="str">
        <v>S2-01837-BH</v>
      </c>
      <c r="B496" s="2" t="str">
        <v>INP1503</v>
      </c>
      <c r="C496" s="20" t="str">
        <v>Ấm đun nước 5L INP1503</v>
      </c>
      <c r="D496" s="2" t="str">
        <v>Cái</v>
      </c>
      <c r="E496" s="2" t="str">
        <v>12</v>
      </c>
      <c r="F496" s="2" t="str">
        <v>148148.15</v>
      </c>
      <c r="G496" s="19" t="n">
        <v>1920000</v>
      </c>
      <c r="H496" s="2" t="str">
        <v>2.xlsx | 订单!Q1838</v>
      </c>
    </row>
    <row r="497" ht="26" customHeight="1">
      <c r="A497" s="2" t="str">
        <v>S2-01954-BH</v>
      </c>
      <c r="B497" s="2" t="str">
        <v>INP1503</v>
      </c>
      <c r="C497" s="20" t="str">
        <v>Ấm đun nước 5L INP1503</v>
      </c>
      <c r="D497" s="2" t="str">
        <v>Cái</v>
      </c>
      <c r="E497" s="2" t="str">
        <v>12</v>
      </c>
      <c r="F497" s="2" t="str">
        <v>148148.15</v>
      </c>
      <c r="G497" s="19" t="n">
        <v>1920000</v>
      </c>
      <c r="H497" s="2" t="str">
        <v>2.xlsx | 订单!Q1954</v>
      </c>
    </row>
    <row r="498" ht="26" customHeight="1">
      <c r="A498" s="2" t="str">
        <v>S2-02074-BH</v>
      </c>
      <c r="B498" s="2" t="str">
        <v>INP1501</v>
      </c>
      <c r="C498" s="20" t="str">
        <v>Ấm Đun Nước 3L INP1501</v>
      </c>
      <c r="D498" s="2" t="str">
        <v>Cái</v>
      </c>
      <c r="E498" s="2" t="str">
        <v>12</v>
      </c>
      <c r="F498" s="2" t="str">
        <v>129629.63</v>
      </c>
      <c r="G498" s="19" t="n">
        <v>1680000.01</v>
      </c>
      <c r="H498" s="2" t="str">
        <v>2.xlsx | 订单!Q2074</v>
      </c>
    </row>
    <row r="499" ht="26" customHeight="1">
      <c r="A499" s="2" t="str">
        <v>S2-02074-BH</v>
      </c>
      <c r="B499" s="2" t="str">
        <v>INP1502</v>
      </c>
      <c r="C499" s="20" t="str">
        <v>Ấm Đun Nước 4L INP1502</v>
      </c>
      <c r="D499" s="2" t="str">
        <v>Cái</v>
      </c>
      <c r="E499" s="2" t="str">
        <v>12</v>
      </c>
      <c r="F499" s="2" t="str">
        <v>138888.89</v>
      </c>
      <c r="G499" s="19" t="n">
        <v>1800000.01</v>
      </c>
      <c r="H499" s="2" t="str">
        <v>2.xlsx | 订单!Q2075</v>
      </c>
    </row>
    <row r="500" ht="26" customHeight="1">
      <c r="A500" s="2" t="str">
        <v>S2-02074-BH</v>
      </c>
      <c r="B500" s="2" t="str">
        <v>INP1503</v>
      </c>
      <c r="C500" s="20" t="str">
        <v>Ấm đun nước 5L INP1503</v>
      </c>
      <c r="D500" s="2" t="str">
        <v>Cái</v>
      </c>
      <c r="E500" s="2" t="str">
        <v>12</v>
      </c>
      <c r="F500" s="2" t="str">
        <v>148148.15</v>
      </c>
      <c r="G500" s="19" t="n">
        <v>1920000.02</v>
      </c>
      <c r="H500" s="2" t="str">
        <v>2.xlsx | 订单!Q2076</v>
      </c>
    </row>
    <row r="501" ht="26" customHeight="1">
      <c r="A501" s="2" t="str">
        <v>S2-00494-BH</v>
      </c>
      <c r="B501" s="2" t="str">
        <v>INP1001</v>
      </c>
      <c r="C501" s="20" t="str">
        <v>Bộ nồi inox INP1001</v>
      </c>
      <c r="D501" s="2" t="str"/>
      <c r="E501" s="2" t="str">
        <v>6</v>
      </c>
      <c r="F501" s="2" t="str">
        <v>480555.56</v>
      </c>
      <c r="G501" s="19" t="n">
        <v>3114000</v>
      </c>
      <c r="H501" s="2" t="str">
        <v>2.xlsx | 订单!Q494</v>
      </c>
    </row>
    <row r="502" ht="26" customHeight="1">
      <c r="A502" s="2" t="str">
        <v>S2-00494-BH</v>
      </c>
      <c r="B502" s="2" t="str">
        <v>INP1301</v>
      </c>
      <c r="C502" s="20" t="str">
        <v>Nồi mã INP1301</v>
      </c>
      <c r="D502" s="2" t="str"/>
      <c r="E502" s="2" t="str">
        <v>10</v>
      </c>
      <c r="F502" s="2" t="str">
        <v>78703.7</v>
      </c>
      <c r="G502" s="19" t="n">
        <v>850000</v>
      </c>
      <c r="H502" s="2" t="str">
        <v>2.xlsx | 订单!Q495</v>
      </c>
    </row>
    <row r="503" ht="26" customHeight="1">
      <c r="A503" s="2" t="str">
        <v>S2-00494-BH</v>
      </c>
      <c r="B503" s="2" t="str">
        <v>INP1401</v>
      </c>
      <c r="C503" s="20" t="str">
        <v>Nồi áp suất 4.5L INP1401</v>
      </c>
      <c r="D503" s="2" t="str">
        <v>Cái</v>
      </c>
      <c r="E503" s="2" t="str">
        <v>2</v>
      </c>
      <c r="F503" s="2" t="str">
        <v>824074.07</v>
      </c>
      <c r="G503" s="19" t="n">
        <v>1780000</v>
      </c>
      <c r="H503" s="2" t="str">
        <v>2.xlsx | 订单!Q496</v>
      </c>
    </row>
    <row r="504" ht="26" customHeight="1">
      <c r="A504" s="2" t="str">
        <v>S2-00494-BH</v>
      </c>
      <c r="B504" s="2" t="str">
        <v>INP1402</v>
      </c>
      <c r="C504" s="20" t="str">
        <v>Nồi áp suất 6L INP1402</v>
      </c>
      <c r="D504" s="2" t="str"/>
      <c r="E504" s="2" t="str">
        <v>2</v>
      </c>
      <c r="F504" s="2" t="str">
        <v>937962.96</v>
      </c>
      <c r="G504" s="19" t="n">
        <v>2026000</v>
      </c>
      <c r="H504" s="2" t="str">
        <v>2.xlsx | 订单!Q497</v>
      </c>
    </row>
    <row r="505" ht="26" customHeight="1">
      <c r="A505" s="2" t="str">
        <v>S2-00494-BH</v>
      </c>
      <c r="B505" s="2" t="str">
        <v>INP1501</v>
      </c>
      <c r="C505" s="20" t="str">
        <v>Ấm đun nước 3L INP1501</v>
      </c>
      <c r="D505" s="2" t="str"/>
      <c r="E505" s="2" t="str">
        <v>4</v>
      </c>
      <c r="F505" s="2" t="str">
        <v>111111.11</v>
      </c>
      <c r="G505" s="19" t="n">
        <v>480000</v>
      </c>
      <c r="H505" s="2" t="str">
        <v>2.xlsx | 订单!Q498</v>
      </c>
    </row>
    <row r="506" ht="26" customHeight="1">
      <c r="A506" s="2" t="str">
        <v>S2-00494-BH</v>
      </c>
      <c r="B506" s="2" t="str">
        <v>INP1502</v>
      </c>
      <c r="C506" s="20" t="str">
        <v>Ấm đun nước 4L INP1502</v>
      </c>
      <c r="D506" s="2" t="str"/>
      <c r="E506" s="2" t="str">
        <v>4</v>
      </c>
      <c r="F506" s="2" t="str">
        <v>120370.37</v>
      </c>
      <c r="G506" s="19" t="n">
        <v>520000</v>
      </c>
      <c r="H506" s="2" t="str">
        <v>2.xlsx | 订单!Q499</v>
      </c>
    </row>
    <row r="507" ht="26" customHeight="1">
      <c r="A507" s="2" t="str">
        <v>S2-00494-BH</v>
      </c>
      <c r="B507" s="2" t="str">
        <v>INP1503</v>
      </c>
      <c r="C507" s="20" t="str">
        <v>Ấm đun nước 5L INP1503</v>
      </c>
      <c r="D507" s="2" t="str"/>
      <c r="E507" s="2" t="str">
        <v>4</v>
      </c>
      <c r="F507" s="2" t="str">
        <v>129629.63</v>
      </c>
      <c r="G507" s="19" t="n">
        <v>560000</v>
      </c>
      <c r="H507" s="2" t="str">
        <v>2.xlsx | 订单!Q500</v>
      </c>
    </row>
    <row r="508" ht="26" customHeight="1">
      <c r="A508" s="2" t="str">
        <v>S2-00494-BH</v>
      </c>
      <c r="B508" s="2" t="str">
        <v>INP2103</v>
      </c>
      <c r="C508" s="20" t="str">
        <v> Chảo inox chống dính đúc nguyên khốiINP2103</v>
      </c>
      <c r="D508" s="2" t="str"/>
      <c r="E508" s="2" t="str">
        <v>10</v>
      </c>
      <c r="F508" s="2" t="str">
        <v>281481.48</v>
      </c>
      <c r="G508" s="19" t="n">
        <v>3040000</v>
      </c>
      <c r="H508" s="2" t="str">
        <v>2.xlsx | 订单!Q501</v>
      </c>
    </row>
    <row r="509" ht="26" customHeight="1">
      <c r="A509" s="2" t="str">
        <v>S2-00494-BH</v>
      </c>
      <c r="B509" s="2" t="str">
        <v>INP2110</v>
      </c>
      <c r="C509" s="20" t="str">
        <v>Chảo inox đúc nguyên khối (không chống dính)INP2110</v>
      </c>
      <c r="D509" s="2" t="str"/>
      <c r="E509" s="2" t="str">
        <v>10</v>
      </c>
      <c r="F509" s="2" t="str">
        <v>259259.26</v>
      </c>
      <c r="G509" s="19" t="n">
        <v>2800000</v>
      </c>
      <c r="H509" s="2" t="str">
        <v>2.xlsx | 订单!Q502</v>
      </c>
    </row>
    <row r="510" ht="26" customHeight="1">
      <c r="A510" s="2" t="str">
        <v>S2-00494-BH</v>
      </c>
      <c r="B510" s="2" t="str">
        <v>INP2111</v>
      </c>
      <c r="C510" s="20" t="str">
        <v>Chảo inox đúc nguyên khối (không chống dính)INP2111</v>
      </c>
      <c r="D510" s="2" t="str"/>
      <c r="E510" s="2" t="str">
        <v>10</v>
      </c>
      <c r="F510" s="2" t="str">
        <v>277777.78</v>
      </c>
      <c r="G510" s="19" t="n">
        <v>3000000</v>
      </c>
      <c r="H510" s="2" t="str">
        <v>2.xlsx | 订单!Q503</v>
      </c>
    </row>
    <row r="511" ht="26" customHeight="1">
      <c r="A511" s="2" t="str">
        <v>S2-00494-BH</v>
      </c>
      <c r="B511" s="2" t="str">
        <v>INP2202</v>
      </c>
      <c r="C511" s="20" t="str">
        <v>Nồi luộc gà inox đúc nguyên khốiINP2202</v>
      </c>
      <c r="D511" s="2" t="str"/>
      <c r="E511" s="2" t="str">
        <v>4</v>
      </c>
      <c r="F511" s="2" t="str">
        <v>844444.44</v>
      </c>
      <c r="G511" s="19" t="n">
        <v>3648000</v>
      </c>
      <c r="H511" s="2" t="str">
        <v>2.xlsx | 订单!Q504</v>
      </c>
    </row>
    <row r="512" ht="26" customHeight="1">
      <c r="A512" s="2" t="str">
        <v>S2-00505-BH</v>
      </c>
      <c r="B512" s="2" t="str">
        <v>INP6001</v>
      </c>
      <c r="C512" s="20" t="str">
        <v>Nồi cơm điện tử (Nồi cơm điện đa năng giảm đường) INP6001</v>
      </c>
      <c r="D512" s="2" t="str"/>
      <c r="E512" s="2" t="str">
        <v>4</v>
      </c>
      <c r="F512" s="2" t="str">
        <v>1138888.89</v>
      </c>
      <c r="G512" s="19" t="n">
        <v>4920000</v>
      </c>
      <c r="H512" s="2" t="str">
        <v>2.xlsx | 订单!Q505</v>
      </c>
    </row>
    <row r="513" ht="26" customHeight="1">
      <c r="A513" s="2" t="str">
        <v>S2-00506-BH</v>
      </c>
      <c r="B513" s="2" t="str">
        <v>INP6002</v>
      </c>
      <c r="C513" s="20" t="str">
        <v>Nồi cơm điện tử (Nồi cơm điện đa năng giảm đường) INP6002</v>
      </c>
      <c r="D513" s="2" t="str"/>
      <c r="E513" s="2" t="str">
        <v>4</v>
      </c>
      <c r="F513" s="2" t="str">
        <v>1097222.22</v>
      </c>
      <c r="G513" s="19" t="n">
        <v>4740000</v>
      </c>
      <c r="H513" s="2" t="str">
        <v>2.xlsx | 订单!Q506</v>
      </c>
    </row>
    <row r="514" ht="26" customHeight="1">
      <c r="A514" s="2" t="str">
        <v>S2-00507-BH</v>
      </c>
      <c r="B514" s="2" t="str">
        <v>INP6003</v>
      </c>
      <c r="C514" s="20" t="str">
        <v>Nồi cơm điện tử (Nồi cơm điện đa năng giảm đường) INP6003</v>
      </c>
      <c r="D514" s="2" t="str"/>
      <c r="E514" s="2" t="str">
        <v>4</v>
      </c>
      <c r="F514" s="2" t="str">
        <v>851851.85</v>
      </c>
      <c r="G514" s="19" t="n">
        <v>3680000</v>
      </c>
      <c r="H514" s="2" t="str">
        <v>2.xlsx | 订单!Q507</v>
      </c>
    </row>
    <row r="515" ht="26" customHeight="1">
      <c r="A515" s="2" t="str">
        <v>S2-00508-BH</v>
      </c>
      <c r="B515" s="2" t="str">
        <v>INP6204</v>
      </c>
      <c r="C515" s="20" t="str">
        <v>Ấm đun nước INP6204, 1.0L</v>
      </c>
      <c r="D515" s="2" t="str"/>
      <c r="E515" s="2" t="str">
        <v>12</v>
      </c>
      <c r="F515" s="2" t="str">
        <v>284259.26</v>
      </c>
      <c r="G515" s="19" t="n">
        <v>3684000</v>
      </c>
      <c r="H515" s="2" t="str">
        <v>2.xlsx | 订单!Q508</v>
      </c>
    </row>
    <row r="516" ht="26" customHeight="1">
      <c r="A516" s="2" t="str">
        <v>S2-00508-BH</v>
      </c>
      <c r="B516" s="2" t="str">
        <v>INP6202</v>
      </c>
      <c r="C516" s="20" t="str">
        <v>Ấm điện siêu tốc INP6202 1,7 lít màu đen</v>
      </c>
      <c r="D516" s="2" t="str"/>
      <c r="E516" s="2" t="str">
        <v>12</v>
      </c>
      <c r="F516" s="2" t="str">
        <v>325925.93</v>
      </c>
      <c r="G516" s="19" t="n">
        <v>4224000</v>
      </c>
      <c r="H516" s="2" t="str">
        <v>2.xlsx | 订单!Q509</v>
      </c>
    </row>
    <row r="517" ht="26" customHeight="1">
      <c r="A517" s="2" t="str">
        <v>S2-00510-BH</v>
      </c>
      <c r="B517" s="2" t="str">
        <v>INP6101</v>
      </c>
      <c r="C517" s="20" t="str">
        <v>Bếp từ đơn INP6101( 2200W, mặt kính màu sữa )</v>
      </c>
      <c r="D517" s="2" t="str"/>
      <c r="E517" s="2" t="str">
        <v>6</v>
      </c>
      <c r="F517" s="2" t="str">
        <v>601851.85</v>
      </c>
      <c r="G517" s="19" t="n">
        <v>3900000</v>
      </c>
      <c r="H517" s="2" t="str">
        <v>2.xlsx | 订单!Q510</v>
      </c>
    </row>
    <row r="518" ht="26" customHeight="1">
      <c r="A518" s="2" t="str">
        <v>S2-00513-BH</v>
      </c>
      <c r="B518" s="2" t="str">
        <v>INP1402</v>
      </c>
      <c r="C518" s="20" t="str">
        <v>Nồi áp suất 6L INP1402</v>
      </c>
      <c r="D518" s="2" t="str"/>
      <c r="E518" s="2" t="str">
        <v>6</v>
      </c>
      <c r="F518" s="2" t="str">
        <v>937962.96</v>
      </c>
      <c r="G518" s="19" t="n">
        <v>6078000</v>
      </c>
      <c r="H518" s="2" t="str">
        <v>2.xlsx | 订单!Q513</v>
      </c>
    </row>
    <row r="519" ht="26" customHeight="1">
      <c r="A519" s="2" t="str">
        <v>S2-00513-BH</v>
      </c>
      <c r="B519" s="2" t="str">
        <v>INP1501</v>
      </c>
      <c r="C519" s="20" t="str">
        <v>Ấm đun nước 3L INP1501</v>
      </c>
      <c r="D519" s="2" t="str"/>
      <c r="E519" s="2" t="str">
        <v>12</v>
      </c>
      <c r="F519" s="2" t="str">
        <v>111111.11</v>
      </c>
      <c r="G519" s="19" t="n">
        <v>1440000</v>
      </c>
      <c r="H519" s="2" t="str">
        <v>2.xlsx | 订单!Q514</v>
      </c>
    </row>
    <row r="520" ht="26" customHeight="1">
      <c r="A520" s="2" t="str">
        <v>S2-00513-BH</v>
      </c>
      <c r="B520" s="2" t="str">
        <v>INP1502</v>
      </c>
      <c r="C520" s="20" t="str">
        <v>Ấm đun nước 4L INP1502</v>
      </c>
      <c r="D520" s="2" t="str"/>
      <c r="E520" s="2" t="str">
        <v>12</v>
      </c>
      <c r="F520" s="2" t="str">
        <v>120370.37</v>
      </c>
      <c r="G520" s="19" t="n">
        <v>1560000</v>
      </c>
      <c r="H520" s="2" t="str">
        <v>2.xlsx | 订单!Q515</v>
      </c>
    </row>
    <row r="521" ht="26" customHeight="1">
      <c r="A521" s="2" t="str">
        <v>S2-00513-BH</v>
      </c>
      <c r="B521" s="2" t="str">
        <v>INP1503</v>
      </c>
      <c r="C521" s="20" t="str">
        <v>Ấm đun nước 5L INP1503</v>
      </c>
      <c r="D521" s="2" t="str"/>
      <c r="E521" s="2" t="str">
        <v>12</v>
      </c>
      <c r="F521" s="2" t="str">
        <v>129629.63</v>
      </c>
      <c r="G521" s="19" t="n">
        <v>1680000</v>
      </c>
      <c r="H521" s="2" t="str">
        <v>2.xlsx | 订单!Q516</v>
      </c>
    </row>
    <row r="522" ht="26" customHeight="1">
      <c r="A522" s="2" t="str">
        <v>S2-00517-BH</v>
      </c>
      <c r="B522" s="2" t="str">
        <v>INP6101</v>
      </c>
      <c r="C522" s="20" t="str">
        <v>Bếp từ đơn INP6101( 2200W, mặt kính màu sữa )</v>
      </c>
      <c r="D522" s="2" t="str"/>
      <c r="E522" s="2" t="str">
        <v>12</v>
      </c>
      <c r="F522" s="2" t="str">
        <v>601851.85</v>
      </c>
      <c r="G522" s="19" t="n">
        <v>7800000</v>
      </c>
      <c r="H522" s="2" t="str">
        <v>2.xlsx | 订单!Q517</v>
      </c>
    </row>
    <row r="523" ht="26" customHeight="1">
      <c r="A523" s="2" t="str">
        <v>S2-00518-BH</v>
      </c>
      <c r="B523" s="2" t="str">
        <v>INP1301</v>
      </c>
      <c r="C523" s="20" t="str">
        <v>Nồi mã INP1301</v>
      </c>
      <c r="D523" s="2" t="str"/>
      <c r="E523" s="2" t="str">
        <v>20</v>
      </c>
      <c r="F523" s="2" t="str">
        <v>78703.7</v>
      </c>
      <c r="G523" s="19" t="n">
        <v>1700000</v>
      </c>
      <c r="H523" s="2" t="str">
        <v>2.xlsx | 订单!Q518</v>
      </c>
    </row>
    <row r="524" ht="26" customHeight="1">
      <c r="A524" s="2" t="str">
        <v>S2-00523-BH</v>
      </c>
      <c r="B524" s="2" t="str">
        <v>INP1301</v>
      </c>
      <c r="C524" s="20" t="str">
        <v>Nồi mã INP1301</v>
      </c>
      <c r="D524" s="2" t="str"/>
      <c r="E524" s="2" t="str">
        <v>20</v>
      </c>
      <c r="F524" s="2" t="str">
        <v>78703.7</v>
      </c>
      <c r="G524" s="19" t="n">
        <v>1700000</v>
      </c>
      <c r="H524" s="2" t="str">
        <v>2.xlsx | 订单!Q523</v>
      </c>
    </row>
    <row r="525" ht="26" customHeight="1">
      <c r="A525" s="2" t="str">
        <v>S2-00524-BH</v>
      </c>
      <c r="B525" s="2" t="str">
        <v>INP6001</v>
      </c>
      <c r="C525" s="20" t="str">
        <v>Nồi cơm điện tử (Nồi cơm điện đa năng giảm đường) INP6001</v>
      </c>
      <c r="D525" s="2" t="str"/>
      <c r="E525" s="2" t="str">
        <v>4</v>
      </c>
      <c r="F525" s="2" t="str">
        <v>1138888.89</v>
      </c>
      <c r="G525" s="19" t="n">
        <v>4920000</v>
      </c>
      <c r="H525" s="2" t="str">
        <v>2.xlsx | 订单!Q524</v>
      </c>
    </row>
    <row r="526" ht="26" customHeight="1">
      <c r="A526" s="2" t="str">
        <v>S2-00524-BH</v>
      </c>
      <c r="B526" s="2" t="str">
        <v>INP6003</v>
      </c>
      <c r="C526" s="20" t="str">
        <v>Nồi cơm điện tử (Nồi cơm điện đa năng giảm đường) INP6003</v>
      </c>
      <c r="D526" s="2" t="str"/>
      <c r="E526" s="2" t="str">
        <v>4</v>
      </c>
      <c r="F526" s="2" t="str">
        <v>851851.85</v>
      </c>
      <c r="G526" s="19" t="n">
        <v>3680000</v>
      </c>
      <c r="H526" s="2" t="str">
        <v>2.xlsx | 订单!Q525</v>
      </c>
    </row>
    <row r="527" ht="26" customHeight="1">
      <c r="A527" s="2" t="str">
        <v>S2-00524-BH</v>
      </c>
      <c r="B527" s="2" t="str">
        <v>INP2105</v>
      </c>
      <c r="C527" s="20" t="str">
        <v>Chảo inox đúc nguyên khối (không chống dính)INP2105</v>
      </c>
      <c r="D527" s="2" t="str"/>
      <c r="E527" s="2" t="str">
        <v>10</v>
      </c>
      <c r="F527" s="2" t="str">
        <v>240740.74</v>
      </c>
      <c r="G527" s="19" t="n">
        <v>2600000</v>
      </c>
      <c r="H527" s="2" t="str">
        <v>2.xlsx | 订单!Q526</v>
      </c>
    </row>
    <row r="528" ht="26" customHeight="1">
      <c r="A528" s="2" t="str">
        <v>S2-00527-BH</v>
      </c>
      <c r="B528" s="2" t="str">
        <v>INP6202</v>
      </c>
      <c r="C528" s="20" t="str">
        <v>Ấm điện siêu tốc INP6202 1,7 lít màu đen</v>
      </c>
      <c r="D528" s="2" t="str"/>
      <c r="E528" s="2" t="str">
        <v>24</v>
      </c>
      <c r="F528" s="2" t="str">
        <v>325925.93</v>
      </c>
      <c r="G528" s="19" t="n">
        <v>8448000</v>
      </c>
      <c r="H528" s="2" t="str">
        <v>2.xlsx | 订单!Q527</v>
      </c>
    </row>
    <row r="529" ht="26" customHeight="1">
      <c r="A529" s="2" t="str">
        <v>S2-00528-BH</v>
      </c>
      <c r="B529" s="2" t="str">
        <v>INP6202</v>
      </c>
      <c r="C529" s="20" t="str">
        <v>Ấm điện siêu tốc INP6202 1,7 lít màu đen</v>
      </c>
      <c r="D529" s="2" t="str"/>
      <c r="E529" s="2" t="str">
        <v>20</v>
      </c>
      <c r="F529" s="2" t="str">
        <v>325925.93</v>
      </c>
      <c r="G529" s="19" t="n">
        <v>7040000</v>
      </c>
      <c r="H529" s="2" t="str">
        <v>2.xlsx | 订单!Q528</v>
      </c>
    </row>
    <row r="530" ht="26" customHeight="1">
      <c r="A530" s="2" t="str">
        <v>S2-00531-BH</v>
      </c>
      <c r="B530" s="2" t="str">
        <v>INP2001</v>
      </c>
      <c r="C530" s="20" t="str">
        <v>Bộ nồi inox đúc nguyên khối INP2001</v>
      </c>
      <c r="D530" s="2" t="str"/>
      <c r="E530" s="2" t="str">
        <v>4</v>
      </c>
      <c r="F530" s="2" t="str">
        <v>1043518.52</v>
      </c>
      <c r="G530" s="19" t="n">
        <v>4508000</v>
      </c>
      <c r="H530" s="2" t="str">
        <v>2.xlsx | 订单!Q531</v>
      </c>
    </row>
    <row r="531" ht="26" customHeight="1">
      <c r="A531" s="2" t="str">
        <v>S2-00531-BH</v>
      </c>
      <c r="B531" s="2" t="str">
        <v>INP2002</v>
      </c>
      <c r="C531" s="20" t="str">
        <v>Bộ nồi inox INP2002</v>
      </c>
      <c r="D531" s="2" t="str"/>
      <c r="E531" s="2" t="str">
        <v>4</v>
      </c>
      <c r="F531" s="2" t="str">
        <v>851851.85</v>
      </c>
      <c r="G531" s="19" t="n">
        <v>3680000</v>
      </c>
      <c r="H531" s="2" t="str">
        <v>2.xlsx | 订单!Q532</v>
      </c>
    </row>
    <row r="532" ht="26" customHeight="1">
      <c r="A532" s="2" t="str">
        <v>S2-00531-BH</v>
      </c>
      <c r="B532" s="2" t="str">
        <v>INP2103</v>
      </c>
      <c r="C532" s="20" t="str">
        <v>Chảo inox chống dính đúc nguyên khốiINP2103</v>
      </c>
      <c r="D532" s="2" t="str"/>
      <c r="E532" s="2" t="str">
        <v>10</v>
      </c>
      <c r="F532" s="2" t="str">
        <v>281481.48</v>
      </c>
      <c r="G532" s="19" t="n">
        <v>3040000</v>
      </c>
      <c r="H532" s="2" t="str">
        <v>2.xlsx | 订单!Q533</v>
      </c>
    </row>
    <row r="533" ht="26" customHeight="1">
      <c r="A533" s="2" t="str">
        <v>S2-00531-BH</v>
      </c>
      <c r="B533" s="2" t="str">
        <v>INP2104</v>
      </c>
      <c r="C533" s="20" t="str">
        <v>Chảo inox chống dính đúc nguyên khốiINP2104</v>
      </c>
      <c r="D533" s="2" t="str"/>
      <c r="E533" s="2" t="str">
        <v>10</v>
      </c>
      <c r="F533" s="2" t="str">
        <v>298148.15</v>
      </c>
      <c r="G533" s="19" t="n">
        <v>3220000</v>
      </c>
      <c r="H533" s="2" t="str">
        <v>2.xlsx | 订单!Q534</v>
      </c>
    </row>
    <row r="534" ht="26" customHeight="1">
      <c r="A534" s="2" t="str">
        <v>S2-00531-BH</v>
      </c>
      <c r="B534" s="2" t="str">
        <v>INP6002</v>
      </c>
      <c r="C534" s="20" t="str">
        <v>Nồi cơm điện tử (Nồi cơm điện đa năng giảm đường) INP6002</v>
      </c>
      <c r="D534" s="2" t="str"/>
      <c r="E534" s="2" t="str">
        <v>4</v>
      </c>
      <c r="F534" s="2" t="str">
        <v>1097222.22</v>
      </c>
      <c r="G534" s="19" t="n">
        <v>4740000</v>
      </c>
      <c r="H534" s="2" t="str">
        <v>2.xlsx | 订单!Q535</v>
      </c>
    </row>
    <row r="535" ht="26" customHeight="1">
      <c r="A535" s="2" t="str">
        <v>S2-00538-BH</v>
      </c>
      <c r="B535" s="2" t="str">
        <v>INP2103</v>
      </c>
      <c r="C535" s="20" t="str">
        <v>Chảo inox chống dính đúc nguyên khốiINP2103</v>
      </c>
      <c r="D535" s="2" t="str"/>
      <c r="E535" s="2" t="str">
        <v>10</v>
      </c>
      <c r="F535" s="2" t="str">
        <v>281481.48</v>
      </c>
      <c r="G535" s="19" t="n">
        <v>3040000</v>
      </c>
      <c r="H535" s="2" t="str">
        <v>2.xlsx | 订单!Q538</v>
      </c>
    </row>
    <row r="536" ht="26" customHeight="1">
      <c r="A536" s="2" t="str">
        <v>S2-00538-BH</v>
      </c>
      <c r="B536" s="2" t="str">
        <v>INP2104</v>
      </c>
      <c r="C536" s="20" t="str">
        <v>Chảo inox chống dính đúc nguyên khốiINP2104</v>
      </c>
      <c r="D536" s="2" t="str"/>
      <c r="E536" s="2" t="str">
        <v>10</v>
      </c>
      <c r="F536" s="2" t="str">
        <v>298148.15</v>
      </c>
      <c r="G536" s="19" t="n">
        <v>3220000</v>
      </c>
      <c r="H536" s="2" t="str">
        <v>2.xlsx | 订单!Q539</v>
      </c>
    </row>
    <row r="537" ht="26" customHeight="1">
      <c r="A537" s="2" t="str">
        <v>S2-00540-BH</v>
      </c>
      <c r="B537" s="2" t="str">
        <v>INP6902</v>
      </c>
      <c r="C537" s="20" t="str">
        <v>Nồi áp suất điện INP6902</v>
      </c>
      <c r="D537" s="2" t="str"/>
      <c r="E537" s="2" t="str">
        <v>10</v>
      </c>
      <c r="F537" s="2" t="str">
        <v>814814.81</v>
      </c>
      <c r="G537" s="19" t="n">
        <v>8800000</v>
      </c>
      <c r="H537" s="2" t="str">
        <v>2.xlsx | 订单!Q540</v>
      </c>
    </row>
    <row r="538" ht="26" customHeight="1">
      <c r="A538" s="2" t="str">
        <v>S2-00542-BH</v>
      </c>
      <c r="B538" s="2" t="str">
        <v>INP2107</v>
      </c>
      <c r="C538" s="20" t="str">
        <v>Chảo inox đúc nguyên khối (không chống dính) INP2107</v>
      </c>
      <c r="D538" s="2" t="str"/>
      <c r="E538" s="2" t="str">
        <v>10</v>
      </c>
      <c r="F538" s="2" t="str">
        <v>277777.78</v>
      </c>
      <c r="G538" s="19" t="n">
        <v>3000000</v>
      </c>
      <c r="H538" s="2" t="str">
        <v>2.xlsx | 订单!Q542</v>
      </c>
    </row>
    <row r="539" ht="26" customHeight="1">
      <c r="A539" s="2" t="str">
        <v>S2-00542-BH</v>
      </c>
      <c r="B539" s="2" t="str">
        <v>INP2104</v>
      </c>
      <c r="C539" s="20" t="str">
        <v>Chảo inox đúc nguyên khối (không chống dính) INP2104</v>
      </c>
      <c r="D539" s="2" t="str"/>
      <c r="E539" s="2" t="str">
        <v>30</v>
      </c>
      <c r="F539" s="2" t="str">
        <v>298148.15</v>
      </c>
      <c r="G539" s="19" t="n">
        <v>9660000</v>
      </c>
      <c r="H539" s="2" t="str">
        <v>2.xlsx | 订单!Q543</v>
      </c>
    </row>
    <row r="540" ht="26" customHeight="1">
      <c r="A540" s="2" t="str">
        <v>S2-00542-BH</v>
      </c>
      <c r="B540" s="2" t="str">
        <v>INP2106</v>
      </c>
      <c r="C540" s="20" t="str">
        <v>Chảo inox đúc nguyên khối (không chống dính) INP2106</v>
      </c>
      <c r="D540" s="2" t="str"/>
      <c r="E540" s="2" t="str">
        <v>10</v>
      </c>
      <c r="F540" s="2" t="str">
        <v>259259.26</v>
      </c>
      <c r="G540" s="19" t="n">
        <v>2800000</v>
      </c>
      <c r="H540" s="2" t="str">
        <v>2.xlsx | 订单!Q544</v>
      </c>
    </row>
    <row r="541" ht="26" customHeight="1">
      <c r="A541" s="2" t="str">
        <v>S2-01033-BH</v>
      </c>
      <c r="B541" s="2" t="str">
        <v>INP6006</v>
      </c>
      <c r="C541" s="20" t="str">
        <v>Nồi cơm điện INP6006 (1,2L)</v>
      </c>
      <c r="D541" s="2" t="str">
        <v>cái</v>
      </c>
      <c r="E541" s="2" t="str">
        <v>23</v>
      </c>
      <c r="F541" s="2" t="str">
        <v>527777.78</v>
      </c>
      <c r="G541" s="19" t="n">
        <v>13110000</v>
      </c>
      <c r="H541" s="2" t="str">
        <v>2.xlsx | 订单!Q1033</v>
      </c>
    </row>
    <row r="542" ht="26" customHeight="1">
      <c r="A542" s="2" t="str">
        <v>S2-01034-BH</v>
      </c>
      <c r="B542" s="2" t="str">
        <v>INP6007</v>
      </c>
      <c r="C542" s="20" t="str">
        <v>Nồi cơm điện INP6</v>
      </c>
      <c r="D542" s="2" t="str">
        <v>cái</v>
      </c>
      <c r="E542" s="2" t="str">
        <v>22</v>
      </c>
      <c r="F542" s="2" t="str">
        <v>629629.63</v>
      </c>
      <c r="G542" s="19" t="n">
        <v>14960000</v>
      </c>
      <c r="H542" s="2" t="str">
        <v>2.xlsx | 订单!Q1034</v>
      </c>
    </row>
    <row r="543" ht="26" customHeight="1">
      <c r="A543" s="2" t="str">
        <v>S2-01034-BH</v>
      </c>
      <c r="B543" s="2" t="str">
        <v>INP6902</v>
      </c>
      <c r="C543" s="20" t="str">
        <v>Nồi áp suất điện INP6902</v>
      </c>
      <c r="D543" s="2" t="str">
        <v>cái</v>
      </c>
      <c r="E543" s="2" t="str">
        <v>12</v>
      </c>
      <c r="F543" s="2" t="str">
        <v>814814.81</v>
      </c>
      <c r="G543" s="19" t="n">
        <v>10560000</v>
      </c>
      <c r="H543" s="2" t="str">
        <v>2.xlsx | 订单!Q1035</v>
      </c>
    </row>
    <row r="544" ht="26" customHeight="1">
      <c r="A544" s="2" t="str">
        <v>S2-01034-BH</v>
      </c>
      <c r="B544" s="2" t="str">
        <v>INP6105</v>
      </c>
      <c r="C544" s="20" t="str">
        <v>Bếp từ đơn INP6105</v>
      </c>
      <c r="D544" s="2" t="str">
        <v>cái</v>
      </c>
      <c r="E544" s="2" t="str">
        <v>6</v>
      </c>
      <c r="F544" s="2" t="str">
        <v>675925.93</v>
      </c>
      <c r="G544" s="19" t="n">
        <v>4380000</v>
      </c>
      <c r="H544" s="2" t="str">
        <v>2.xlsx | 订单!Q1036</v>
      </c>
    </row>
    <row r="545" ht="26" customHeight="1">
      <c r="A545" s="2" t="str">
        <v>S2-01209-BH</v>
      </c>
      <c r="B545" s="2" t="str">
        <v>INP6006</v>
      </c>
      <c r="C545" s="20" t="str">
        <v>Nồi cơm điện INP6006 (1,2L)</v>
      </c>
      <c r="D545" s="2" t="str">
        <v>Cái </v>
      </c>
      <c r="E545" s="2" t="str">
        <v>30</v>
      </c>
      <c r="F545" s="2" t="str">
        <v>527777.78</v>
      </c>
      <c r="G545" s="19" t="n">
        <v>17100000</v>
      </c>
      <c r="H545" s="2" t="str">
        <v>2.xlsx | 订单!Q1209</v>
      </c>
    </row>
    <row r="546" ht="26" customHeight="1">
      <c r="A546" s="2" t="str">
        <v>S2-01209-BH</v>
      </c>
      <c r="B546" s="2" t="str">
        <v>INP6007</v>
      </c>
      <c r="C546" s="20" t="str">
        <v>Nồi cơm điện INP6007 (1,8L)</v>
      </c>
      <c r="D546" s="2" t="str">
        <v>Cái </v>
      </c>
      <c r="E546" s="2" t="str">
        <v>30</v>
      </c>
      <c r="F546" s="2" t="str">
        <v>629629.63</v>
      </c>
      <c r="G546" s="19" t="n">
        <v>20400000</v>
      </c>
      <c r="H546" s="2" t="str">
        <v>2.xlsx | 订单!Q1210</v>
      </c>
    </row>
    <row r="547" ht="26" customHeight="1">
      <c r="A547" s="2" t="str">
        <v>S2-01209-BH</v>
      </c>
      <c r="B547" s="2" t="str">
        <v>INP6010</v>
      </c>
      <c r="C547" s="20" t="str">
        <v>Nồi cơm điện INP6010 (1,2L)</v>
      </c>
      <c r="D547" s="2" t="str">
        <v>Cái </v>
      </c>
      <c r="E547" s="2" t="str">
        <v>15</v>
      </c>
      <c r="F547" s="2" t="str">
        <v>481481.48</v>
      </c>
      <c r="G547" s="19" t="n">
        <v>7800000</v>
      </c>
      <c r="H547" s="2" t="str">
        <v>2.xlsx | 订单!Q1211</v>
      </c>
    </row>
    <row r="548" ht="26" customHeight="1">
      <c r="A548" s="2" t="str">
        <v>S2-01209-BH</v>
      </c>
      <c r="B548" s="2" t="str">
        <v>INP6011</v>
      </c>
      <c r="C548" s="20" t="str">
        <v>Nồi cơm điện INP6011 (1,8L)</v>
      </c>
      <c r="D548" s="2" t="str">
        <v>Cái </v>
      </c>
      <c r="E548" s="2" t="str">
        <v>15</v>
      </c>
      <c r="F548" s="2" t="str">
        <v>574074.07</v>
      </c>
      <c r="G548" s="19" t="n">
        <v>9300000</v>
      </c>
      <c r="H548" s="2" t="str">
        <v>2.xlsx | 订单!Q1212</v>
      </c>
    </row>
    <row r="549" ht="26" customHeight="1">
      <c r="A549" s="2" t="str">
        <v>S2-01209-BH</v>
      </c>
      <c r="B549" s="2" t="str">
        <v>INP2202</v>
      </c>
      <c r="C549" s="20" t="str">
        <v>Nồi luộc gà inox đúc nguyên khốiINP2202</v>
      </c>
      <c r="D549" s="2" t="str">
        <v>Cái </v>
      </c>
      <c r="E549" s="2" t="str">
        <v>4</v>
      </c>
      <c r="F549" s="2" t="str">
        <v>844444.44</v>
      </c>
      <c r="G549" s="19" t="n">
        <v>3648000</v>
      </c>
      <c r="H549" s="2" t="str">
        <v>2.xlsx | 订单!Q1217</v>
      </c>
    </row>
    <row r="550" ht="26" customHeight="1">
      <c r="A550" s="2" t="str">
        <v>S2-01381-BH</v>
      </c>
      <c r="B550" s="2" t="str">
        <v>INP6006</v>
      </c>
      <c r="C550" s="20" t="str">
        <v>Nồi cơm điện INP6006 (1,2L)</v>
      </c>
      <c r="D550" s="2" t="str">
        <v>Cái</v>
      </c>
      <c r="E550" s="2" t="str">
        <v>15</v>
      </c>
      <c r="F550" s="2" t="str">
        <v>527777.78</v>
      </c>
      <c r="G550" s="19" t="n">
        <v>8550000</v>
      </c>
      <c r="H550" s="2" t="str">
        <v>2.xlsx | 订单!Q1381</v>
      </c>
    </row>
    <row r="551" ht="26" customHeight="1">
      <c r="A551" s="2" t="str">
        <v>S2-01381-BH</v>
      </c>
      <c r="B551" s="2" t="str">
        <v>INP6007</v>
      </c>
      <c r="C551" s="20" t="str">
        <v>Nồi cơm điện INP6007 (1,8L)</v>
      </c>
      <c r="D551" s="2" t="str">
        <v>Cái</v>
      </c>
      <c r="E551" s="2" t="str">
        <v>2</v>
      </c>
      <c r="F551" s="2" t="str">
        <v>629629.63</v>
      </c>
      <c r="G551" s="19" t="n">
        <v>1360000</v>
      </c>
      <c r="H551" s="2" t="str">
        <v>2.xlsx | 订单!Q1382</v>
      </c>
    </row>
    <row r="552" ht="26" customHeight="1">
      <c r="A552" s="2" t="str">
        <v>S2-01381-BH</v>
      </c>
      <c r="B552" s="2" t="str">
        <v>INP6105</v>
      </c>
      <c r="C552" s="20" t="str">
        <v>Bếp từ đơn INP6105</v>
      </c>
      <c r="D552" s="2" t="str">
        <v>Cái</v>
      </c>
      <c r="E552" s="2" t="str">
        <v>12</v>
      </c>
      <c r="F552" s="2" t="str">
        <v>675925.93</v>
      </c>
      <c r="G552" s="19" t="n">
        <v>8760000</v>
      </c>
      <c r="H552" s="2" t="str">
        <v>2.xlsx | 订单!Q1384</v>
      </c>
    </row>
    <row r="553" ht="26" customHeight="1">
      <c r="A553" s="2" t="str">
        <v>S2-01381-BH</v>
      </c>
      <c r="B553" s="2" t="str">
        <v>INP2202</v>
      </c>
      <c r="C553" s="20" t="str">
        <v>Nồi luộc gà inox đúc nguyên khốiINP2202</v>
      </c>
      <c r="D553" s="2" t="str">
        <v>Cái</v>
      </c>
      <c r="E553" s="2" t="str">
        <v>4</v>
      </c>
      <c r="F553" s="2" t="str">
        <v>844444.44</v>
      </c>
      <c r="G553" s="19" t="n">
        <v>3648000</v>
      </c>
      <c r="H553" s="2" t="str">
        <v>2.xlsx | 订单!Q1383</v>
      </c>
    </row>
    <row r="554" ht="26" customHeight="1">
      <c r="A554" s="2" t="str">
        <v>S2-01381-BH</v>
      </c>
      <c r="B554" s="2" t="str">
        <v>INP1301</v>
      </c>
      <c r="C554" s="20" t="str">
        <v>Nồi mã INP1301</v>
      </c>
      <c r="D554" s="2" t="str">
        <v>Cái</v>
      </c>
      <c r="E554" s="2" t="str">
        <v>50</v>
      </c>
      <c r="F554" s="2" t="str">
        <v>111111.11</v>
      </c>
      <c r="G554" s="19" t="n">
        <v>6000000</v>
      </c>
      <c r="H554" s="2" t="str">
        <v>2.xlsx | 订单!Q1385</v>
      </c>
    </row>
    <row r="555" ht="26" customHeight="1">
      <c r="A555" s="2" t="str">
        <v>S2-01473-BH</v>
      </c>
      <c r="B555" s="2" t="str">
        <v>INP1301B</v>
      </c>
      <c r="C555" s="20" t="str">
        <v>Nồi mã INP1301B</v>
      </c>
      <c r="D555" s="2" t="str">
        <v>Cái</v>
      </c>
      <c r="E555" s="2" t="str">
        <v>100</v>
      </c>
      <c r="F555" s="2" t="str">
        <v>111111.11</v>
      </c>
      <c r="G555" s="19" t="n">
        <v>12000000</v>
      </c>
      <c r="H555" s="2" t="str">
        <v>2.xlsx | 订单!Q1473</v>
      </c>
    </row>
    <row r="556" ht="26" customHeight="1">
      <c r="A556" s="2" t="str">
        <v>S2-01660-BH</v>
      </c>
      <c r="B556" s="2" t="str">
        <v>INP6006</v>
      </c>
      <c r="C556" s="20" t="str">
        <v>Nồi cơm điện INP6006 (1,2L)</v>
      </c>
      <c r="D556" s="2" t="str">
        <v>Cái</v>
      </c>
      <c r="E556" s="2" t="str">
        <v>15</v>
      </c>
      <c r="F556" s="2" t="str">
        <v>527777.78</v>
      </c>
      <c r="G556" s="19" t="n">
        <v>8550000</v>
      </c>
      <c r="H556" s="2" t="str">
        <v>2.xlsx | 订单!Q1660</v>
      </c>
    </row>
    <row r="557" ht="26" customHeight="1">
      <c r="A557" s="2" t="str">
        <v>S2-01660-BH</v>
      </c>
      <c r="B557" s="2" t="str">
        <v>INP1301B</v>
      </c>
      <c r="C557" s="20" t="str">
        <v>Nồi mã INP1301B</v>
      </c>
      <c r="D557" s="2" t="str">
        <v>Cái</v>
      </c>
      <c r="E557" s="2" t="str">
        <v>50</v>
      </c>
      <c r="F557" s="2" t="str">
        <v>111111.11</v>
      </c>
      <c r="G557" s="19" t="n">
        <v>6000000</v>
      </c>
      <c r="H557" s="2" t="str">
        <v>2.xlsx | 订单!Q1661</v>
      </c>
    </row>
    <row r="558" ht="26" customHeight="1">
      <c r="A558" s="2" t="str">
        <v>S2-01721-BH</v>
      </c>
      <c r="B558" s="2" t="str">
        <v>INP6105</v>
      </c>
      <c r="C558" s="20" t="str">
        <v>Bếp từ đơn INP6105</v>
      </c>
      <c r="D558" s="2" t="str">
        <v>Cái</v>
      </c>
      <c r="E558" s="2" t="str">
        <v>12</v>
      </c>
      <c r="F558" s="2" t="str">
        <v>675925.93</v>
      </c>
      <c r="G558" s="19" t="n">
        <v>8760000</v>
      </c>
      <c r="H558" s="2" t="str">
        <v>2.xlsx | 订单!Q1721</v>
      </c>
    </row>
    <row r="559" ht="26" customHeight="1">
      <c r="A559" s="2" t="str">
        <v>S2-01721-BH</v>
      </c>
      <c r="B559" s="2" t="str">
        <v>INP1301B</v>
      </c>
      <c r="C559" s="20" t="str">
        <v>Nồi mã INP1301B</v>
      </c>
      <c r="D559" s="2" t="str">
        <v>Cái</v>
      </c>
      <c r="E559" s="2" t="str">
        <v>100</v>
      </c>
      <c r="F559" s="2" t="str">
        <v>111111.11</v>
      </c>
      <c r="G559" s="19" t="n">
        <v>12000000</v>
      </c>
      <c r="H559" s="2" t="str">
        <v>2.xlsx | 订单!Q1722</v>
      </c>
    </row>
    <row r="560" ht="26" customHeight="1">
      <c r="A560" s="2" t="str">
        <v>S2-01804-BH</v>
      </c>
      <c r="B560" s="2" t="str">
        <v>INP6006</v>
      </c>
      <c r="C560" s="20" t="str">
        <v>Nồi cơm điện INP6006 (1,2L)</v>
      </c>
      <c r="D560" s="2" t="str">
        <v>Cái</v>
      </c>
      <c r="E560" s="2" t="str">
        <v>15</v>
      </c>
      <c r="F560" s="2" t="str">
        <v>527777.78</v>
      </c>
      <c r="G560" s="19" t="n">
        <v>8550000</v>
      </c>
      <c r="H560" s="2" t="str">
        <v>2.xlsx | 订单!Q1804</v>
      </c>
    </row>
    <row r="561" ht="26" customHeight="1">
      <c r="A561" s="2" t="str">
        <v>S2-01804-BH</v>
      </c>
      <c r="B561" s="2" t="str">
        <v>INP6007</v>
      </c>
      <c r="C561" s="20" t="str">
        <v>Nồi cơm điện INP6007 (1,8L)</v>
      </c>
      <c r="D561" s="2" t="str">
        <v>Cái</v>
      </c>
      <c r="E561" s="2" t="str">
        <v>30</v>
      </c>
      <c r="F561" s="2" t="str">
        <v>629629.63</v>
      </c>
      <c r="G561" s="19" t="n">
        <v>20400000</v>
      </c>
      <c r="H561" s="2" t="str">
        <v>2.xlsx | 订单!Q1805</v>
      </c>
    </row>
    <row r="562" ht="26" customHeight="1">
      <c r="A562" s="2" t="str">
        <v>S2-01804-BH</v>
      </c>
      <c r="B562" s="2" t="str">
        <v>INP6902</v>
      </c>
      <c r="C562" s="20" t="str">
        <v>Nồi áp suất điện INP6902</v>
      </c>
      <c r="D562" s="2" t="str">
        <v>Cái</v>
      </c>
      <c r="E562" s="2" t="str">
        <v>10</v>
      </c>
      <c r="F562" s="2" t="str">
        <v>814814.81</v>
      </c>
      <c r="G562" s="19" t="n">
        <v>8800000</v>
      </c>
      <c r="H562" s="2" t="str">
        <v>2.xlsx | 订单!Q1806</v>
      </c>
    </row>
    <row r="563" ht="26" customHeight="1">
      <c r="A563" s="2" t="str">
        <v>S2-02122-BH</v>
      </c>
      <c r="B563" s="2" t="str">
        <v>INP6006</v>
      </c>
      <c r="C563" s="20" t="str">
        <v>Nồi cơm điện INP6006 (1,2L)</v>
      </c>
      <c r="D563" s="2" t="str">
        <v>Cái</v>
      </c>
      <c r="E563" s="2" t="str">
        <v>15</v>
      </c>
      <c r="F563" s="2" t="str">
        <v>527777.78</v>
      </c>
      <c r="G563" s="19" t="n">
        <v>8550000.04</v>
      </c>
      <c r="H563" s="2" t="str">
        <v>2.xlsx | 订单!Q2122</v>
      </c>
    </row>
    <row r="564" ht="26" customHeight="1">
      <c r="A564" s="2" t="str">
        <v>S2-02122-BH</v>
      </c>
      <c r="B564" s="2" t="str">
        <v>INP6010</v>
      </c>
      <c r="C564" s="20" t="str">
        <v>Nồi cơm điện INP6010 (1,2L)</v>
      </c>
      <c r="D564" s="2" t="str">
        <v>Cái</v>
      </c>
      <c r="E564" s="2" t="str">
        <v>15</v>
      </c>
      <c r="F564" s="2" t="str">
        <v>481481.48</v>
      </c>
      <c r="G564" s="19" t="n">
        <v>7799999.97</v>
      </c>
      <c r="H564" s="2" t="str">
        <v>2.xlsx | 订单!Q2123</v>
      </c>
    </row>
    <row r="565" ht="26" customHeight="1">
      <c r="A565" s="2" t="str">
        <v>S2-02122-BH</v>
      </c>
      <c r="B565" s="2" t="str">
        <v>INP6011</v>
      </c>
      <c r="C565" s="20" t="str">
        <v>Nồi cơm điện INP6011 (1,8L)</v>
      </c>
      <c r="D565" s="2" t="str">
        <v>Cái</v>
      </c>
      <c r="E565" s="2" t="str">
        <v>15</v>
      </c>
      <c r="F565" s="2" t="str">
        <v>574074.07</v>
      </c>
      <c r="G565" s="19" t="n">
        <v>9299999.93</v>
      </c>
      <c r="H565" s="2" t="str">
        <v>2.xlsx | 订单!Q2124</v>
      </c>
    </row>
    <row r="566" ht="26" customHeight="1">
      <c r="A566" s="2" t="str">
        <v>S2-02122-BH</v>
      </c>
      <c r="B566" s="2" t="str">
        <v>INP6902</v>
      </c>
      <c r="C566" s="20" t="str">
        <v>Nồi áp suất điện INP6902</v>
      </c>
      <c r="D566" s="2" t="str">
        <v>Cái</v>
      </c>
      <c r="E566" s="2" t="str">
        <v>10</v>
      </c>
      <c r="F566" s="2" t="str">
        <v>814814.81</v>
      </c>
      <c r="G566" s="19" t="n">
        <v>8799999.95</v>
      </c>
      <c r="H566" s="2" t="str">
        <v>2.xlsx | 订单!Q2125</v>
      </c>
    </row>
    <row r="567" ht="26" customHeight="1">
      <c r="A567" s="2" t="str">
        <v>S2-01736-BH</v>
      </c>
      <c r="B567" s="2" t="str">
        <v>INP6202</v>
      </c>
      <c r="C567" s="20" t="str">
        <v>Ấm điện siêu tốc INP6202 1,7 lít màu đen</v>
      </c>
      <c r="D567" s="2" t="str">
        <v>Cái</v>
      </c>
      <c r="E567" s="2" t="str">
        <v>12</v>
      </c>
      <c r="F567" s="2" t="str">
        <v>361111.11</v>
      </c>
      <c r="G567" s="19" t="n">
        <v>4680000</v>
      </c>
      <c r="H567" s="2" t="str">
        <v>2.xlsx | 订单!Q1736</v>
      </c>
    </row>
    <row r="568" ht="26" customHeight="1">
      <c r="A568" s="2" t="str">
        <v>S2-01396-BH</v>
      </c>
      <c r="B568" s="2" t="str">
        <v>INP1301B</v>
      </c>
      <c r="C568" s="20" t="str">
        <v>Nồi mã INP1301B</v>
      </c>
      <c r="D568" s="2" t="str">
        <v>Cái</v>
      </c>
      <c r="E568" s="2" t="str">
        <v>1</v>
      </c>
      <c r="F568" s="2" t="str">
        <v>111111.11</v>
      </c>
      <c r="G568" s="19" t="n">
        <v>120000</v>
      </c>
      <c r="H568" s="2" t="str">
        <v>2.xlsx | 订单!Q1396</v>
      </c>
    </row>
    <row r="569" ht="26" customHeight="1">
      <c r="A569" s="2" t="str">
        <v>S2-01612-BH</v>
      </c>
      <c r="B569" s="2" t="str">
        <v>INP1301B</v>
      </c>
      <c r="C569" s="20" t="str">
        <v>Nồi mã INP1301B</v>
      </c>
      <c r="D569" s="2" t="str">
        <v>Cái</v>
      </c>
      <c r="E569" s="2" t="str">
        <v>2</v>
      </c>
      <c r="F569" s="2" t="str">
        <v>111111.11</v>
      </c>
      <c r="G569" s="19" t="n">
        <v>240000</v>
      </c>
      <c r="H569" s="2" t="str">
        <v>2.xlsx | 订单!Q1612</v>
      </c>
    </row>
    <row r="570" ht="26" customHeight="1">
      <c r="A570" s="2" t="str">
        <v>S2-00161-BH</v>
      </c>
      <c r="B570" s="2" t="str">
        <v>INP1001</v>
      </c>
      <c r="C570" s="20" t="str">
        <v>Bộ nồi inox INP1001</v>
      </c>
      <c r="D570" s="2" t="str">
        <v>cái</v>
      </c>
      <c r="E570" s="2" t="str">
        <v>10</v>
      </c>
      <c r="F570" s="2" t="str">
        <v>480555.6</v>
      </c>
      <c r="G570" s="19" t="n">
        <v>5190000</v>
      </c>
      <c r="H570" s="2" t="str">
        <v>2.xlsx | 订单!Q161</v>
      </c>
    </row>
    <row r="571" ht="26" customHeight="1">
      <c r="A571" s="2" t="str">
        <v>S2-00161-BH</v>
      </c>
      <c r="B571" s="2" t="str">
        <v>INP1002</v>
      </c>
      <c r="C571" s="20" t="str">
        <v>Bộ nồi inox INP1002</v>
      </c>
      <c r="D571" s="2" t="str">
        <v>cái</v>
      </c>
      <c r="E571" s="2" t="str">
        <v>10</v>
      </c>
      <c r="F571" s="2" t="str">
        <v>647222.22</v>
      </c>
      <c r="G571" s="19" t="n">
        <v>6990000</v>
      </c>
      <c r="H571" s="2" t="str">
        <v>2.xlsx | 订单!Q162</v>
      </c>
    </row>
    <row r="572" ht="26" customHeight="1">
      <c r="A572" s="2" t="str">
        <v>S2-00161-BH</v>
      </c>
      <c r="B572" s="2" t="str">
        <v>INP1003</v>
      </c>
      <c r="C572" s="20" t="str">
        <v>Bộ nồi Inox INP1003 </v>
      </c>
      <c r="D572" s="2" t="str">
        <v>cái</v>
      </c>
      <c r="E572" s="2" t="str">
        <v>20</v>
      </c>
      <c r="F572" s="2" t="str">
        <v>314814.81</v>
      </c>
      <c r="G572" s="19" t="n">
        <v>6800000</v>
      </c>
      <c r="H572" s="2" t="str">
        <v>2.xlsx | 订单!Q163</v>
      </c>
    </row>
    <row r="573" ht="26" customHeight="1">
      <c r="A573" s="2" t="str">
        <v>S2-00161-BH</v>
      </c>
      <c r="B573" s="2" t="str">
        <v>INP1101</v>
      </c>
      <c r="C573" s="20" t="str">
        <v>Bộ nồi inox INP1101</v>
      </c>
      <c r="D573" s="2" t="str">
        <v>cái</v>
      </c>
      <c r="E573" s="2" t="str">
        <v>10</v>
      </c>
      <c r="F573" s="2" t="str">
        <v>483333.33</v>
      </c>
      <c r="G573" s="19" t="n">
        <v>5220000</v>
      </c>
      <c r="H573" s="2" t="str">
        <v>2.xlsx | 订单!Q164</v>
      </c>
    </row>
    <row r="574" ht="26" customHeight="1">
      <c r="A574" s="2" t="str">
        <v>S2-00161-BH</v>
      </c>
      <c r="B574" s="2" t="str">
        <v>INP1401</v>
      </c>
      <c r="C574" s="20" t="str">
        <v>Nồi áp suất 4.5L INP1401</v>
      </c>
      <c r="D574" s="2" t="str">
        <v>cái</v>
      </c>
      <c r="E574" s="2" t="str">
        <v>10</v>
      </c>
      <c r="F574" s="2" t="str">
        <v>824074.07</v>
      </c>
      <c r="G574" s="19" t="n">
        <v>8900000</v>
      </c>
      <c r="H574" s="2" t="str">
        <v>2.xlsx | 订单!Q165</v>
      </c>
    </row>
    <row r="575" ht="26" customHeight="1">
      <c r="A575" s="2" t="str">
        <v>S2-00161-BH</v>
      </c>
      <c r="B575" s="2" t="str">
        <v>INP1402</v>
      </c>
      <c r="C575" s="20" t="str">
        <v>Nồi áp suất 6L INP1402</v>
      </c>
      <c r="D575" s="2" t="str">
        <v>cái</v>
      </c>
      <c r="E575" s="2" t="str">
        <v>10</v>
      </c>
      <c r="F575" s="2" t="str">
        <v>937963</v>
      </c>
      <c r="G575" s="19" t="n">
        <v>10130000</v>
      </c>
      <c r="H575" s="2" t="str">
        <v>2.xlsx | 订单!Q166</v>
      </c>
    </row>
    <row r="576" ht="26" customHeight="1">
      <c r="A576" s="2" t="str">
        <v>S2-00161-BH</v>
      </c>
      <c r="B576" s="2" t="str">
        <v>INP2003</v>
      </c>
      <c r="C576" s="20" t="str">
        <v>Bộ nồi inox đúc nguyên khối INP2003</v>
      </c>
      <c r="D576" s="2" t="str">
        <v>cái</v>
      </c>
      <c r="E576" s="2" t="str">
        <v>10</v>
      </c>
      <c r="F576" s="2" t="str">
        <v>1185185.2</v>
      </c>
      <c r="G576" s="19" t="n">
        <v>12800000</v>
      </c>
      <c r="H576" s="2" t="str">
        <v>2.xlsx | 订单!Q167</v>
      </c>
    </row>
    <row r="577" ht="26" customHeight="1">
      <c r="A577" s="2" t="str">
        <v>S2-00161-BH</v>
      </c>
      <c r="B577" s="2" t="str">
        <v>INP2101</v>
      </c>
      <c r="C577" s="20" t="str">
        <v>Chảo inox chống dính đúc nguyên khốiINP2101</v>
      </c>
      <c r="D577" s="2" t="str">
        <v>cái</v>
      </c>
      <c r="E577" s="2" t="str">
        <v>20</v>
      </c>
      <c r="F577" s="2" t="str">
        <v>234259.1</v>
      </c>
      <c r="G577" s="19" t="n">
        <v>5059997</v>
      </c>
      <c r="H577" s="2" t="str">
        <v>2.xlsx | 订单!Q168</v>
      </c>
    </row>
    <row r="578" ht="26" customHeight="1">
      <c r="A578" s="2" t="str">
        <v>S2-00161-BH</v>
      </c>
      <c r="B578" s="2" t="str">
        <v>INP2102</v>
      </c>
      <c r="C578" s="20" t="str">
        <v>Chảo inox chống dính đúc nguyên khốiINP2102</v>
      </c>
      <c r="D578" s="2" t="str">
        <v>cái</v>
      </c>
      <c r="E578" s="2" t="str">
        <v>20</v>
      </c>
      <c r="F578" s="2" t="str">
        <v>256481.5</v>
      </c>
      <c r="G578" s="19" t="n">
        <v>5540000</v>
      </c>
      <c r="H578" s="2" t="str">
        <v>2.xlsx | 订单!Q169</v>
      </c>
    </row>
    <row r="579" ht="26" customHeight="1">
      <c r="A579" s="2" t="str">
        <v>S2-00161-BH</v>
      </c>
      <c r="B579" s="2" t="str">
        <v>INP2103</v>
      </c>
      <c r="C579" s="20" t="str">
        <v>Chảo inox chống dính đúc nguyên khốiINP2103</v>
      </c>
      <c r="D579" s="2" t="str">
        <v>cái</v>
      </c>
      <c r="E579" s="2" t="str">
        <v>20</v>
      </c>
      <c r="F579" s="2" t="str">
        <v>281481.5</v>
      </c>
      <c r="G579" s="19" t="n">
        <v>6080000</v>
      </c>
      <c r="H579" s="2" t="str">
        <v>2.xlsx | 订单!Q170</v>
      </c>
    </row>
    <row r="580" ht="26" customHeight="1">
      <c r="A580" s="2" t="str">
        <v>S2-00161-BH</v>
      </c>
      <c r="B580" s="2" t="str">
        <v>INP2105</v>
      </c>
      <c r="C580" s="20" t="str">
        <v>Chảo inox đúc nguyên khối (không chống dính)INP2105</v>
      </c>
      <c r="D580" s="2" t="str">
        <v>cái</v>
      </c>
      <c r="E580" s="2" t="str">
        <v>20</v>
      </c>
      <c r="F580" s="2" t="str">
        <v>227777.8</v>
      </c>
      <c r="G580" s="19" t="n">
        <v>4920000</v>
      </c>
      <c r="H580" s="2" t="str">
        <v>2.xlsx | 订单!Q171</v>
      </c>
    </row>
    <row r="581" ht="26" customHeight="1">
      <c r="A581" s="2" t="str">
        <v>S2-00161-BH</v>
      </c>
      <c r="B581" s="2" t="str">
        <v>INP2106</v>
      </c>
      <c r="C581" s="20" t="str">
        <v>Chảo inox đúc nguyên khối (không chống dính)INP2106</v>
      </c>
      <c r="D581" s="2" t="str">
        <v>cái</v>
      </c>
      <c r="E581" s="2" t="str">
        <v>20</v>
      </c>
      <c r="F581" s="2" t="str">
        <v>252777.8</v>
      </c>
      <c r="G581" s="19" t="n">
        <v>5460000</v>
      </c>
      <c r="H581" s="2" t="str">
        <v>2.xlsx | 订单!Q172</v>
      </c>
    </row>
    <row r="582" ht="26" customHeight="1">
      <c r="A582" s="2" t="str">
        <v>S2-00161-BH</v>
      </c>
      <c r="B582" s="2" t="str">
        <v>INP2108</v>
      </c>
      <c r="C582" s="20" t="str">
        <v>Chảo inox đúc nguyên khối (không chống dính)INP2108</v>
      </c>
      <c r="D582" s="2" t="str">
        <v>cái</v>
      </c>
      <c r="E582" s="2" t="str">
        <v>20</v>
      </c>
      <c r="F582" s="2" t="str">
        <v>256481.5</v>
      </c>
      <c r="G582" s="19" t="n">
        <v>5540000</v>
      </c>
      <c r="H582" s="2" t="str">
        <v>2.xlsx | 订单!Q173</v>
      </c>
    </row>
    <row r="583" ht="26" customHeight="1">
      <c r="A583" s="2" t="str">
        <v>S2-00161-BH</v>
      </c>
      <c r="B583" s="2" t="str">
        <v>INP2109</v>
      </c>
      <c r="C583" s="20" t="str">
        <v>Chảo inox đúc nguyên khối (không chống dính)INP2109</v>
      </c>
      <c r="D583" s="2" t="str">
        <v>cái</v>
      </c>
      <c r="E583" s="2" t="str">
        <v>20</v>
      </c>
      <c r="F583" s="2" t="str">
        <v>227777.8</v>
      </c>
      <c r="G583" s="19" t="n">
        <v>4920000</v>
      </c>
      <c r="H583" s="2" t="str">
        <v>2.xlsx | 订单!Q174</v>
      </c>
    </row>
    <row r="584" ht="26" customHeight="1">
      <c r="A584" s="2" t="str">
        <v>S2-00161-BH</v>
      </c>
      <c r="B584" s="2" t="str">
        <v>INP2110</v>
      </c>
      <c r="C584" s="20" t="str">
        <v>Chảo inox đúc nguyên khối (không chống dính)INP2110</v>
      </c>
      <c r="D584" s="2" t="str">
        <v>cái</v>
      </c>
      <c r="E584" s="2" t="str">
        <v>20</v>
      </c>
      <c r="F584" s="2" t="str">
        <v>252777.8</v>
      </c>
      <c r="G584" s="19" t="n">
        <v>5460000</v>
      </c>
      <c r="H584" s="2" t="str">
        <v>2.xlsx | 订单!Q175</v>
      </c>
    </row>
    <row r="585" ht="26" customHeight="1">
      <c r="A585" s="2" t="str">
        <v>S2-00161-BH</v>
      </c>
      <c r="B585" s="2" t="str">
        <v>INP2111</v>
      </c>
      <c r="C585" s="20" t="str">
        <v>Chảo inox đúc nguyên khối (không chống dính)INP2111</v>
      </c>
      <c r="D585" s="2" t="str">
        <v>cái</v>
      </c>
      <c r="E585" s="2" t="str">
        <v>20</v>
      </c>
      <c r="F585" s="2" t="str">
        <v>277777.8</v>
      </c>
      <c r="G585" s="19" t="n">
        <v>6000000</v>
      </c>
      <c r="H585" s="2" t="str">
        <v>2.xlsx | 订单!Q176</v>
      </c>
    </row>
    <row r="586" ht="26" customHeight="1">
      <c r="A586" s="2" t="str">
        <v>S2-00161-BH</v>
      </c>
      <c r="B586" s="2" t="str">
        <v>INP2202</v>
      </c>
      <c r="C586" s="20" t="str">
        <v>Nồi luộc gà inox đúc nguyên khốiINP2202</v>
      </c>
      <c r="D586" s="2" t="str">
        <v>cái</v>
      </c>
      <c r="E586" s="2" t="str">
        <v>10</v>
      </c>
      <c r="F586" s="2" t="str">
        <v>844444.4</v>
      </c>
      <c r="G586" s="19" t="n">
        <v>9120000</v>
      </c>
      <c r="H586" s="2" t="str">
        <v>2.xlsx | 订单!Q177</v>
      </c>
    </row>
    <row r="587" ht="26" customHeight="1">
      <c r="A587" s="2" t="str">
        <v>S2-00161-BH</v>
      </c>
      <c r="B587" s="2" t="str">
        <v>INP3001</v>
      </c>
      <c r="C587" s="20" t="str">
        <v>Nồi gang tráng menINP3001</v>
      </c>
      <c r="D587" s="2" t="str">
        <v>cái</v>
      </c>
      <c r="E587" s="2" t="str">
        <v>10</v>
      </c>
      <c r="F587" s="2" t="str">
        <v>659259.3</v>
      </c>
      <c r="G587" s="19" t="n">
        <v>7120000</v>
      </c>
      <c r="H587" s="2" t="str">
        <v>2.xlsx | 订单!Q178</v>
      </c>
    </row>
    <row r="588" ht="26" customHeight="1">
      <c r="A588" s="2" t="str">
        <v>S2-00161-BH</v>
      </c>
      <c r="B588" s="2" t="str">
        <v>INP3002</v>
      </c>
      <c r="C588" s="20" t="str">
        <v>Nồi gang tráng menINP3002</v>
      </c>
      <c r="D588" s="2" t="str">
        <v>cái</v>
      </c>
      <c r="E588" s="2" t="str">
        <v>10</v>
      </c>
      <c r="F588" s="2" t="str">
        <v>569444.4</v>
      </c>
      <c r="G588" s="19" t="n">
        <v>6150000</v>
      </c>
      <c r="H588" s="2" t="str">
        <v>2.xlsx | 订单!Q179</v>
      </c>
    </row>
    <row r="589" ht="26" customHeight="1">
      <c r="A589" s="2" t="str">
        <v>S2-00161-BH</v>
      </c>
      <c r="B589" s="2" t="str">
        <v>INP3003</v>
      </c>
      <c r="C589" s="20" t="str">
        <v>Nồi gang tráng menINP3003</v>
      </c>
      <c r="D589" s="2" t="str">
        <v>cái</v>
      </c>
      <c r="E589" s="2" t="str">
        <v>12</v>
      </c>
      <c r="F589" s="2" t="str">
        <v>564814.83</v>
      </c>
      <c r="G589" s="19" t="n">
        <v>7320000</v>
      </c>
      <c r="H589" s="2" t="str">
        <v>2.xlsx | 订单!Q180</v>
      </c>
    </row>
    <row r="590" ht="26" customHeight="1">
      <c r="A590" s="2" t="str">
        <v>S2-00161-BH</v>
      </c>
      <c r="B590" s="2" t="str">
        <v>INP3004</v>
      </c>
      <c r="C590" s="20" t="str">
        <v>Nồi gang tráng menINP3004</v>
      </c>
      <c r="D590" s="2" t="str">
        <v>cái</v>
      </c>
      <c r="E590" s="2" t="str">
        <v>12</v>
      </c>
      <c r="F590" s="2" t="str">
        <v>358333.33</v>
      </c>
      <c r="G590" s="19" t="n">
        <v>4644000</v>
      </c>
      <c r="H590" s="2" t="str">
        <v>2.xlsx | 订单!Q181</v>
      </c>
    </row>
    <row r="591" ht="26" customHeight="1">
      <c r="A591" s="2" t="str">
        <v>S2-00161-BH</v>
      </c>
      <c r="B591" s="2" t="str">
        <v>INP3005</v>
      </c>
      <c r="C591" s="20" t="str">
        <v>Nồi gang tráng menINP3005</v>
      </c>
      <c r="D591" s="2" t="str">
        <v>cái</v>
      </c>
      <c r="E591" s="2" t="str">
        <v>12</v>
      </c>
      <c r="F591" s="2" t="str">
        <v>398148.17</v>
      </c>
      <c r="G591" s="19" t="n">
        <v>5160000</v>
      </c>
      <c r="H591" s="2" t="str">
        <v>2.xlsx | 订单!Q182</v>
      </c>
    </row>
    <row r="592" ht="26" customHeight="1">
      <c r="A592" s="2" t="str">
        <v>S2-00183-BH</v>
      </c>
      <c r="B592" s="2" t="str">
        <v>INP1501</v>
      </c>
      <c r="C592" s="20" t="str">
        <v>Ấm đun nước 3L INP1501</v>
      </c>
      <c r="D592" s="2" t="str">
        <v>Cái</v>
      </c>
      <c r="E592" s="2" t="str">
        <v>12</v>
      </c>
      <c r="F592" s="2" t="str">
        <v>111111.08</v>
      </c>
      <c r="G592" s="19" t="n">
        <v>1440000</v>
      </c>
      <c r="H592" s="2" t="str">
        <v>2.xlsx | 订单!Q183</v>
      </c>
    </row>
    <row r="593" ht="26" customHeight="1">
      <c r="A593" s="2" t="str">
        <v>S2-00183-BH</v>
      </c>
      <c r="B593" s="2" t="str">
        <v>INP1502</v>
      </c>
      <c r="C593" s="20" t="str">
        <v>Ấm đun nước 4L INP1502</v>
      </c>
      <c r="D593" s="2" t="str">
        <v>Cái</v>
      </c>
      <c r="E593" s="2" t="str">
        <v>12</v>
      </c>
      <c r="F593" s="2" t="str">
        <v>120370.33</v>
      </c>
      <c r="G593" s="19" t="n">
        <v>1559999</v>
      </c>
      <c r="H593" s="2" t="str">
        <v>2.xlsx | 订单!Q184</v>
      </c>
    </row>
    <row r="594" ht="26" customHeight="1">
      <c r="A594" s="2" t="str">
        <v>S2-00183-BH</v>
      </c>
      <c r="B594" s="2" t="str">
        <v>INP1503</v>
      </c>
      <c r="C594" s="20" t="str">
        <v>Ấm đun nước 5L INP1503</v>
      </c>
      <c r="D594" s="2" t="str">
        <v>Cái</v>
      </c>
      <c r="E594" s="2" t="str">
        <v>12</v>
      </c>
      <c r="F594" s="2" t="str">
        <v>129629.67</v>
      </c>
      <c r="G594" s="19" t="n">
        <v>1680001</v>
      </c>
      <c r="H594" s="2" t="str">
        <v>2.xlsx | 订单!Q185</v>
      </c>
    </row>
    <row r="595" ht="26" customHeight="1">
      <c r="A595" s="2" t="str">
        <v>S2-00183-BH</v>
      </c>
      <c r="B595" s="2" t="str">
        <v>INP6601</v>
      </c>
      <c r="C595" s="20" t="str">
        <v>Máy sấy bát đĩa INP6601</v>
      </c>
      <c r="D595" s="2" t="str">
        <v>Cái</v>
      </c>
      <c r="E595" s="2" t="str">
        <v>10</v>
      </c>
      <c r="F595" s="2" t="str">
        <v>1203703.7</v>
      </c>
      <c r="G595" s="19" t="n">
        <v>13000000</v>
      </c>
      <c r="H595" s="2" t="str">
        <v>2.xlsx | 订单!Q186</v>
      </c>
    </row>
    <row r="596" ht="26" customHeight="1">
      <c r="A596" s="2" t="str">
        <v>S2-00183-BH</v>
      </c>
      <c r="B596" s="2" t="str">
        <v>INP6602</v>
      </c>
      <c r="C596" s="20" t="str">
        <v>Máy sấy bát đĩa INP6602</v>
      </c>
      <c r="D596" s="2" t="str">
        <v>Cái</v>
      </c>
      <c r="E596" s="2" t="str">
        <v>10</v>
      </c>
      <c r="F596" s="2" t="str">
        <v>1361111.1</v>
      </c>
      <c r="G596" s="19" t="n">
        <v>14700000</v>
      </c>
      <c r="H596" s="2" t="str">
        <v>2.xlsx | 订单!Q187</v>
      </c>
    </row>
    <row r="597" ht="26" customHeight="1">
      <c r="A597" s="2" t="str">
        <v>S2-00188-BH</v>
      </c>
      <c r="B597" s="2" t="str">
        <v>INP6001</v>
      </c>
      <c r="C597" s="20" t="str">
        <v>Nồi cơm điện tử ( nồi cơm điện đa năng giảm đường)INP6001</v>
      </c>
      <c r="D597" s="2" t="str">
        <v>Cái</v>
      </c>
      <c r="E597" s="2" t="str">
        <v>8</v>
      </c>
      <c r="F597" s="2" t="str">
        <v>1138888.88</v>
      </c>
      <c r="G597" s="19" t="n">
        <v>9840000</v>
      </c>
      <c r="H597" s="2" t="str">
        <v>2.xlsx | 订单!Q188</v>
      </c>
    </row>
    <row r="598" ht="26" customHeight="1">
      <c r="A598" s="2" t="str">
        <v>S2-00188-BH</v>
      </c>
      <c r="B598" s="2" t="str">
        <v>INP6003</v>
      </c>
      <c r="C598" s="20" t="str">
        <v>Nồi cơm điện tử ( nồi cơm điện đa năng giảm đường)INP6003</v>
      </c>
      <c r="D598" s="2" t="str">
        <v>Cái</v>
      </c>
      <c r="E598" s="2" t="str">
        <v>8</v>
      </c>
      <c r="F598" s="2" t="str">
        <v>851851.88</v>
      </c>
      <c r="G598" s="19" t="n">
        <v>7360000</v>
      </c>
      <c r="H598" s="2" t="str">
        <v>2.xlsx | 订单!Q189</v>
      </c>
    </row>
    <row r="599" ht="26" customHeight="1">
      <c r="A599" s="2" t="str">
        <v>S2-00188-BH</v>
      </c>
      <c r="B599" s="2" t="str">
        <v>INP6101</v>
      </c>
      <c r="C599" s="20" t="str">
        <v>Bếp từ đơn INP6101( 2200W, mặt kính màu sữa )</v>
      </c>
      <c r="D599" s="2" t="str">
        <v>Cái</v>
      </c>
      <c r="E599" s="2" t="str">
        <v>12</v>
      </c>
      <c r="F599" s="2" t="str">
        <v>601851.85</v>
      </c>
      <c r="G599" s="19" t="n">
        <v>7800000</v>
      </c>
      <c r="H599" s="2" t="str">
        <v>2.xlsx | 订单!Q190</v>
      </c>
    </row>
    <row r="600" ht="26" customHeight="1">
      <c r="A600" s="2" t="str">
        <v>S2-00188-BH</v>
      </c>
      <c r="B600" s="2" t="str">
        <v>INP6102</v>
      </c>
      <c r="C600" s="20" t="str">
        <v>Bếp thừ đơn INP6102 (2500W), 2 quạt tản</v>
      </c>
      <c r="D600" s="2" t="str">
        <v>Cái</v>
      </c>
      <c r="E600" s="2" t="str">
        <v>6</v>
      </c>
      <c r="F600" s="2" t="str">
        <v>937962</v>
      </c>
      <c r="G600" s="19" t="n">
        <v>6077994</v>
      </c>
      <c r="H600" s="2" t="str">
        <v>2.xlsx | 订单!Q191</v>
      </c>
    </row>
    <row r="601" ht="26" customHeight="1">
      <c r="A601" s="2" t="str">
        <v>S2-00188-BH</v>
      </c>
      <c r="B601" s="2" t="str">
        <v>INP6103</v>
      </c>
      <c r="C601" s="20" t="str">
        <v>Bếp từ đơn INP6103</v>
      </c>
      <c r="D601" s="2" t="str">
        <v>Cái</v>
      </c>
      <c r="E601" s="2" t="str">
        <v>6</v>
      </c>
      <c r="F601" s="2" t="str">
        <v>799074</v>
      </c>
      <c r="G601" s="19" t="n">
        <v>5178000</v>
      </c>
      <c r="H601" s="2" t="str">
        <v>2.xlsx | 订单!Q192</v>
      </c>
    </row>
    <row r="602" ht="26" customHeight="1">
      <c r="A602" s="2" t="str">
        <v>S2-00188-BH</v>
      </c>
      <c r="B602" s="2" t="str">
        <v>INP6104</v>
      </c>
      <c r="C602" s="20" t="str">
        <v>Bếp từ đơn INP6104 ( 2500W ) </v>
      </c>
      <c r="D602" s="2" t="str">
        <v>Cái</v>
      </c>
      <c r="E602" s="2" t="str">
        <v>6</v>
      </c>
      <c r="F602" s="2" t="str">
        <v>1007407.4</v>
      </c>
      <c r="G602" s="19" t="n">
        <v>6528000</v>
      </c>
      <c r="H602" s="2" t="str">
        <v>2.xlsx | 订单!Q193</v>
      </c>
    </row>
    <row r="603" ht="26" customHeight="1">
      <c r="A603" s="2" t="str">
        <v>S2-00194-BH</v>
      </c>
      <c r="B603" s="2" t="str">
        <v>INP6201</v>
      </c>
      <c r="C603" s="20" t="str">
        <v>Ấm điện siêu tốc INP6201 1,7 Lít màu ghi</v>
      </c>
      <c r="D603" s="2" t="str">
        <v>Cái</v>
      </c>
      <c r="E603" s="2" t="str">
        <v>12</v>
      </c>
      <c r="F603" s="2" t="str">
        <v>324074.08</v>
      </c>
      <c r="G603" s="19" t="n">
        <v>4200000</v>
      </c>
      <c r="H603" s="2" t="str">
        <v>2.xlsx | 订单!Q194</v>
      </c>
    </row>
    <row r="604" ht="26" customHeight="1">
      <c r="A604" s="2" t="str">
        <v>S2-00194-BH</v>
      </c>
      <c r="B604" s="2" t="str">
        <v>INP6202</v>
      </c>
      <c r="C604" s="20" t="str">
        <v>Ấm điện siêu tốc INP6201 1,7 Lít màu đen</v>
      </c>
      <c r="D604" s="2" t="str">
        <v>Cái</v>
      </c>
      <c r="E604" s="2" t="str">
        <v>12</v>
      </c>
      <c r="F604" s="2" t="str">
        <v>325925.92</v>
      </c>
      <c r="G604" s="19" t="n">
        <v>4224000</v>
      </c>
      <c r="H604" s="2" t="str">
        <v>2.xlsx | 订单!Q195</v>
      </c>
    </row>
    <row r="605" ht="26" customHeight="1">
      <c r="A605" s="2" t="str">
        <v>S2-00194-BH</v>
      </c>
      <c r="B605" s="2" t="str">
        <v>INP6203</v>
      </c>
      <c r="C605" s="20" t="str">
        <v>Ấm đun nước INP6203 1,7 lít </v>
      </c>
      <c r="D605" s="2" t="str">
        <v>Cái</v>
      </c>
      <c r="E605" s="2" t="str">
        <v>12</v>
      </c>
      <c r="F605" s="2" t="str">
        <v>349074.08</v>
      </c>
      <c r="G605" s="19" t="n">
        <v>4524000</v>
      </c>
      <c r="H605" s="2" t="str">
        <v>2.xlsx | 订单!Q196</v>
      </c>
    </row>
    <row r="606" ht="26" customHeight="1">
      <c r="A606" s="2" t="str">
        <v>S2-00194-BH</v>
      </c>
      <c r="B606" s="2" t="str">
        <v>INP6204</v>
      </c>
      <c r="C606" s="20" t="str">
        <v>Ấm đun nước INP6204 1,0 lít </v>
      </c>
      <c r="D606" s="2" t="str">
        <v>Cái</v>
      </c>
      <c r="E606" s="2" t="str">
        <v>12</v>
      </c>
      <c r="F606" s="2" t="str">
        <v>284259.25</v>
      </c>
      <c r="G606" s="19" t="n">
        <v>3684000</v>
      </c>
      <c r="H606" s="2" t="str">
        <v>2.xlsx | 订单!Q197</v>
      </c>
    </row>
    <row r="607" ht="26" customHeight="1">
      <c r="A607" s="2" t="str">
        <v>S2-00194-BH</v>
      </c>
      <c r="B607" s="2" t="str">
        <v>INP6205</v>
      </c>
      <c r="C607" s="20" t="str">
        <v>Ấm đun nước INP6205 1,0 lít </v>
      </c>
      <c r="D607" s="2" t="str">
        <v>Cái</v>
      </c>
      <c r="E607" s="2" t="str">
        <v>12</v>
      </c>
      <c r="F607" s="2" t="str">
        <v>280555.58</v>
      </c>
      <c r="G607" s="19" t="n">
        <v>3636000</v>
      </c>
      <c r="H607" s="2" t="str">
        <v>2.xlsx | 订单!Q198</v>
      </c>
    </row>
    <row r="608" ht="26" customHeight="1">
      <c r="A608" s="2" t="str">
        <v>S2-00194-BH</v>
      </c>
      <c r="B608" s="2" t="str">
        <v>INP6206</v>
      </c>
      <c r="C608" s="20" t="str">
        <v>Ấm đun nước INP6206 1,7 lít </v>
      </c>
      <c r="D608" s="2" t="str">
        <v>Cái</v>
      </c>
      <c r="E608" s="2" t="str">
        <v>12</v>
      </c>
      <c r="F608" s="2" t="str">
        <v>263888.92</v>
      </c>
      <c r="G608" s="19" t="n">
        <v>3420000</v>
      </c>
      <c r="H608" s="2" t="str">
        <v>2.xlsx | 订单!Q199</v>
      </c>
    </row>
    <row r="609" ht="26" customHeight="1">
      <c r="A609" s="2" t="str">
        <v>S2-00200-BH</v>
      </c>
      <c r="B609" s="2" t="str">
        <v>INP6501</v>
      </c>
      <c r="C609" s="20" t="str">
        <v>Máy làm tỏi đen đa năng INP6501</v>
      </c>
      <c r="D609" s="2" t="str">
        <v>Cái</v>
      </c>
      <c r="E609" s="2" t="str">
        <v>12</v>
      </c>
      <c r="F609" s="2" t="str">
        <v>847222.25</v>
      </c>
      <c r="G609" s="19" t="n">
        <v>10980000</v>
      </c>
      <c r="H609" s="2" t="str">
        <v>2.xlsx | 订单!Q200</v>
      </c>
    </row>
    <row r="610" ht="26" customHeight="1">
      <c r="A610" s="2" t="str">
        <v>S2-00201-BH</v>
      </c>
      <c r="B610" s="2" t="str">
        <v>INP6101</v>
      </c>
      <c r="C610" s="20" t="str">
        <v>Bếp từ đơn INP6101( 2200W, mặt kính màu sữa )</v>
      </c>
      <c r="D610" s="2" t="str">
        <v>Cái</v>
      </c>
      <c r="E610" s="2" t="str">
        <v>12</v>
      </c>
      <c r="F610" s="2" t="str">
        <v>601851.85</v>
      </c>
      <c r="G610" s="19" t="n">
        <v>7800000</v>
      </c>
      <c r="H610" s="2" t="str">
        <v>2.xlsx | 订单!Q201</v>
      </c>
    </row>
    <row r="611" ht="26" customHeight="1">
      <c r="A611" s="2" t="str">
        <v>S2-00201-BH</v>
      </c>
      <c r="B611" s="2" t="str">
        <v>INP6102</v>
      </c>
      <c r="C611" s="20" t="str">
        <v>Bếp thừ đơn INP6102 (2500W), 2 quạt tản</v>
      </c>
      <c r="D611" s="2" t="str">
        <v>Cái</v>
      </c>
      <c r="E611" s="2" t="str">
        <v>6</v>
      </c>
      <c r="F611" s="2" t="str">
        <v>937962</v>
      </c>
      <c r="G611" s="19" t="n">
        <v>6077994</v>
      </c>
      <c r="H611" s="2" t="str">
        <v>2.xlsx | 订单!Q202</v>
      </c>
    </row>
    <row r="612" ht="26" customHeight="1">
      <c r="A612" s="2" t="str">
        <v>S2-00201-BH</v>
      </c>
      <c r="B612" s="2" t="str">
        <v>INP6103</v>
      </c>
      <c r="C612" s="20" t="str">
        <v>Bếp từ đơn INP6103</v>
      </c>
      <c r="D612" s="2" t="str">
        <v>Cái</v>
      </c>
      <c r="E612" s="2" t="str">
        <v>6</v>
      </c>
      <c r="F612" s="2" t="str">
        <v>799074</v>
      </c>
      <c r="G612" s="19" t="n">
        <v>5178000</v>
      </c>
      <c r="H612" s="2" t="str">
        <v>2.xlsx | 订单!Q203</v>
      </c>
    </row>
    <row r="613" ht="26" customHeight="1">
      <c r="A613" s="2" t="str">
        <v>S2-00201-BH</v>
      </c>
      <c r="B613" s="2" t="str">
        <v>INP6104</v>
      </c>
      <c r="C613" s="20" t="str">
        <v>Bếp từ đơn INP6104 ( 2500W ) </v>
      </c>
      <c r="D613" s="2" t="str">
        <v>Cái</v>
      </c>
      <c r="E613" s="2" t="str">
        <v>6</v>
      </c>
      <c r="F613" s="2" t="str">
        <v>1007407.4</v>
      </c>
      <c r="G613" s="19" t="n">
        <v>6528000</v>
      </c>
      <c r="H613" s="2" t="str">
        <v>2.xlsx | 订单!Q204</v>
      </c>
    </row>
    <row r="614" ht="26" customHeight="1">
      <c r="A614" s="2" t="str">
        <v>S2-00206-BH</v>
      </c>
      <c r="B614" s="2" t="str">
        <v>INP1401</v>
      </c>
      <c r="C614" s="20" t="str">
        <v>Nồi áp suất 4.5L INP1401</v>
      </c>
      <c r="D614" s="2" t="str">
        <v>Cái</v>
      </c>
      <c r="E614" s="2" t="str">
        <v>30</v>
      </c>
      <c r="F614" s="2" t="str">
        <v>824074.07</v>
      </c>
      <c r="G614" s="19" t="n">
        <v>26700000</v>
      </c>
      <c r="H614" s="2" t="str">
        <v>2.xlsx | 订单!Q206</v>
      </c>
    </row>
    <row r="615" ht="26" customHeight="1">
      <c r="A615" s="2" t="str">
        <v>S2-00206-BH</v>
      </c>
      <c r="B615" s="2" t="str">
        <v>INP1402</v>
      </c>
      <c r="C615" s="20" t="str">
        <v>Nồi áp suất 6L INP1402</v>
      </c>
      <c r="D615" s="2" t="str">
        <v>Cái</v>
      </c>
      <c r="E615" s="2" t="str">
        <v>30</v>
      </c>
      <c r="F615" s="2" t="str">
        <v>937962.97</v>
      </c>
      <c r="G615" s="19" t="n">
        <v>30390000</v>
      </c>
      <c r="H615" s="2" t="str">
        <v>2.xlsx | 订单!Q207</v>
      </c>
    </row>
    <row r="616" ht="26" customHeight="1">
      <c r="A616" s="2" t="str">
        <v>S2-00209-BH</v>
      </c>
      <c r="B616" s="2" t="str">
        <v>INP6001</v>
      </c>
      <c r="C616" s="20" t="str">
        <v>Nồi cơm điện tử 
(Nồi cơm điện đa năng giảm đường) INP6001</v>
      </c>
      <c r="D616" s="2" t="str">
        <v>Cái</v>
      </c>
      <c r="E616" s="2" t="str">
        <v>20</v>
      </c>
      <c r="F616" s="2" t="str">
        <v>1138888.88</v>
      </c>
      <c r="G616" s="19" t="n">
        <v>24600000</v>
      </c>
      <c r="H616" s="2" t="str">
        <v>2.xlsx | 订单!Q209</v>
      </c>
    </row>
    <row r="617" ht="26" customHeight="1">
      <c r="A617" s="2" t="str">
        <v>S2-00209-BH</v>
      </c>
      <c r="B617" s="2" t="str">
        <v>INP2301</v>
      </c>
      <c r="C617" s="20" t="str">
        <v>Chảo rán INP2301</v>
      </c>
      <c r="D617" s="2" t="str">
        <v>Bộ</v>
      </c>
      <c r="E617" s="2" t="str">
        <v>20</v>
      </c>
      <c r="F617" s="2" t="str">
        <v>416666.66</v>
      </c>
      <c r="G617" s="19" t="n">
        <v>9000000</v>
      </c>
      <c r="H617" s="2" t="str">
        <v>2.xlsx | 订单!Q210</v>
      </c>
    </row>
    <row r="618" ht="26" customHeight="1">
      <c r="A618" s="2" t="str">
        <v>S2-00211-BH</v>
      </c>
      <c r="B618" s="2" t="str">
        <v>INP6701</v>
      </c>
      <c r="C618" s="20" t="str">
        <v>Máy xay thực phẩm INP6701</v>
      </c>
      <c r="D618" s="2" t="str">
        <v>Cái</v>
      </c>
      <c r="E618" s="2" t="str">
        <v>24</v>
      </c>
      <c r="F618" s="2" t="str">
        <v>361111.11</v>
      </c>
      <c r="G618" s="19" t="n">
        <v>9360000</v>
      </c>
      <c r="H618" s="2" t="str">
        <v>2.xlsx | 订单!Q211</v>
      </c>
    </row>
    <row r="619" ht="26" customHeight="1">
      <c r="A619" s="2" t="str">
        <v>S2-00212-BH</v>
      </c>
      <c r="B619" s="2" t="str">
        <v>INP6002</v>
      </c>
      <c r="C619" s="20" t="str">
        <v>Nồi cơm điện tử (Nồi cơm điện đa năng giảm đường) INP6002</v>
      </c>
      <c r="D619" s="2" t="str">
        <v>Cái</v>
      </c>
      <c r="E619" s="2" t="str">
        <v>20</v>
      </c>
      <c r="F619" s="2" t="str">
        <v>1097222.22</v>
      </c>
      <c r="G619" s="19" t="n">
        <v>23700000</v>
      </c>
      <c r="H619" s="2" t="str">
        <v>2.xlsx | 订单!Q212</v>
      </c>
    </row>
    <row r="620" ht="26" customHeight="1">
      <c r="A620" s="2" t="str">
        <v>S2-00212-BH</v>
      </c>
      <c r="B620" s="2" t="str">
        <v>INP1201</v>
      </c>
      <c r="C620" s="20" t="str">
        <v>Nồi Inox INP1201</v>
      </c>
      <c r="D620" s="2" t="str">
        <v>Nồi</v>
      </c>
      <c r="E620" s="2" t="str">
        <v>12</v>
      </c>
      <c r="F620" s="2" t="str">
        <v>387962.96</v>
      </c>
      <c r="G620" s="19" t="n">
        <v>5028000</v>
      </c>
      <c r="H620" s="2" t="str">
        <v>2.xlsx | 订单!Q213</v>
      </c>
    </row>
    <row r="621" ht="26" customHeight="1">
      <c r="A621" s="2" t="str">
        <v>S2-00212-BH</v>
      </c>
      <c r="B621" s="2" t="str">
        <v>INP1202</v>
      </c>
      <c r="C621" s="20" t="str">
        <v>Nồi Inox INP1202</v>
      </c>
      <c r="D621" s="2" t="str">
        <v>Nồi</v>
      </c>
      <c r="E621" s="2" t="str">
        <v>12</v>
      </c>
      <c r="F621" s="2" t="str">
        <v>472222.22</v>
      </c>
      <c r="G621" s="19" t="n">
        <v>6120000</v>
      </c>
      <c r="H621" s="2" t="str">
        <v>2.xlsx | 订单!Q214</v>
      </c>
    </row>
    <row r="622" ht="26" customHeight="1">
      <c r="A622" s="2" t="str">
        <v>S2-00212-BH</v>
      </c>
      <c r="B622" s="2" t="str">
        <v>INP1203</v>
      </c>
      <c r="C622" s="20" t="str">
        <v>Nồi Inox INP1203</v>
      </c>
      <c r="D622" s="2" t="str">
        <v>Nồi</v>
      </c>
      <c r="E622" s="2" t="str">
        <v>12</v>
      </c>
      <c r="F622" s="2" t="str">
        <v>492592.59</v>
      </c>
      <c r="G622" s="19" t="n">
        <v>6384000</v>
      </c>
      <c r="H622" s="2" t="str">
        <v>2.xlsx | 订单!Q215</v>
      </c>
    </row>
    <row r="623" ht="26" customHeight="1">
      <c r="A623" s="2" t="str">
        <v>S2-00217-TH</v>
      </c>
      <c r="B623" s="2" t="str">
        <v>INP6101</v>
      </c>
      <c r="C623" s="20" t="str">
        <v>Bếp từ đơn INP6101( 2200W, mặt kính màu sữa )</v>
      </c>
      <c r="D623" s="2" t="str">
        <v>Cái</v>
      </c>
      <c r="E623" s="2" t="str">
        <v>-12</v>
      </c>
      <c r="F623" s="2" t="str">
        <v>601851.85</v>
      </c>
      <c r="G623" s="19" t="n">
        <v>7800000</v>
      </c>
      <c r="H623" s="2" t="str">
        <v>2.xlsx | 订单!Q217</v>
      </c>
    </row>
    <row r="624" ht="26" customHeight="1">
      <c r="A624" s="2" t="str">
        <v>S2-00217-TH</v>
      </c>
      <c r="B624" s="2" t="str">
        <v>INP6102</v>
      </c>
      <c r="C624" s="20" t="str">
        <v>Bếp thừ đơn INP6102 (2500W), 2 quạt tản</v>
      </c>
      <c r="D624" s="2" t="str">
        <v>Cái</v>
      </c>
      <c r="E624" s="2" t="str">
        <v>-6</v>
      </c>
      <c r="F624" s="2" t="str">
        <v>937962</v>
      </c>
      <c r="G624" s="19" t="n">
        <v>6077994</v>
      </c>
      <c r="H624" s="2" t="str">
        <v>2.xlsx | 订单!Q218</v>
      </c>
    </row>
    <row r="625" ht="26" customHeight="1">
      <c r="A625" s="2" t="str">
        <v>S2-00217-TH</v>
      </c>
      <c r="B625" s="2" t="str">
        <v>INP6103</v>
      </c>
      <c r="C625" s="20" t="str">
        <v>Bếp từ đơn INP6103</v>
      </c>
      <c r="D625" s="2" t="str">
        <v>Cái</v>
      </c>
      <c r="E625" s="2" t="str">
        <v>-6</v>
      </c>
      <c r="F625" s="2" t="str">
        <v>799074</v>
      </c>
      <c r="G625" s="19" t="n">
        <v>5178000</v>
      </c>
      <c r="H625" s="2" t="str">
        <v>2.xlsx | 订单!Q219</v>
      </c>
    </row>
    <row r="626" ht="26" customHeight="1">
      <c r="A626" s="2" t="str">
        <v>S2-00217-TH</v>
      </c>
      <c r="B626" s="2" t="str">
        <v>INP6104</v>
      </c>
      <c r="C626" s="20" t="str">
        <v>Bếp từ đơn INP6104 ( 2500W ) </v>
      </c>
      <c r="D626" s="2" t="str">
        <v>Cái</v>
      </c>
      <c r="E626" s="2" t="str">
        <v>-6</v>
      </c>
      <c r="F626" s="2" t="str">
        <v>1007407.4</v>
      </c>
      <c r="G626" s="19" t="n">
        <v>6528000</v>
      </c>
      <c r="H626" s="2" t="str">
        <v>2.xlsx | 订单!Q220</v>
      </c>
    </row>
    <row r="627" ht="26" customHeight="1">
      <c r="A627" s="2" t="str">
        <v>S2-00222-BH</v>
      </c>
      <c r="B627" s="2" t="str">
        <v>INP1001</v>
      </c>
      <c r="C627" s="20" t="str">
        <v>Bộ nồi inox INP1001</v>
      </c>
      <c r="D627" s="2" t="str">
        <v>Bộ</v>
      </c>
      <c r="E627" s="2" t="str">
        <v>20</v>
      </c>
      <c r="F627" s="2" t="str">
        <v>480555.6</v>
      </c>
      <c r="G627" s="19" t="n">
        <v>10380001</v>
      </c>
      <c r="H627" s="2" t="str">
        <v>2.xlsx | 订单!Q222</v>
      </c>
    </row>
    <row r="628" ht="26" customHeight="1">
      <c r="A628" s="2" t="str">
        <v>S2-00222-BH</v>
      </c>
      <c r="B628" s="2" t="str">
        <v>INP1003</v>
      </c>
      <c r="C628" s="20" t="str">
        <v>Bộ nồi Inox INP1003 </v>
      </c>
      <c r="D628" s="2" t="str">
        <v>Bộ</v>
      </c>
      <c r="E628" s="2" t="str">
        <v>20</v>
      </c>
      <c r="F628" s="2" t="str">
        <v>324074.07</v>
      </c>
      <c r="G628" s="19" t="n">
        <v>7000000</v>
      </c>
      <c r="H628" s="2" t="str">
        <v>2.xlsx | 订单!Q223</v>
      </c>
    </row>
    <row r="629" ht="26" customHeight="1">
      <c r="A629" s="2" t="str">
        <v>S2-00226-BH</v>
      </c>
      <c r="B629" s="2" t="str">
        <v>INP6701</v>
      </c>
      <c r="C629" s="20" t="str">
        <v>Máy xay thực phẩm INP6701</v>
      </c>
      <c r="D629" s="2" t="str">
        <v>Cái</v>
      </c>
      <c r="E629" s="2" t="str">
        <v>56</v>
      </c>
      <c r="F629" s="2" t="str">
        <v>361111.11</v>
      </c>
      <c r="G629" s="19" t="n">
        <v>21840000</v>
      </c>
      <c r="H629" s="2" t="str">
        <v>2.xlsx | 订单!Q226</v>
      </c>
    </row>
    <row r="630" ht="26" customHeight="1">
      <c r="A630" s="2" t="str">
        <v>S2-00228-BH</v>
      </c>
      <c r="B630" s="2" t="str">
        <v>INP6902</v>
      </c>
      <c r="C630" s="20" t="str">
        <v>Nồi áp suất điện INP6902</v>
      </c>
      <c r="D630" s="2" t="str">
        <v>Cái</v>
      </c>
      <c r="E630" s="2" t="str">
        <v>40</v>
      </c>
      <c r="F630" s="2" t="str">
        <v>814814.81</v>
      </c>
      <c r="G630" s="19" t="n">
        <v>35200000</v>
      </c>
      <c r="H630" s="2" t="str">
        <v>2.xlsx | 订单!Q228</v>
      </c>
    </row>
    <row r="631" ht="26" customHeight="1">
      <c r="A631" s="2" t="str">
        <v>S2-00228-BH</v>
      </c>
      <c r="B631" s="2" t="str">
        <v>INP6903</v>
      </c>
      <c r="C631" s="20" t="str">
        <v>Nồi áp suất điện INP6903</v>
      </c>
      <c r="D631" s="2" t="str">
        <v>Cái</v>
      </c>
      <c r="E631" s="2" t="str">
        <v>20</v>
      </c>
      <c r="F631" s="2" t="str">
        <v>907407.41</v>
      </c>
      <c r="G631" s="19" t="n">
        <v>19600000</v>
      </c>
      <c r="H631" s="2" t="str">
        <v>2.xlsx | 订单!Q229</v>
      </c>
    </row>
    <row r="632" ht="26" customHeight="1">
      <c r="A632" s="2" t="str">
        <v>S2-00232-BH</v>
      </c>
      <c r="B632" s="2" t="str">
        <v>INP6407</v>
      </c>
      <c r="C632" s="20" t="str">
        <v>	Quạt để bàn mini INP6407</v>
      </c>
      <c r="D632" s="2" t="str">
        <v>Cái</v>
      </c>
      <c r="E632" s="2" t="str">
        <v>36</v>
      </c>
      <c r="F632" s="2" t="str">
        <v>231481.48</v>
      </c>
      <c r="G632" s="19" t="n">
        <v>9000000</v>
      </c>
      <c r="H632" s="2" t="str">
        <v>2.xlsx | 订单!Q232</v>
      </c>
    </row>
    <row r="633" ht="26" customHeight="1">
      <c r="A633" s="2" t="str">
        <v>S2-00232-BH</v>
      </c>
      <c r="B633" s="2" t="str">
        <v>INP6408</v>
      </c>
      <c r="C633" s="20" t="str">
        <v>Quạt hai đầu đa năng để bàn INP6408</v>
      </c>
      <c r="D633" s="2" t="str">
        <v>Cái</v>
      </c>
      <c r="E633" s="2" t="str">
        <v>40</v>
      </c>
      <c r="F633" s="2" t="str">
        <v>185185.19</v>
      </c>
      <c r="G633" s="19" t="n">
        <v>8000000</v>
      </c>
      <c r="H633" s="2" t="str">
        <v>2.xlsx | 订单!Q233</v>
      </c>
    </row>
    <row r="634" ht="26" customHeight="1">
      <c r="A634" s="2" t="str">
        <v>S2-00232-BH</v>
      </c>
      <c r="B634" s="2" t="str">
        <v>INP6409</v>
      </c>
      <c r="C634" s="20" t="str">
        <v>	
Quạt để bàn mini INP6409</v>
      </c>
      <c r="D634" s="2" t="str">
        <v>Cái</v>
      </c>
      <c r="E634" s="2" t="str">
        <v>60</v>
      </c>
      <c r="F634" s="2" t="str">
        <v>203703.7</v>
      </c>
      <c r="G634" s="19" t="n">
        <v>13200000</v>
      </c>
      <c r="H634" s="2" t="str">
        <v>2.xlsx | 订单!Q234</v>
      </c>
    </row>
    <row r="635" ht="26" customHeight="1">
      <c r="A635" s="2" t="str">
        <v>S2-00232-BH</v>
      </c>
      <c r="B635" s="2" t="str">
        <v>INP6410</v>
      </c>
      <c r="C635" s="20" t="str">
        <v>	
Quạt để bàn mini INP6410</v>
      </c>
      <c r="D635" s="2" t="str">
        <v>Cái</v>
      </c>
      <c r="E635" s="2" t="str">
        <v>60</v>
      </c>
      <c r="F635" s="2" t="str">
        <v>231481.48</v>
      </c>
      <c r="G635" s="19" t="n">
        <v>15000000</v>
      </c>
      <c r="H635" s="2" t="str">
        <v>2.xlsx | 订单!Q235</v>
      </c>
    </row>
    <row r="636" ht="26" customHeight="1">
      <c r="A636" s="2" t="str">
        <v>S2-00232-BH</v>
      </c>
      <c r="B636" s="2" t="str">
        <v>INP6411</v>
      </c>
      <c r="C636" s="20" t="str">
        <v>Quạt tích điện INP6411</v>
      </c>
      <c r="D636" s="2" t="str">
        <v>Cái</v>
      </c>
      <c r="E636" s="2" t="str">
        <v>40</v>
      </c>
      <c r="F636" s="2" t="str">
        <v>425925.93</v>
      </c>
      <c r="G636" s="19" t="n">
        <v>18400000</v>
      </c>
      <c r="H636" s="2" t="str">
        <v>2.xlsx | 订单!Q236</v>
      </c>
    </row>
    <row r="637" ht="26" customHeight="1">
      <c r="A637" s="2" t="str">
        <v>S2-00238-BH</v>
      </c>
      <c r="B637" s="2" t="str">
        <v>INP6902</v>
      </c>
      <c r="C637" s="20" t="str">
        <v>Nồi áp suất điện INP6902</v>
      </c>
      <c r="D637" s="2" t="str">
        <v>Cái</v>
      </c>
      <c r="E637" s="2" t="str">
        <v>30</v>
      </c>
      <c r="F637" s="2" t="str">
        <v>814814.81</v>
      </c>
      <c r="G637" s="19" t="n">
        <v>26400000</v>
      </c>
      <c r="H637" s="2" t="str">
        <v>2.xlsx | 订单!Q238</v>
      </c>
    </row>
    <row r="638" ht="26" customHeight="1">
      <c r="A638" s="2" t="str">
        <v>S2-00239-BH</v>
      </c>
      <c r="B638" s="2" t="str">
        <v>INP6001</v>
      </c>
      <c r="C638" s="20" t="str">
        <v>Nồi cơm điện tử 
(Nồi cơm điện đa năng giảm đường) INP6001</v>
      </c>
      <c r="D638" s="2" t="str">
        <v>Cái</v>
      </c>
      <c r="E638" s="2" t="str">
        <v>20</v>
      </c>
      <c r="F638" s="2" t="str">
        <v>1138888.88</v>
      </c>
      <c r="G638" s="19" t="n">
        <v>24600000</v>
      </c>
      <c r="H638" s="2" t="str">
        <v>2.xlsx | 订单!Q239</v>
      </c>
    </row>
    <row r="639" ht="26" customHeight="1">
      <c r="A639" s="2" t="str">
        <v>S2-00241-BH</v>
      </c>
      <c r="B639" s="2" t="str">
        <v>INP6901</v>
      </c>
      <c r="C639" s="20" t="str">
        <v>Nồi áp suất điện INP6901</v>
      </c>
      <c r="D639" s="2" t="str">
        <v>Cái</v>
      </c>
      <c r="E639" s="2" t="str">
        <v>20</v>
      </c>
      <c r="F639" s="2" t="str">
        <v>861111.11</v>
      </c>
      <c r="G639" s="19" t="n">
        <v>18600000</v>
      </c>
      <c r="H639" s="2" t="str">
        <v>2.xlsx | 订单!Q241</v>
      </c>
    </row>
    <row r="640" ht="26" customHeight="1">
      <c r="A640" s="2" t="str">
        <v>S2-00242-BH</v>
      </c>
      <c r="B640" s="2" t="str">
        <v>INP6105</v>
      </c>
      <c r="C640" s="20" t="str">
        <v>Bếp từ đơn INP6105</v>
      </c>
      <c r="D640" s="2" t="str">
        <v>Cái</v>
      </c>
      <c r="E640" s="2" t="str">
        <v>18</v>
      </c>
      <c r="F640" s="2" t="str">
        <v>675925.93</v>
      </c>
      <c r="G640" s="19" t="n">
        <v>13140000</v>
      </c>
      <c r="H640" s="2" t="str">
        <v>2.xlsx | 订单!Q242</v>
      </c>
    </row>
    <row r="641" ht="26" customHeight="1">
      <c r="A641" s="2" t="str">
        <v>S2-01065-BH</v>
      </c>
      <c r="B641" s="2" t="str">
        <v>INP6902</v>
      </c>
      <c r="C641" s="20" t="str">
        <v>Nồi áp suất điện INP6902</v>
      </c>
      <c r="D641" s="2" t="str">
        <v>cái</v>
      </c>
      <c r="E641" s="2" t="str">
        <v>30</v>
      </c>
      <c r="F641" s="2" t="str">
        <v>814814.81</v>
      </c>
      <c r="G641" s="19" t="n">
        <v>26400000</v>
      </c>
      <c r="H641" s="2" t="str">
        <v>2.xlsx | 订单!Q1065</v>
      </c>
    </row>
    <row r="642" ht="26" customHeight="1">
      <c r="A642" s="2" t="str">
        <v>S2-01066-BH</v>
      </c>
      <c r="B642" s="2" t="str">
        <v>INP6004</v>
      </c>
      <c r="C642" s="20" t="str">
        <v>Nồi cơm điện INP6004 (1,2L)</v>
      </c>
      <c r="D642" s="2" t="str">
        <v>cái</v>
      </c>
      <c r="E642" s="2" t="str">
        <v>15</v>
      </c>
      <c r="F642" s="2" t="str">
        <v>537037.04</v>
      </c>
      <c r="G642" s="19" t="n">
        <v>8700000</v>
      </c>
      <c r="H642" s="2" t="str">
        <v>2.xlsx | 订单!Q1066</v>
      </c>
    </row>
    <row r="643" ht="26" customHeight="1">
      <c r="A643" s="2" t="str">
        <v>S2-01066-BH</v>
      </c>
      <c r="B643" s="2" t="str">
        <v>INP6005</v>
      </c>
      <c r="C643" s="20" t="str">
        <v>Nồi cơm điện INP6005 (1,8L)</v>
      </c>
      <c r="D643" s="2" t="str">
        <v>cái</v>
      </c>
      <c r="E643" s="2" t="str">
        <v>15</v>
      </c>
      <c r="F643" s="2" t="str">
        <v>638888.89</v>
      </c>
      <c r="G643" s="19" t="n">
        <v>10350000</v>
      </c>
      <c r="H643" s="2" t="str">
        <v>2.xlsx | 订单!Q1067</v>
      </c>
    </row>
    <row r="644" ht="26" customHeight="1">
      <c r="A644" s="2" t="str">
        <v>S2-01066-BH</v>
      </c>
      <c r="B644" s="2" t="str">
        <v>INP6006</v>
      </c>
      <c r="C644" s="20" t="str">
        <v>Nồi cơm điện INP6006 (1,2L)</v>
      </c>
      <c r="D644" s="2" t="str">
        <v>cái</v>
      </c>
      <c r="E644" s="2" t="str">
        <v>15</v>
      </c>
      <c r="F644" s="2" t="str">
        <v>527777.78</v>
      </c>
      <c r="G644" s="19" t="n">
        <v>8550000</v>
      </c>
      <c r="H644" s="2" t="str">
        <v>2.xlsx | 订单!Q1068</v>
      </c>
    </row>
    <row r="645" ht="26" customHeight="1">
      <c r="A645" s="2" t="str">
        <v>S2-01066-BH</v>
      </c>
      <c r="B645" s="2" t="str">
        <v>INP6007</v>
      </c>
      <c r="C645" s="20" t="str">
        <v>Nồi cơm điện INP6007 (1,8L)</v>
      </c>
      <c r="D645" s="2" t="str">
        <v>cái</v>
      </c>
      <c r="E645" s="2" t="str">
        <v>15</v>
      </c>
      <c r="F645" s="2" t="str">
        <v>629629.63</v>
      </c>
      <c r="G645" s="19" t="n">
        <v>10200000</v>
      </c>
      <c r="H645" s="2" t="str">
        <v>2.xlsx | 订单!Q1069</v>
      </c>
    </row>
    <row r="646" ht="26" customHeight="1">
      <c r="A646" s="2" t="str">
        <v>S2-01066-BH</v>
      </c>
      <c r="B646" s="2" t="str">
        <v>INP6008</v>
      </c>
      <c r="C646" s="20" t="str">
        <v>Nồi cơm điện INP6008 (1,2L)</v>
      </c>
      <c r="D646" s="2" t="str">
        <v>cái</v>
      </c>
      <c r="E646" s="2" t="str">
        <v>15</v>
      </c>
      <c r="F646" s="2" t="str">
        <v>574074.07</v>
      </c>
      <c r="G646" s="19" t="n">
        <v>9300000</v>
      </c>
      <c r="H646" s="2" t="str">
        <v>2.xlsx | 订单!Q1070</v>
      </c>
    </row>
    <row r="647" ht="26" customHeight="1">
      <c r="A647" s="2" t="str">
        <v>S2-01066-BH</v>
      </c>
      <c r="B647" s="2" t="str">
        <v>INP6009</v>
      </c>
      <c r="C647" s="20" t="str">
        <v>Nồi cơm điện INP6009 (1,8L)</v>
      </c>
      <c r="D647" s="2" t="str">
        <v>cái</v>
      </c>
      <c r="E647" s="2" t="str">
        <v>15</v>
      </c>
      <c r="F647" s="2" t="str">
        <v>694444.44</v>
      </c>
      <c r="G647" s="19" t="n">
        <v>11250000</v>
      </c>
      <c r="H647" s="2" t="str">
        <v>2.xlsx | 订单!Q1071</v>
      </c>
    </row>
    <row r="648" ht="26" customHeight="1">
      <c r="A648" s="2" t="str">
        <v>S2-01066-BH</v>
      </c>
      <c r="B648" s="2" t="str">
        <v>INP6010</v>
      </c>
      <c r="C648" s="20" t="str">
        <v>Nồi cơm điện INP6010 (1,2L)</v>
      </c>
      <c r="D648" s="2" t="str">
        <v>cái</v>
      </c>
      <c r="E648" s="2" t="str">
        <v>15</v>
      </c>
      <c r="F648" s="2" t="str">
        <v>481481.48</v>
      </c>
      <c r="G648" s="19" t="n">
        <v>7800000</v>
      </c>
      <c r="H648" s="2" t="str">
        <v>2.xlsx | 订单!Q1072</v>
      </c>
    </row>
    <row r="649" ht="26" customHeight="1">
      <c r="A649" s="2" t="str">
        <v>S2-01066-BH</v>
      </c>
      <c r="B649" s="2" t="str">
        <v>INP6011</v>
      </c>
      <c r="C649" s="20" t="str">
        <v>Nồi cơm điện INP6011 (1,8L)</v>
      </c>
      <c r="D649" s="2" t="str">
        <v>cái</v>
      </c>
      <c r="E649" s="2" t="str">
        <v>15</v>
      </c>
      <c r="F649" s="2" t="str">
        <v>574074.07</v>
      </c>
      <c r="G649" s="19" t="n">
        <v>9300000</v>
      </c>
      <c r="H649" s="2" t="str">
        <v>2.xlsx | 订单!Q1073</v>
      </c>
    </row>
    <row r="650" ht="26" customHeight="1">
      <c r="A650" s="2" t="str">
        <v>S2-01250-BH</v>
      </c>
      <c r="B650" s="2" t="str">
        <v>INP6004</v>
      </c>
      <c r="C650" s="20" t="str">
        <v>Nồi cơm điện INP6004 (1,2L)</v>
      </c>
      <c r="D650" s="2" t="str">
        <v>Cái</v>
      </c>
      <c r="E650" s="2" t="str">
        <v>30</v>
      </c>
      <c r="F650" s="2" t="str">
        <v>537037.04</v>
      </c>
      <c r="G650" s="19" t="n">
        <v>17400000</v>
      </c>
      <c r="H650" s="2" t="str">
        <v>2.xlsx | 订单!Q1250</v>
      </c>
    </row>
    <row r="651" ht="26" customHeight="1">
      <c r="A651" s="2" t="str">
        <v>S2-01250-BH</v>
      </c>
      <c r="B651" s="2" t="str">
        <v>INP6005</v>
      </c>
      <c r="C651" s="20" t="str">
        <v>Nồi cơm điện INP6005 (1,8L)</v>
      </c>
      <c r="D651" s="2" t="str">
        <v>Cái</v>
      </c>
      <c r="E651" s="2" t="str">
        <v>30</v>
      </c>
      <c r="F651" s="2" t="str">
        <v>638888.89</v>
      </c>
      <c r="G651" s="19" t="n">
        <v>20700000</v>
      </c>
      <c r="H651" s="2" t="str">
        <v>2.xlsx | 订单!Q1251</v>
      </c>
    </row>
    <row r="652" ht="26" customHeight="1">
      <c r="A652" s="2" t="str">
        <v>S2-01250-BH</v>
      </c>
      <c r="B652" s="2" t="str">
        <v>INP6006</v>
      </c>
      <c r="C652" s="20" t="str">
        <v>Nồi cơm điện INP6006 (1,2L)</v>
      </c>
      <c r="D652" s="2" t="str">
        <v>Cái</v>
      </c>
      <c r="E652" s="2" t="str">
        <v>30</v>
      </c>
      <c r="F652" s="2" t="str">
        <v>527777.78</v>
      </c>
      <c r="G652" s="19" t="n">
        <v>17100000</v>
      </c>
      <c r="H652" s="2" t="str">
        <v>2.xlsx | 订单!Q1252</v>
      </c>
    </row>
    <row r="653" ht="26" customHeight="1">
      <c r="A653" s="2" t="str">
        <v>S2-01250-BH</v>
      </c>
      <c r="B653" s="2" t="str">
        <v>INP6007</v>
      </c>
      <c r="C653" s="20" t="str">
        <v>Nồi cơm điện INP6007 (1,8L)</v>
      </c>
      <c r="D653" s="2" t="str">
        <v>Cái</v>
      </c>
      <c r="E653" s="2" t="str">
        <v>30</v>
      </c>
      <c r="F653" s="2" t="str">
        <v>629629.63</v>
      </c>
      <c r="G653" s="19" t="n">
        <v>20400000</v>
      </c>
      <c r="H653" s="2" t="str">
        <v>2.xlsx | 订单!Q1253</v>
      </c>
    </row>
    <row r="654" ht="26" customHeight="1">
      <c r="A654" s="2" t="str">
        <v>S2-01250-BH</v>
      </c>
      <c r="B654" s="2" t="str">
        <v>INP6010</v>
      </c>
      <c r="C654" s="20" t="str">
        <v>Nồi cơm điện INP6010 (1,2L)</v>
      </c>
      <c r="D654" s="2" t="str">
        <v>Cái</v>
      </c>
      <c r="E654" s="2" t="str">
        <v>30</v>
      </c>
      <c r="F654" s="2" t="str">
        <v>481481.48</v>
      </c>
      <c r="G654" s="19" t="n">
        <v>15600000</v>
      </c>
      <c r="H654" s="2" t="str">
        <v>2.xlsx | 订单!Q1254</v>
      </c>
    </row>
    <row r="655" ht="26" customHeight="1">
      <c r="A655" s="2" t="str">
        <v>S2-01250-BH</v>
      </c>
      <c r="B655" s="2" t="str">
        <v>INP6011</v>
      </c>
      <c r="C655" s="20" t="str">
        <v>Nồi cơm điện INP6011 (1,8L)</v>
      </c>
      <c r="D655" s="2" t="str">
        <v>Cái</v>
      </c>
      <c r="E655" s="2" t="str">
        <v>30</v>
      </c>
      <c r="F655" s="2" t="str">
        <v>574074.07</v>
      </c>
      <c r="G655" s="19" t="n">
        <v>18600000</v>
      </c>
      <c r="H655" s="2" t="str">
        <v>2.xlsx | 订单!Q1255</v>
      </c>
    </row>
    <row r="656" ht="26" customHeight="1">
      <c r="A656" s="2" t="str">
        <v>S2-01250-BH</v>
      </c>
      <c r="B656" s="2" t="str">
        <v>INP6012</v>
      </c>
      <c r="C656" s="20" t="str">
        <v>Nồi cơm điện INP6012 (1,8L)</v>
      </c>
      <c r="D656" s="2" t="str">
        <v>Cái</v>
      </c>
      <c r="E656" s="2" t="str">
        <v>4</v>
      </c>
      <c r="F656" s="2" t="str">
        <v>601851.85</v>
      </c>
      <c r="G656" s="19" t="n">
        <v>2600000</v>
      </c>
      <c r="H656" s="2" t="str">
        <v>2.xlsx | 订单!Q1256</v>
      </c>
    </row>
    <row r="657" ht="26" customHeight="1">
      <c r="A657" s="2" t="str">
        <v>S2-01250-BH</v>
      </c>
      <c r="B657" s="2" t="str">
        <v>INP6701</v>
      </c>
      <c r="C657" s="20" t="str">
        <v>Máy xay thực phẩm INP6701</v>
      </c>
      <c r="D657" s="2" t="str">
        <v>Cái</v>
      </c>
      <c r="E657" s="2" t="str">
        <v>40</v>
      </c>
      <c r="F657" s="2" t="str">
        <v>382407.41</v>
      </c>
      <c r="G657" s="19" t="n">
        <v>16520000</v>
      </c>
      <c r="H657" s="2" t="str">
        <v>2.xlsx | 订单!Q1257</v>
      </c>
    </row>
    <row r="658" ht="26" customHeight="1">
      <c r="A658" s="2" t="str">
        <v>S2-01250-BH</v>
      </c>
      <c r="B658" s="2" t="str">
        <v>INP6202</v>
      </c>
      <c r="C658" s="20" t="str">
        <v>Ấm điện siêu tốc INP6202 1,7 lít màu đen</v>
      </c>
      <c r="D658" s="2" t="str">
        <v>Cái</v>
      </c>
      <c r="E658" s="2" t="str">
        <v>36</v>
      </c>
      <c r="F658" s="2" t="str">
        <v>325925.93</v>
      </c>
      <c r="G658" s="19" t="n">
        <v>12672000</v>
      </c>
      <c r="H658" s="2" t="str">
        <v>2.xlsx | 订单!Q1258</v>
      </c>
    </row>
    <row r="659" ht="26" customHeight="1">
      <c r="A659" s="2" t="str">
        <v>S2-01250-BH</v>
      </c>
      <c r="B659" s="2" t="str">
        <v>INP6204</v>
      </c>
      <c r="C659" s="20" t="str">
        <v>Ấm đun nước INP6204, 1.0L</v>
      </c>
      <c r="D659" s="2" t="str">
        <v>Cái</v>
      </c>
      <c r="E659" s="2" t="str">
        <v>24</v>
      </c>
      <c r="F659" s="2" t="str">
        <v>284259.26</v>
      </c>
      <c r="G659" s="19" t="n">
        <v>7368000</v>
      </c>
      <c r="H659" s="2" t="str">
        <v>2.xlsx | 订单!Q1259</v>
      </c>
    </row>
    <row r="660" ht="26" customHeight="1">
      <c r="A660" s="2" t="str">
        <v>S2-01250-BH</v>
      </c>
      <c r="B660" s="2" t="str">
        <v>INP6206</v>
      </c>
      <c r="C660" s="20" t="str">
        <v>Ấm đun nước INP6206 , 1,7 lít</v>
      </c>
      <c r="D660" s="2" t="str">
        <v>Cái</v>
      </c>
      <c r="E660" s="2" t="str">
        <v>12</v>
      </c>
      <c r="F660" s="2" t="str">
        <v>263888.89</v>
      </c>
      <c r="G660" s="19" t="n">
        <v>3420000</v>
      </c>
      <c r="H660" s="2" t="str">
        <v>2.xlsx | 订单!Q1260</v>
      </c>
    </row>
    <row r="661" ht="26" customHeight="1">
      <c r="A661" s="2" t="str">
        <v>S2-01271-BH</v>
      </c>
      <c r="B661" s="2" t="str">
        <v>INP6012</v>
      </c>
      <c r="C661" s="20" t="str">
        <v>Nồi cơm điện INP6012 (1,8L)</v>
      </c>
      <c r="D661" s="2" t="str">
        <v>Cái</v>
      </c>
      <c r="E661" s="2" t="str">
        <v>26</v>
      </c>
      <c r="F661" s="2" t="str">
        <v>601851.85</v>
      </c>
      <c r="G661" s="19" t="n">
        <v>16900000</v>
      </c>
      <c r="H661" s="2" t="str">
        <v>2.xlsx | 订单!Q1271</v>
      </c>
    </row>
    <row r="662" ht="26" customHeight="1">
      <c r="A662" s="2" t="str">
        <v>S2-01693-BH</v>
      </c>
      <c r="B662" s="2" t="str">
        <v>INP6010</v>
      </c>
      <c r="C662" s="20" t="str">
        <v>Nồi cơm điện INP6010 (1,2L)</v>
      </c>
      <c r="D662" s="2" t="str">
        <v>Cái</v>
      </c>
      <c r="E662" s="2" t="str">
        <v>15</v>
      </c>
      <c r="F662" s="2" t="str">
        <v>481481.48</v>
      </c>
      <c r="G662" s="19" t="n">
        <v>7800000</v>
      </c>
      <c r="H662" s="2" t="str">
        <v>2.xlsx | 订单!Q1693</v>
      </c>
    </row>
    <row r="663" ht="26" customHeight="1">
      <c r="A663" s="2" t="str">
        <v>S2-01693-BH</v>
      </c>
      <c r="B663" s="2" t="str">
        <v>INP6011</v>
      </c>
      <c r="C663" s="20" t="str">
        <v>Nồi cơm điện INP6011 (1,8L)</v>
      </c>
      <c r="D663" s="2" t="str">
        <v>Cái</v>
      </c>
      <c r="E663" s="2" t="str">
        <v>15</v>
      </c>
      <c r="F663" s="2" t="str">
        <v>574074.07</v>
      </c>
      <c r="G663" s="19" t="n">
        <v>9300000</v>
      </c>
      <c r="H663" s="2" t="str">
        <v>2.xlsx | 订单!Q1694</v>
      </c>
    </row>
    <row r="664" ht="26" customHeight="1">
      <c r="A664" s="2" t="str">
        <v>S2-01693-BH</v>
      </c>
      <c r="B664" s="2" t="str">
        <v>INP6902</v>
      </c>
      <c r="C664" s="20" t="str">
        <v>Nồi áp suất điện INP6902</v>
      </c>
      <c r="D664" s="2" t="str">
        <v>Cái</v>
      </c>
      <c r="E664" s="2" t="str">
        <v>20</v>
      </c>
      <c r="F664" s="2" t="str">
        <v>814814.81</v>
      </c>
      <c r="G664" s="19" t="n">
        <v>17600000</v>
      </c>
      <c r="H664" s="2" t="str">
        <v>2.xlsx | 订单!Q1695</v>
      </c>
    </row>
    <row r="665" ht="26" customHeight="1">
      <c r="A665" s="2" t="str">
        <v>S2-01693-BH</v>
      </c>
      <c r="B665" s="2" t="str">
        <v>INP6105</v>
      </c>
      <c r="C665" s="20" t="str">
        <v>Bếp từ đơn INP6105</v>
      </c>
      <c r="D665" s="2" t="str">
        <v>Cái</v>
      </c>
      <c r="E665" s="2" t="str">
        <v>30</v>
      </c>
      <c r="F665" s="2" t="str">
        <v>675925.93</v>
      </c>
      <c r="G665" s="19" t="n">
        <v>21900000</v>
      </c>
      <c r="H665" s="2" t="str">
        <v>2.xlsx | 订单!Q1696</v>
      </c>
    </row>
    <row r="666" ht="26" customHeight="1">
      <c r="A666" s="2" t="str">
        <v>S2-01693-BH</v>
      </c>
      <c r="B666" s="2" t="str">
        <v>INP7951</v>
      </c>
      <c r="C666" s="20" t="str">
        <v>Máy sấy tóc INP7951</v>
      </c>
      <c r="D666" s="2" t="str">
        <v>Cái</v>
      </c>
      <c r="E666" s="2" t="str">
        <v>60</v>
      </c>
      <c r="F666" s="2" t="str">
        <v>388888.89</v>
      </c>
      <c r="G666" s="19" t="n">
        <v>25200000</v>
      </c>
      <c r="H666" s="2" t="str">
        <v>2.xlsx | 订单!Q1697</v>
      </c>
    </row>
    <row r="667" ht="26" customHeight="1">
      <c r="A667" s="2" t="str">
        <v>S2-01693-BH</v>
      </c>
      <c r="B667" s="2" t="str">
        <v>INP7952</v>
      </c>
      <c r="C667" s="20" t="str">
        <v>Máy sấy tóc INP7952</v>
      </c>
      <c r="D667" s="2" t="str">
        <v>Cái</v>
      </c>
      <c r="E667" s="2" t="str">
        <v>100</v>
      </c>
      <c r="F667" s="2" t="str">
        <v>292592.59</v>
      </c>
      <c r="G667" s="19" t="n">
        <v>31600000</v>
      </c>
      <c r="H667" s="2" t="str">
        <v>2.xlsx | 订单!Q1698</v>
      </c>
    </row>
    <row r="668" ht="26" customHeight="1">
      <c r="A668" s="2" t="str">
        <v>S2-01693-BH</v>
      </c>
      <c r="B668" s="2" t="str">
        <v>INP7953</v>
      </c>
      <c r="C668" s="20" t="str">
        <v>Máy sấy tóc INP7953</v>
      </c>
      <c r="D668" s="2" t="str">
        <v>Cái</v>
      </c>
      <c r="E668" s="2" t="str">
        <v>100</v>
      </c>
      <c r="F668" s="2" t="str">
        <v>231481.48</v>
      </c>
      <c r="G668" s="19" t="n">
        <v>25000000</v>
      </c>
      <c r="H668" s="2" t="str">
        <v>2.xlsx | 订单!Q1699</v>
      </c>
    </row>
    <row r="669" ht="26" customHeight="1">
      <c r="A669" s="2" t="str">
        <v>S2-02132-TH</v>
      </c>
      <c r="B669" s="2" t="str">
        <v>INP1003</v>
      </c>
      <c r="C669" s="20" t="str">
        <v>Bộ nồi inox INP1003</v>
      </c>
      <c r="D669" s="2" t="str">
        <v>Bộ</v>
      </c>
      <c r="E669" s="2" t="str">
        <v>-1</v>
      </c>
      <c r="F669" s="2" t="str">
        <v>324074.07</v>
      </c>
      <c r="G669" s="19" t="n">
        <v>350000</v>
      </c>
      <c r="H669" s="2" t="str">
        <v>2.xlsx | 订单!Q2132</v>
      </c>
    </row>
    <row r="670" ht="26" customHeight="1">
      <c r="A670" s="2" t="str">
        <v>S2-02132-TH</v>
      </c>
      <c r="B670" s="2" t="str">
        <v>INP1401</v>
      </c>
      <c r="C670" s="20" t="str">
        <v>Nồi áp suất INP1401</v>
      </c>
      <c r="D670" s="2" t="str">
        <v>Cái</v>
      </c>
      <c r="E670" s="2" t="str">
        <v>-1</v>
      </c>
      <c r="F670" s="2" t="str">
        <v>824074.07</v>
      </c>
      <c r="G670" s="19" t="n">
        <v>890000</v>
      </c>
      <c r="H670" s="2" t="str">
        <v>2.xlsx | 订单!Q2133</v>
      </c>
    </row>
    <row r="671" ht="26" customHeight="1">
      <c r="A671" s="2" t="str">
        <v>S2-02132-TH</v>
      </c>
      <c r="B671" s="2" t="str">
        <v>INP6002</v>
      </c>
      <c r="C671" s="20" t="str">
        <v>Nồi cơm điện tử INP6002</v>
      </c>
      <c r="D671" s="2" t="str">
        <v>Cái</v>
      </c>
      <c r="E671" s="2" t="str">
        <v>-1</v>
      </c>
      <c r="F671" s="2" t="str">
        <v>1097222.22</v>
      </c>
      <c r="G671" s="19" t="n">
        <v>1185000</v>
      </c>
      <c r="H671" s="2" t="str">
        <v>2.xlsx | 订单!Q2134</v>
      </c>
    </row>
    <row r="672" ht="26" customHeight="1">
      <c r="A672" s="2" t="str">
        <v>S2-02132-TH</v>
      </c>
      <c r="B672" s="2" t="str">
        <v>INP6902</v>
      </c>
      <c r="C672" s="20" t="str">
        <v>Nồi áp suất INP6902</v>
      </c>
      <c r="D672" s="2" t="str">
        <v>Cái</v>
      </c>
      <c r="E672" s="2" t="str">
        <v>-2</v>
      </c>
      <c r="F672" s="2" t="str">
        <v>814814.81</v>
      </c>
      <c r="G672" s="19" t="n">
        <v>1760000</v>
      </c>
      <c r="H672" s="2" t="str">
        <v>2.xlsx | 订单!Q2135</v>
      </c>
    </row>
    <row r="673" ht="26" customHeight="1">
      <c r="A673" s="2" t="str">
        <v>S2-02132-TH</v>
      </c>
      <c r="B673" s="2" t="str">
        <v>INP6701</v>
      </c>
      <c r="C673" s="20" t="str">
        <v>Máy xay thực phẩm INP6701</v>
      </c>
      <c r="D673" s="2" t="str">
        <v>Cái</v>
      </c>
      <c r="E673" s="2" t="str">
        <v>-2</v>
      </c>
      <c r="F673" s="2" t="str">
        <v>382407.41</v>
      </c>
      <c r="G673" s="19" t="n">
        <v>826000</v>
      </c>
      <c r="H673" s="2" t="str">
        <v>2.xlsx | 订单!Q2136</v>
      </c>
    </row>
    <row r="674" ht="26" customHeight="1">
      <c r="A674" s="2" t="str">
        <v>S2-02132-TH</v>
      </c>
      <c r="B674" s="2" t="str">
        <v>INP6011</v>
      </c>
      <c r="C674" s="20" t="str">
        <v>Nồi cơm điện INP6011</v>
      </c>
      <c r="D674" s="2" t="str">
        <v>Cái</v>
      </c>
      <c r="E674" s="2" t="str">
        <v>-1</v>
      </c>
      <c r="F674" s="2" t="str">
        <v>574074.07</v>
      </c>
      <c r="G674" s="19" t="n">
        <v>620000</v>
      </c>
      <c r="H674" s="2" t="str">
        <v>2.xlsx | 订单!Q2137</v>
      </c>
    </row>
    <row r="675" ht="26" customHeight="1">
      <c r="A675" s="2" t="str">
        <v>S2-02132-TH</v>
      </c>
      <c r="B675" s="2" t="str">
        <v>INP6010</v>
      </c>
      <c r="C675" s="20" t="str">
        <v>Nồi cơm điện INP6010</v>
      </c>
      <c r="D675" s="2" t="str">
        <v>Cái</v>
      </c>
      <c r="E675" s="2" t="str">
        <v>-2</v>
      </c>
      <c r="F675" s="2" t="str">
        <v>481481.48</v>
      </c>
      <c r="G675" s="19" t="n">
        <v>1040000</v>
      </c>
      <c r="H675" s="2" t="str">
        <v>2.xlsx | 订单!Q2138</v>
      </c>
    </row>
    <row r="676" ht="26" customHeight="1">
      <c r="A676" s="2" t="str">
        <v>S2-02139-TH</v>
      </c>
      <c r="B676" s="2" t="str">
        <v>INP1201</v>
      </c>
      <c r="C676" s="20" t="str">
        <v>Nồi luộc gà INP1201</v>
      </c>
      <c r="D676" s="2" t="str">
        <v>Cái</v>
      </c>
      <c r="E676" s="2" t="str">
        <v>-12</v>
      </c>
      <c r="F676" s="2" t="str">
        <v>387962.96</v>
      </c>
      <c r="G676" s="19" t="n">
        <v>5028000</v>
      </c>
      <c r="H676" s="2" t="str">
        <v>2.xlsx | 订单!Q2139</v>
      </c>
    </row>
    <row r="677" ht="26" customHeight="1">
      <c r="A677" s="2" t="str">
        <v>S2-02139-TH</v>
      </c>
      <c r="B677" s="2" t="str">
        <v>INP1202</v>
      </c>
      <c r="C677" s="20" t="str">
        <v>Nồi luộc gà INP1201</v>
      </c>
      <c r="D677" s="2" t="str">
        <v>Cái</v>
      </c>
      <c r="E677" s="2" t="str">
        <v>-12</v>
      </c>
      <c r="F677" s="2" t="str">
        <v>472222.22</v>
      </c>
      <c r="G677" s="19" t="n">
        <v>6120000</v>
      </c>
      <c r="H677" s="2" t="str">
        <v>2.xlsx | 订单!Q2140</v>
      </c>
    </row>
    <row r="678" ht="26" customHeight="1">
      <c r="A678" s="2" t="str">
        <v>S2-02139-TH</v>
      </c>
      <c r="B678" s="2" t="str">
        <v>INP1203</v>
      </c>
      <c r="C678" s="20" t="str">
        <v>Nồi luộc gà INP1201</v>
      </c>
      <c r="D678" s="2" t="str">
        <v>Cái</v>
      </c>
      <c r="E678" s="2" t="str">
        <v>-8</v>
      </c>
      <c r="F678" s="2" t="str">
        <v>492592.59</v>
      </c>
      <c r="G678" s="19" t="n">
        <v>4256000</v>
      </c>
      <c r="H678" s="2" t="str">
        <v>2.xlsx | 订单!Q2141</v>
      </c>
    </row>
    <row r="679" ht="26" customHeight="1">
      <c r="A679" s="2" t="str">
        <v>S2-02139-TH</v>
      </c>
      <c r="B679" s="2" t="str">
        <v>INP2202</v>
      </c>
      <c r="C679" s="20" t="str">
        <v>Nồi luộn gà INP2202</v>
      </c>
      <c r="D679" s="2" t="str">
        <v>Cái</v>
      </c>
      <c r="E679" s="2" t="str">
        <v>-8</v>
      </c>
      <c r="F679" s="2" t="str">
        <v>844444.4</v>
      </c>
      <c r="G679" s="19" t="n">
        <v>7296000</v>
      </c>
      <c r="H679" s="2" t="str">
        <v>2.xlsx | 订单!Q2142</v>
      </c>
    </row>
    <row r="680" ht="26" customHeight="1">
      <c r="A680" s="2" t="str">
        <v>S2-02139-TH</v>
      </c>
      <c r="B680" s="2" t="str">
        <v>INP2301</v>
      </c>
      <c r="C680" s="20" t="str">
        <v>Chảo rán INP2301</v>
      </c>
      <c r="D680" s="2" t="str">
        <v>Cái</v>
      </c>
      <c r="E680" s="2" t="str">
        <v>-14</v>
      </c>
      <c r="F680" s="2" t="str">
        <v>416666.66</v>
      </c>
      <c r="G680" s="19" t="n">
        <v>6300000</v>
      </c>
      <c r="H680" s="2" t="str">
        <v>2.xlsx | 订单!Q2143</v>
      </c>
    </row>
    <row r="681" ht="26" customHeight="1">
      <c r="A681" s="2" t="str">
        <v>S2-02139-TH</v>
      </c>
      <c r="B681" s="2" t="str">
        <v>INP1101</v>
      </c>
      <c r="C681" s="20" t="str">
        <v>Bộ nồi INP1101</v>
      </c>
      <c r="D681" s="2" t="str">
        <v>Cái</v>
      </c>
      <c r="E681" s="2" t="str">
        <v>-2</v>
      </c>
      <c r="F681" s="2" t="str">
        <v>483333.33</v>
      </c>
      <c r="G681" s="19" t="n">
        <v>1044000</v>
      </c>
      <c r="H681" s="2" t="str">
        <v>2.xlsx | 订单!Q2144</v>
      </c>
    </row>
    <row r="682" ht="26" customHeight="1">
      <c r="A682" s="2" t="str">
        <v>S2-02139-TH</v>
      </c>
      <c r="B682" s="2" t="str">
        <v>INP1401</v>
      </c>
      <c r="C682" s="20" t="str">
        <v>Nồi áp suất INP1401</v>
      </c>
      <c r="D682" s="2" t="str">
        <v>Cái</v>
      </c>
      <c r="E682" s="2" t="str">
        <v>-12</v>
      </c>
      <c r="F682" s="2" t="str">
        <v>824074.07</v>
      </c>
      <c r="G682" s="19" t="n">
        <v>10680000</v>
      </c>
      <c r="H682" s="2" t="str">
        <v>2.xlsx | 订单!Q2145</v>
      </c>
    </row>
    <row r="683" ht="26" customHeight="1">
      <c r="A683" s="2" t="str">
        <v>S2-02139-TH</v>
      </c>
      <c r="B683" s="2" t="str">
        <v>INP1402</v>
      </c>
      <c r="C683" s="20" t="str">
        <v>Nồi áp suất INP1402</v>
      </c>
      <c r="D683" s="2" t="str">
        <v>Cái</v>
      </c>
      <c r="E683" s="2" t="str">
        <v>-14</v>
      </c>
      <c r="F683" s="2" t="str">
        <v>937962.97</v>
      </c>
      <c r="G683" s="19" t="n">
        <v>14182000</v>
      </c>
      <c r="H683" s="2" t="str">
        <v>2.xlsx | 订单!Q2146</v>
      </c>
    </row>
    <row r="684" ht="26" customHeight="1">
      <c r="A684" s="2" t="str">
        <v>S2-02139-TH</v>
      </c>
      <c r="B684" s="2" t="str">
        <v>INP2003</v>
      </c>
      <c r="C684" s="20" t="str">
        <v>Bộ nồi INP2003</v>
      </c>
      <c r="D684" s="2" t="str">
        <v>Cái</v>
      </c>
      <c r="E684" s="2" t="str">
        <v>-5</v>
      </c>
      <c r="F684" s="2" t="str">
        <v>1185185.2</v>
      </c>
      <c r="G684" s="19" t="n">
        <v>6400000</v>
      </c>
      <c r="H684" s="2" t="str">
        <v>2.xlsx | 订单!Q2147</v>
      </c>
    </row>
    <row r="685" ht="26" customHeight="1">
      <c r="A685" s="2" t="str">
        <v>S2-02139-TH</v>
      </c>
      <c r="B685" s="2" t="str">
        <v>INP2105</v>
      </c>
      <c r="C685" s="20" t="str">
        <v>Chảo chống dính INP2105</v>
      </c>
      <c r="D685" s="2" t="str">
        <v>Cái</v>
      </c>
      <c r="E685" s="2" t="str">
        <v>-16</v>
      </c>
      <c r="F685" s="2" t="str">
        <v>227777.8</v>
      </c>
      <c r="G685" s="19" t="n">
        <v>3936000</v>
      </c>
      <c r="H685" s="2" t="str">
        <v>2.xlsx | 订单!Q2148</v>
      </c>
    </row>
    <row r="686" ht="26" customHeight="1">
      <c r="A686" s="2" t="str">
        <v>S2-02139-TH</v>
      </c>
      <c r="B686" s="2" t="str">
        <v>INP2106</v>
      </c>
      <c r="C686" s="20" t="str">
        <v>Chảo chống dính INP2106</v>
      </c>
      <c r="D686" s="2" t="str">
        <v>Cái</v>
      </c>
      <c r="E686" s="2" t="str">
        <v>-16</v>
      </c>
      <c r="F686" s="2" t="str">
        <v>252777.8</v>
      </c>
      <c r="G686" s="19" t="n">
        <v>4368000</v>
      </c>
      <c r="H686" s="2" t="str">
        <v>2.xlsx | 订单!Q2149</v>
      </c>
    </row>
    <row r="687" ht="26" customHeight="1">
      <c r="A687" s="2" t="str">
        <v>S2-02139-TH</v>
      </c>
      <c r="B687" s="2" t="str">
        <v>INP2108</v>
      </c>
      <c r="C687" s="20" t="str">
        <v>Chảo chống dính INP2108</v>
      </c>
      <c r="D687" s="2" t="str">
        <v>Cái</v>
      </c>
      <c r="E687" s="2" t="str">
        <v>-10</v>
      </c>
      <c r="F687" s="2" t="str">
        <v>256481.5</v>
      </c>
      <c r="G687" s="19" t="n">
        <v>2770000</v>
      </c>
      <c r="H687" s="2" t="str">
        <v>2.xlsx | 订单!Q2150</v>
      </c>
    </row>
    <row r="688" ht="26" customHeight="1">
      <c r="A688" s="2" t="str">
        <v>S2-02139-TH</v>
      </c>
      <c r="B688" s="2" t="str">
        <v>INP2109</v>
      </c>
      <c r="C688" s="20" t="str">
        <v>Chảo chống dính INP2109</v>
      </c>
      <c r="D688" s="2" t="str">
        <v>Cái</v>
      </c>
      <c r="E688" s="2" t="str">
        <v>-13</v>
      </c>
      <c r="F688" s="2" t="str">
        <v>227777.8</v>
      </c>
      <c r="G688" s="19" t="n">
        <v>3198000</v>
      </c>
      <c r="H688" s="2" t="str">
        <v>2.xlsx | 订单!Q2151</v>
      </c>
    </row>
    <row r="689" ht="26" customHeight="1">
      <c r="A689" s="2" t="str">
        <v>S2-02139-TH</v>
      </c>
      <c r="B689" s="2" t="str">
        <v>INP2110</v>
      </c>
      <c r="C689" s="20" t="str">
        <v>Chảo chống dính INP2110</v>
      </c>
      <c r="D689" s="2" t="str">
        <v>Cái</v>
      </c>
      <c r="E689" s="2" t="str">
        <v>-13</v>
      </c>
      <c r="F689" s="2" t="str">
        <v>252777.8</v>
      </c>
      <c r="G689" s="19" t="n">
        <v>3549000</v>
      </c>
      <c r="H689" s="2" t="str">
        <v>2.xlsx | 订单!Q2152</v>
      </c>
    </row>
    <row r="690" ht="26" customHeight="1">
      <c r="A690" s="2" t="str">
        <v>S2-02139-TH</v>
      </c>
      <c r="B690" s="2" t="str">
        <v>INP2111</v>
      </c>
      <c r="C690" s="20" t="str">
        <v>Chảo chống dính INP2111</v>
      </c>
      <c r="D690" s="2" t="str">
        <v>Cái</v>
      </c>
      <c r="E690" s="2" t="str">
        <v>-13</v>
      </c>
      <c r="F690" s="2" t="str">
        <v>277777.8</v>
      </c>
      <c r="G690" s="19" t="n">
        <v>3900000</v>
      </c>
      <c r="H690" s="2" t="str">
        <v>2.xlsx | 订单!Q2153</v>
      </c>
    </row>
    <row r="691" ht="26" customHeight="1">
      <c r="A691" s="2" t="str">
        <v>S2-02139-TH</v>
      </c>
      <c r="B691" s="2" t="str">
        <v>INP3001</v>
      </c>
      <c r="C691" s="20" t="str">
        <v>Nồi gang tráng men INP3001</v>
      </c>
      <c r="D691" s="2" t="str">
        <v>Cái</v>
      </c>
      <c r="E691" s="2" t="str">
        <v>-10</v>
      </c>
      <c r="F691" s="2" t="str">
        <v>659259.3</v>
      </c>
      <c r="G691" s="19" t="n">
        <v>7120000</v>
      </c>
      <c r="H691" s="2" t="str">
        <v>2.xlsx | 订单!Q2154</v>
      </c>
    </row>
    <row r="692" ht="26" customHeight="1">
      <c r="A692" s="2" t="str">
        <v>S2-02139-TH</v>
      </c>
      <c r="B692" s="2" t="str">
        <v>INP3002</v>
      </c>
      <c r="C692" s="20" t="str">
        <v>Nồi gang tráng men INP3002</v>
      </c>
      <c r="D692" s="2" t="str">
        <v>Cái</v>
      </c>
      <c r="E692" s="2" t="str">
        <v>-10</v>
      </c>
      <c r="F692" s="2" t="str">
        <v>569444.4</v>
      </c>
      <c r="G692" s="19" t="n">
        <v>6150000</v>
      </c>
      <c r="H692" s="2" t="str">
        <v>2.xlsx | 订单!Q2155</v>
      </c>
    </row>
    <row r="693" ht="26" customHeight="1">
      <c r="A693" s="2" t="str">
        <v>S2-02139-TH</v>
      </c>
      <c r="B693" s="2" t="str">
        <v>INP3003</v>
      </c>
      <c r="C693" s="20" t="str">
        <v>Nồi gang tráng men INP3003</v>
      </c>
      <c r="D693" s="2" t="str">
        <v>Cái</v>
      </c>
      <c r="E693" s="2" t="str">
        <v>-12</v>
      </c>
      <c r="F693" s="2" t="str">
        <v>564814.83</v>
      </c>
      <c r="G693" s="19" t="n">
        <v>7320000</v>
      </c>
      <c r="H693" s="2" t="str">
        <v>2.xlsx | 订单!Q2156</v>
      </c>
    </row>
    <row r="694" ht="26" customHeight="1">
      <c r="A694" s="2" t="str">
        <v>S2-02139-TH</v>
      </c>
      <c r="B694" s="2" t="str">
        <v>INP3004</v>
      </c>
      <c r="C694" s="20" t="str">
        <v>Nồi gang tráng men INP3004</v>
      </c>
      <c r="D694" s="2" t="str">
        <v>Cái</v>
      </c>
      <c r="E694" s="2" t="str">
        <v>-12</v>
      </c>
      <c r="F694" s="2" t="str">
        <v>358333.33</v>
      </c>
      <c r="G694" s="19" t="n">
        <v>4644000</v>
      </c>
      <c r="H694" s="2" t="str">
        <v>2.xlsx | 订单!Q2157</v>
      </c>
    </row>
    <row r="695" ht="26" customHeight="1">
      <c r="A695" s="2" t="str">
        <v>S2-02139-TH</v>
      </c>
      <c r="B695" s="2" t="str">
        <v>INP3005</v>
      </c>
      <c r="C695" s="20" t="str">
        <v>Nồi gang tráng men INP3005</v>
      </c>
      <c r="D695" s="2" t="str">
        <v>Cái</v>
      </c>
      <c r="E695" s="2" t="str">
        <v>-12</v>
      </c>
      <c r="F695" s="2" t="str">
        <v>398148.17</v>
      </c>
      <c r="G695" s="19" t="n">
        <v>5160000</v>
      </c>
      <c r="H695" s="2" t="str">
        <v>2.xlsx | 订单!Q2158</v>
      </c>
    </row>
    <row r="696" ht="26" customHeight="1">
      <c r="A696" s="2" t="str">
        <v>S2-02139-TH</v>
      </c>
      <c r="B696" s="2" t="str">
        <v>INP6001</v>
      </c>
      <c r="C696" s="20" t="str">
        <v>Nồi cơm điện tử INP6001</v>
      </c>
      <c r="D696" s="2" t="str">
        <v>Cái</v>
      </c>
      <c r="E696" s="2" t="str">
        <v>-8</v>
      </c>
      <c r="F696" s="2" t="str">
        <v>1138888.88</v>
      </c>
      <c r="G696" s="19" t="n">
        <v>9840000</v>
      </c>
      <c r="H696" s="2" t="str">
        <v>2.xlsx | 订单!Q2159</v>
      </c>
    </row>
    <row r="697" ht="26" customHeight="1">
      <c r="A697" s="2" t="str">
        <v>S2-02139-TH</v>
      </c>
      <c r="B697" s="2" t="str">
        <v>INP6002</v>
      </c>
      <c r="C697" s="20" t="str">
        <v>Nồi cơm điện tử INP6002</v>
      </c>
      <c r="D697" s="2" t="str">
        <v>Cái</v>
      </c>
      <c r="E697" s="2" t="str">
        <v>-12</v>
      </c>
      <c r="F697" s="2" t="str">
        <v>1097222.22</v>
      </c>
      <c r="G697" s="19" t="n">
        <v>14220000</v>
      </c>
      <c r="H697" s="2" t="str">
        <v>2.xlsx | 订单!Q2160</v>
      </c>
    </row>
    <row r="698" ht="26" customHeight="1">
      <c r="A698" s="2" t="str">
        <v>S2-02139-TH</v>
      </c>
      <c r="B698" s="2" t="str">
        <v>INP6501</v>
      </c>
      <c r="C698" s="20" t="str">
        <v>Máy làm tỏi đen đa năng INP6501</v>
      </c>
      <c r="D698" s="2" t="str">
        <v>Cái</v>
      </c>
      <c r="E698" s="2" t="str">
        <v>-12</v>
      </c>
      <c r="F698" s="2" t="str">
        <v>847222.25</v>
      </c>
      <c r="G698" s="19" t="n">
        <v>10980000</v>
      </c>
      <c r="H698" s="2" t="str">
        <v>2.xlsx | 订单!Q2161</v>
      </c>
    </row>
    <row r="699" ht="26" customHeight="1">
      <c r="A699" s="2" t="str">
        <v>S2-02139-TH</v>
      </c>
      <c r="B699" s="2" t="str">
        <v>INP6601</v>
      </c>
      <c r="C699" s="20" t="str">
        <v>Máy sấy bát đĩa INP6601</v>
      </c>
      <c r="D699" s="2" t="str">
        <v>Cái</v>
      </c>
      <c r="E699" s="2" t="str">
        <v>-8</v>
      </c>
      <c r="F699" s="2" t="str">
        <v>1203703.7</v>
      </c>
      <c r="G699" s="19" t="n">
        <v>10400000</v>
      </c>
      <c r="H699" s="2" t="str">
        <v>2.xlsx | 订单!Q2162</v>
      </c>
    </row>
    <row r="700" ht="26" customHeight="1">
      <c r="A700" s="2" t="str">
        <v>S2-02139-TH</v>
      </c>
      <c r="B700" s="2" t="str">
        <v>INP6602</v>
      </c>
      <c r="C700" s="20" t="str">
        <v>Máy sấy bát đĩa INP6602</v>
      </c>
      <c r="D700" s="2" t="str">
        <v>Cái</v>
      </c>
      <c r="E700" s="2" t="str">
        <v>-4</v>
      </c>
      <c r="F700" s="2" t="str">
        <v>1361111.1</v>
      </c>
      <c r="G700" s="19" t="n">
        <v>5880000</v>
      </c>
      <c r="H700" s="2" t="str">
        <v>2.xlsx | 订单!Q2163</v>
      </c>
    </row>
    <row r="701" ht="26" customHeight="1">
      <c r="A701" s="2" t="str">
        <v>S2-02139-TH</v>
      </c>
      <c r="B701" s="2" t="str">
        <v>INP7951</v>
      </c>
      <c r="C701" s="20" t="str">
        <v>Máy sấy tóc INP7951</v>
      </c>
      <c r="D701" s="2" t="str">
        <v>Cái</v>
      </c>
      <c r="E701" s="2" t="str">
        <v>-51</v>
      </c>
      <c r="F701" s="2" t="str">
        <v>388888.89</v>
      </c>
      <c r="G701" s="19" t="n">
        <v>21420000</v>
      </c>
      <c r="H701" s="2" t="str">
        <v>2.xlsx | 订单!Q2164</v>
      </c>
    </row>
    <row r="702" ht="26" customHeight="1">
      <c r="A702" s="2" t="str">
        <v>S2-02139-TH</v>
      </c>
      <c r="B702" s="2" t="str">
        <v>INP7952</v>
      </c>
      <c r="C702" s="20" t="str">
        <v>Máy sấy tóc INP7952</v>
      </c>
      <c r="D702" s="2" t="str">
        <v>Cái</v>
      </c>
      <c r="E702" s="2" t="str">
        <v>-90</v>
      </c>
      <c r="F702" s="2" t="str">
        <v>292592.59</v>
      </c>
      <c r="G702" s="19" t="n">
        <v>28440000</v>
      </c>
      <c r="H702" s="2" t="str">
        <v>2.xlsx | 订单!Q2165</v>
      </c>
    </row>
    <row r="703" ht="26" customHeight="1">
      <c r="A703" s="2" t="str">
        <v>S2-00546-BH</v>
      </c>
      <c r="B703" s="2" t="str">
        <v>INP1003</v>
      </c>
      <c r="C703" s="20" t="str">
        <v>	
Bộ nồi  Inox INP1003 </v>
      </c>
      <c r="D703" s="2" t="str"/>
      <c r="E703" s="2" t="str">
        <v>12</v>
      </c>
      <c r="F703" s="2" t="str">
        <v>314814.83</v>
      </c>
      <c r="G703" s="19" t="n">
        <v>4080000</v>
      </c>
      <c r="H703" s="2" t="str">
        <v>2.xlsx | 订单!Q546</v>
      </c>
    </row>
    <row r="704" ht="26" customHeight="1">
      <c r="A704" s="2" t="str">
        <v>S2-00546-BH</v>
      </c>
      <c r="B704" s="2" t="str">
        <v>INP2301</v>
      </c>
      <c r="C704" s="20" t="str">
        <v>	
Chảo rán INP2301</v>
      </c>
      <c r="D704" s="2" t="str"/>
      <c r="E704" s="2" t="str">
        <v>10</v>
      </c>
      <c r="F704" s="2" t="str">
        <v>416666.7</v>
      </c>
      <c r="G704" s="19" t="n">
        <v>4500000</v>
      </c>
      <c r="H704" s="2" t="str">
        <v>2.xlsx | 订单!Q547</v>
      </c>
    </row>
    <row r="705" ht="26" customHeight="1">
      <c r="A705" s="2" t="str">
        <v>S2-00546-BH</v>
      </c>
      <c r="B705" s="2" t="str">
        <v>INP1401</v>
      </c>
      <c r="C705" s="20" t="str">
        <v>Nồi áp suất 4.5L INP1401</v>
      </c>
      <c r="D705" s="2" t="str">
        <v>Cái</v>
      </c>
      <c r="E705" s="2" t="str">
        <v>8</v>
      </c>
      <c r="F705" s="2" t="str">
        <v>824074.13</v>
      </c>
      <c r="G705" s="19" t="n">
        <v>7120001</v>
      </c>
      <c r="H705" s="2" t="str">
        <v>2.xlsx | 订单!Q548</v>
      </c>
    </row>
    <row r="706" ht="26" customHeight="1">
      <c r="A706" s="2" t="str">
        <v>S2-00546-BH</v>
      </c>
      <c r="B706" s="2" t="str">
        <v>INP1402</v>
      </c>
      <c r="C706" s="20" t="str">
        <v>Nồi áp suất 6L INP1402</v>
      </c>
      <c r="D706" s="2" t="str"/>
      <c r="E706" s="2" t="str">
        <v>8</v>
      </c>
      <c r="F706" s="2" t="str">
        <v>937963</v>
      </c>
      <c r="G706" s="19" t="n">
        <v>8104000</v>
      </c>
      <c r="H706" s="2" t="str">
        <v>2.xlsx | 订单!Q549</v>
      </c>
    </row>
    <row r="707" ht="26" customHeight="1">
      <c r="A707" s="2" t="str">
        <v>S2-00546-BH</v>
      </c>
      <c r="B707" s="2" t="str">
        <v>INP1501</v>
      </c>
      <c r="C707" s="20" t="str">
        <v>Ấm đun nước 3L INP1501</v>
      </c>
      <c r="D707" s="2" t="str"/>
      <c r="E707" s="2" t="str">
        <v>24</v>
      </c>
      <c r="F707" s="2" t="str">
        <v>111111.13</v>
      </c>
      <c r="G707" s="19" t="n">
        <v>2880001</v>
      </c>
      <c r="H707" s="2" t="str">
        <v>2.xlsx | 订单!Q550</v>
      </c>
    </row>
    <row r="708" ht="26" customHeight="1">
      <c r="A708" s="2" t="str">
        <v>S2-00546-BH</v>
      </c>
      <c r="B708" s="2" t="str">
        <v>INP1502</v>
      </c>
      <c r="C708" s="20" t="str">
        <v>Ấm đun nước 4L INP1502</v>
      </c>
      <c r="D708" s="2" t="str"/>
      <c r="E708" s="2" t="str">
        <v>24</v>
      </c>
      <c r="F708" s="2" t="str">
        <v>120370.38</v>
      </c>
      <c r="G708" s="19" t="n">
        <v>3120000</v>
      </c>
      <c r="H708" s="2" t="str">
        <v>2.xlsx | 订单!Q551</v>
      </c>
    </row>
    <row r="709" ht="26" customHeight="1">
      <c r="A709" s="2" t="str">
        <v>S2-00546-BH</v>
      </c>
      <c r="B709" s="2" t="str">
        <v>INP1503</v>
      </c>
      <c r="C709" s="20" t="str">
        <v>Ấm đun nước 5L INP1503</v>
      </c>
      <c r="D709" s="2" t="str"/>
      <c r="E709" s="2" t="str">
        <v>24</v>
      </c>
      <c r="F709" s="2" t="str">
        <v>129629.63</v>
      </c>
      <c r="G709" s="19" t="n">
        <v>3360000</v>
      </c>
      <c r="H709" s="2" t="str">
        <v>2.xlsx | 订单!Q552</v>
      </c>
    </row>
    <row r="710" ht="26" customHeight="1">
      <c r="A710" s="2" t="str">
        <v>S2-00546-BH</v>
      </c>
      <c r="B710" s="2" t="str">
        <v>INP2101</v>
      </c>
      <c r="C710" s="20" t="str">
        <v>Chảo inox chống dính đúc nguyên khốiINP2101</v>
      </c>
      <c r="D710" s="2" t="str"/>
      <c r="E710" s="2" t="str">
        <v>10</v>
      </c>
      <c r="F710" s="2" t="str">
        <v>234259.3</v>
      </c>
      <c r="G710" s="19" t="n">
        <v>2530000</v>
      </c>
      <c r="H710" s="2" t="str">
        <v>2.xlsx | 订单!Q553</v>
      </c>
    </row>
    <row r="711" ht="26" customHeight="1">
      <c r="A711" s="2" t="str">
        <v>S2-00546-BH</v>
      </c>
      <c r="B711" s="2" t="str">
        <v>INP2102</v>
      </c>
      <c r="C711" s="20" t="str">
        <v>	Chảo inox chống dính đúc nguyên khốiINP2102</v>
      </c>
      <c r="D711" s="2" t="str"/>
      <c r="E711" s="2" t="str">
        <v>10</v>
      </c>
      <c r="F711" s="2" t="str">
        <v>256481.5</v>
      </c>
      <c r="G711" s="19" t="n">
        <v>2770000</v>
      </c>
      <c r="H711" s="2" t="str">
        <v>2.xlsx | 订单!Q554</v>
      </c>
    </row>
    <row r="712" ht="26" customHeight="1">
      <c r="A712" s="2" t="str">
        <v>S2-00546-BH</v>
      </c>
      <c r="B712" s="2" t="str">
        <v>INP2103</v>
      </c>
      <c r="C712" s="20" t="str">
        <v>	Chảo inox chống dính đúc nguyên khốiINP2103</v>
      </c>
      <c r="D712" s="2" t="str"/>
      <c r="E712" s="2" t="str">
        <v>10</v>
      </c>
      <c r="F712" s="2" t="str">
        <v>281481.5</v>
      </c>
      <c r="G712" s="19" t="n">
        <v>3040000</v>
      </c>
      <c r="H712" s="2" t="str">
        <v>2.xlsx | 订单!Q555</v>
      </c>
    </row>
    <row r="713" ht="26" customHeight="1">
      <c r="A713" s="2" t="str">
        <v>S2-00546-BH</v>
      </c>
      <c r="B713" s="2" t="str">
        <v>INP2105</v>
      </c>
      <c r="C713" s="20" t="str">
        <v>	Chảo inox chống dính đúc nguyên khốiINP2105</v>
      </c>
      <c r="D713" s="2" t="str"/>
      <c r="E713" s="2" t="str">
        <v>10</v>
      </c>
      <c r="F713" s="2" t="str">
        <v>227777.8</v>
      </c>
      <c r="G713" s="19" t="n">
        <v>2460000</v>
      </c>
      <c r="H713" s="2" t="str">
        <v>2.xlsx | 订单!Q556</v>
      </c>
    </row>
    <row r="714" ht="26" customHeight="1">
      <c r="A714" s="2" t="str">
        <v>S2-00546-BH</v>
      </c>
      <c r="B714" s="2" t="str">
        <v>INP2106</v>
      </c>
      <c r="C714" s="20" t="str">
        <v>	Chảo inox chống dính đúc nguyên khốiINP2106</v>
      </c>
      <c r="D714" s="2" t="str"/>
      <c r="E714" s="2" t="str">
        <v>10</v>
      </c>
      <c r="F714" s="2" t="str">
        <v>252777.8</v>
      </c>
      <c r="G714" s="19" t="n">
        <v>2730000</v>
      </c>
      <c r="H714" s="2" t="str">
        <v>2.xlsx | 订单!Q557</v>
      </c>
    </row>
    <row r="715" ht="26" customHeight="1">
      <c r="A715" s="2" t="str">
        <v>S2-00546-BH</v>
      </c>
      <c r="B715" s="2" t="str">
        <v>INP2108</v>
      </c>
      <c r="C715" s="20" t="str">
        <v>	Chảo inox chống dính đúc nguyên khốiINP2108</v>
      </c>
      <c r="D715" s="2" t="str"/>
      <c r="E715" s="2" t="str">
        <v>10</v>
      </c>
      <c r="F715" s="2" t="str">
        <v>256481.5</v>
      </c>
      <c r="G715" s="19" t="n">
        <v>2770000</v>
      </c>
      <c r="H715" s="2" t="str">
        <v>2.xlsx | 订单!Q558</v>
      </c>
    </row>
    <row r="716" ht="26" customHeight="1">
      <c r="A716" s="2" t="str">
        <v>S2-00546-BH</v>
      </c>
      <c r="B716" s="2" t="str">
        <v>INP2109</v>
      </c>
      <c r="C716" s="20" t="str">
        <v>	Chảo inox chống dính đúc nguyên khốiINP2109</v>
      </c>
      <c r="D716" s="2" t="str"/>
      <c r="E716" s="2" t="str">
        <v>10</v>
      </c>
      <c r="F716" s="2" t="str">
        <v>227777.8</v>
      </c>
      <c r="G716" s="19" t="n">
        <v>2460000</v>
      </c>
      <c r="H716" s="2" t="str">
        <v>2.xlsx | 订单!Q559</v>
      </c>
    </row>
    <row r="717" ht="26" customHeight="1">
      <c r="A717" s="2" t="str">
        <v>S2-00546-BH</v>
      </c>
      <c r="B717" s="2" t="str">
        <v>INP2110</v>
      </c>
      <c r="C717" s="20" t="str">
        <v>	Chảo inox chống dính đúc nguyên khốiINP2110</v>
      </c>
      <c r="D717" s="2" t="str"/>
      <c r="E717" s="2" t="str">
        <v>10</v>
      </c>
      <c r="F717" s="2" t="str">
        <v>252777.8</v>
      </c>
      <c r="G717" s="19" t="n">
        <v>2730000</v>
      </c>
      <c r="H717" s="2" t="str">
        <v>2.xlsx | 订单!Q560</v>
      </c>
    </row>
    <row r="718" ht="26" customHeight="1">
      <c r="A718" s="2" t="str">
        <v>S2-00546-BH</v>
      </c>
      <c r="B718" s="2" t="str">
        <v>INP2111</v>
      </c>
      <c r="C718" s="20" t="str">
        <v>	Chảo inox chống dính đúc nguyên khốiINP2111</v>
      </c>
      <c r="D718" s="2" t="str"/>
      <c r="E718" s="2" t="str">
        <v>10</v>
      </c>
      <c r="F718" s="2" t="str">
        <v>277777.8</v>
      </c>
      <c r="G718" s="19" t="n">
        <v>3000000</v>
      </c>
      <c r="H718" s="2" t="str">
        <v>2.xlsx | 订单!Q561</v>
      </c>
    </row>
    <row r="719" ht="26" customHeight="1">
      <c r="A719" s="2" t="str">
        <v>S2-00546-BH</v>
      </c>
      <c r="B719" s="2" t="str">
        <v>INP2202</v>
      </c>
      <c r="C719" s="20" t="str">
        <v>Nồi luộc gà inox đúc nguyên khốiINP2202</v>
      </c>
      <c r="D719" s="2" t="str"/>
      <c r="E719" s="2" t="str">
        <v>8</v>
      </c>
      <c r="F719" s="2" t="str">
        <v>844444.5</v>
      </c>
      <c r="G719" s="19" t="n">
        <v>7296001</v>
      </c>
      <c r="H719" s="2" t="str">
        <v>2.xlsx | 订单!Q562</v>
      </c>
    </row>
    <row r="720" ht="26" customHeight="1">
      <c r="A720" s="2" t="str">
        <v>S2-00546-BH</v>
      </c>
      <c r="B720" s="2" t="str">
        <v>INP6601</v>
      </c>
      <c r="C720" s="20" t="str">
        <v>Máy sấy bát đĩa INP6601</v>
      </c>
      <c r="D720" s="2" t="str"/>
      <c r="E720" s="2" t="str">
        <v>4</v>
      </c>
      <c r="F720" s="2" t="str">
        <v>1203703.75</v>
      </c>
      <c r="G720" s="19" t="n">
        <v>5200000</v>
      </c>
      <c r="H720" s="2" t="str">
        <v>2.xlsx | 订单!Q563</v>
      </c>
    </row>
    <row r="721" ht="26" customHeight="1">
      <c r="A721" s="2" t="str">
        <v>S2-00546-BH</v>
      </c>
      <c r="B721" s="2" t="str">
        <v>INP6602</v>
      </c>
      <c r="C721" s="20" t="str">
        <v>Máy sấy bát đĩa INP6602</v>
      </c>
      <c r="D721" s="2" t="str"/>
      <c r="E721" s="2" t="str">
        <v>4</v>
      </c>
      <c r="F721" s="2" t="str">
        <v>1361111</v>
      </c>
      <c r="G721" s="19" t="n">
        <v>5880000</v>
      </c>
      <c r="H721" s="2" t="str">
        <v>2.xlsx | 订单!Q564</v>
      </c>
    </row>
    <row r="722" ht="26" customHeight="1">
      <c r="A722" s="2" t="str">
        <v>S2-00546-BH</v>
      </c>
      <c r="B722" s="2" t="str">
        <v>INP1101</v>
      </c>
      <c r="C722" s="20" t="str">
        <v>	Bộ nồi inox  INP1101</v>
      </c>
      <c r="D722" s="2" t="str"/>
      <c r="E722" s="2" t="str">
        <v>12</v>
      </c>
      <c r="F722" s="2" t="str">
        <v>483333.33</v>
      </c>
      <c r="G722" s="19" t="n">
        <v>6264000</v>
      </c>
      <c r="H722" s="2" t="str">
        <v>2.xlsx | 订单!Q565</v>
      </c>
    </row>
    <row r="723" ht="26" customHeight="1">
      <c r="A723" s="2" t="str">
        <v>S2-00546-BH</v>
      </c>
      <c r="B723" s="2" t="str">
        <v>INP1002</v>
      </c>
      <c r="C723" s="20" t="str">
        <v>Bộ nồi inox INP1002</v>
      </c>
      <c r="D723" s="2" t="str"/>
      <c r="E723" s="2" t="str">
        <v>10</v>
      </c>
      <c r="F723" s="2" t="str">
        <v>647222.22</v>
      </c>
      <c r="G723" s="19" t="n">
        <v>6990000</v>
      </c>
      <c r="H723" s="2" t="str">
        <v>2.xlsx | 订单!Q566</v>
      </c>
    </row>
    <row r="724" ht="26" customHeight="1">
      <c r="A724" s="2" t="str">
        <v>S2-00568-BH</v>
      </c>
      <c r="B724" s="2" t="str">
        <v>INP6202</v>
      </c>
      <c r="C724" s="20" t="str">
        <v>Ấm điện siêu tốc INP6202 1,7 lít màu đen</v>
      </c>
      <c r="D724" s="2" t="str"/>
      <c r="E724" s="2" t="str">
        <v>12</v>
      </c>
      <c r="F724" s="2" t="str">
        <v>325925.92</v>
      </c>
      <c r="G724" s="19" t="n">
        <v>4224000</v>
      </c>
      <c r="H724" s="2" t="str">
        <v>2.xlsx | 订单!Q568</v>
      </c>
    </row>
    <row r="725" ht="26" customHeight="1">
      <c r="A725" s="2" t="str">
        <v>S2-00568-BH</v>
      </c>
      <c r="B725" s="2" t="str">
        <v>INP6204</v>
      </c>
      <c r="C725" s="20" t="str">
        <v>Ấm đun nước INP6204, 1.0L</v>
      </c>
      <c r="D725" s="2" t="str"/>
      <c r="E725" s="2" t="str">
        <v>12</v>
      </c>
      <c r="F725" s="2" t="str">
        <v>284259.25</v>
      </c>
      <c r="G725" s="19" t="n">
        <v>3684000</v>
      </c>
      <c r="H725" s="2" t="str">
        <v>2.xlsx | 订单!Q569</v>
      </c>
    </row>
    <row r="726" ht="26" customHeight="1">
      <c r="A726" s="2" t="str">
        <v>S2-00568-BH</v>
      </c>
      <c r="B726" s="2" t="str">
        <v>INP6206</v>
      </c>
      <c r="C726" s="20" t="str">
        <v>Ấm đun nước INP6206, 1.7L</v>
      </c>
      <c r="D726" s="2" t="str"/>
      <c r="E726" s="2" t="str">
        <v>12</v>
      </c>
      <c r="F726" s="2" t="str">
        <v>263888.92</v>
      </c>
      <c r="G726" s="19" t="n">
        <v>3420000</v>
      </c>
      <c r="H726" s="2" t="str">
        <v>2.xlsx | 订单!Q570</v>
      </c>
    </row>
    <row r="727" ht="26" customHeight="1">
      <c r="A727" s="2" t="str">
        <v>S2-00571-BH</v>
      </c>
      <c r="B727" s="2" t="str">
        <v>INP1201</v>
      </c>
      <c r="C727" s="20" t="str">
        <v>Nồi Inox INP1201</v>
      </c>
      <c r="D727" s="2" t="str"/>
      <c r="E727" s="2" t="str">
        <v>8</v>
      </c>
      <c r="F727" s="2" t="str">
        <v>387962.96</v>
      </c>
      <c r="G727" s="19" t="n">
        <v>3352000</v>
      </c>
      <c r="H727" s="2" t="str">
        <v>2.xlsx | 订单!Q571</v>
      </c>
    </row>
    <row r="728" ht="26" customHeight="1">
      <c r="A728" s="2" t="str">
        <v>S2-00571-BH</v>
      </c>
      <c r="B728" s="2" t="str">
        <v>INP1202</v>
      </c>
      <c r="C728" s="20" t="str">
        <v>Nồi Inox INP1202</v>
      </c>
      <c r="D728" s="2" t="str"/>
      <c r="E728" s="2" t="str">
        <v>8</v>
      </c>
      <c r="F728" s="2" t="str">
        <v>472222.22</v>
      </c>
      <c r="G728" s="19" t="n">
        <v>4080000</v>
      </c>
      <c r="H728" s="2" t="str">
        <v>2.xlsx | 订单!Q572</v>
      </c>
    </row>
    <row r="729" ht="26" customHeight="1">
      <c r="A729" s="2" t="str">
        <v>S2-00571-BH</v>
      </c>
      <c r="B729" s="2" t="str">
        <v>INP1203</v>
      </c>
      <c r="C729" s="20" t="str">
        <v>Nồi Inox INP1203</v>
      </c>
      <c r="D729" s="2" t="str"/>
      <c r="E729" s="2" t="str">
        <v>8</v>
      </c>
      <c r="F729" s="2" t="str">
        <v>492592.59</v>
      </c>
      <c r="G729" s="19" t="n">
        <v>4256000</v>
      </c>
      <c r="H729" s="2" t="str">
        <v>2.xlsx | 订单!Q573</v>
      </c>
    </row>
    <row r="730" ht="26" customHeight="1">
      <c r="A730" s="2" t="str">
        <v>S2-00574-BH</v>
      </c>
      <c r="B730" s="2" t="str">
        <v>INP6104</v>
      </c>
      <c r="C730" s="20" t="str">
        <v>Bếp từ đơn INP6104 ( 2500W ) </v>
      </c>
      <c r="D730" s="2" t="str">
        <v>Cái</v>
      </c>
      <c r="E730" s="2" t="str">
        <v>6</v>
      </c>
      <c r="F730" s="2" t="str">
        <v>1007407.41</v>
      </c>
      <c r="G730" s="19" t="n">
        <v>6528000</v>
      </c>
      <c r="H730" s="2" t="str">
        <v>2.xlsx | 订单!Q574</v>
      </c>
    </row>
    <row r="731" ht="26" customHeight="1">
      <c r="A731" s="2" t="str">
        <v>S2-00575-BH</v>
      </c>
      <c r="B731" s="2" t="str">
        <v>INP6206</v>
      </c>
      <c r="C731" s="20" t="str">
        <v>Ấm đun nước INP6206, 1.7L</v>
      </c>
      <c r="D731" s="2" t="str"/>
      <c r="E731" s="2" t="str">
        <v>12</v>
      </c>
      <c r="F731" s="2" t="str">
        <v>263888.89</v>
      </c>
      <c r="G731" s="19" t="n">
        <v>3420000</v>
      </c>
      <c r="H731" s="2" t="str">
        <v>2.xlsx | 订单!Q575</v>
      </c>
    </row>
    <row r="732" ht="26" customHeight="1">
      <c r="A732" s="2" t="str">
        <v>S2-00577-BH</v>
      </c>
      <c r="B732" s="2" t="str">
        <v>INP2202</v>
      </c>
      <c r="C732" s="20" t="str">
        <v>Nồi luộc gà inox đúc nguyên khốiINP2202</v>
      </c>
      <c r="D732" s="2" t="str"/>
      <c r="E732" s="2" t="str">
        <v>8</v>
      </c>
      <c r="F732" s="2" t="str">
        <v>844444.44</v>
      </c>
      <c r="G732" s="19" t="n">
        <v>7296000</v>
      </c>
      <c r="H732" s="2" t="str">
        <v>2.xlsx | 订单!Q577</v>
      </c>
    </row>
    <row r="733" ht="26" customHeight="1">
      <c r="A733" s="2" t="str">
        <v>S2-00577-BH</v>
      </c>
      <c r="B733" s="2" t="str">
        <v>INP1003</v>
      </c>
      <c r="C733" s="20" t="str">
        <v>Bộ nồi Inox INP1003</v>
      </c>
      <c r="D733" s="2" t="str"/>
      <c r="E733" s="2" t="str">
        <v>16</v>
      </c>
      <c r="F733" s="2" t="str">
        <v>324074.07</v>
      </c>
      <c r="G733" s="19" t="n">
        <v>5600000</v>
      </c>
      <c r="H733" s="2" t="str">
        <v>2.xlsx | 订单!Q578</v>
      </c>
    </row>
    <row r="734" ht="26" customHeight="1">
      <c r="A734" s="2" t="str">
        <v>S2-00577-BH</v>
      </c>
      <c r="B734" s="2" t="str">
        <v>INP2002</v>
      </c>
      <c r="C734" s="20" t="str">
        <v>Bộ nồi inox  INP2002</v>
      </c>
      <c r="D734" s="2" t="str"/>
      <c r="E734" s="2" t="str">
        <v>4</v>
      </c>
      <c r="F734" s="2" t="str">
        <v>851851.85</v>
      </c>
      <c r="G734" s="19" t="n">
        <v>3680000</v>
      </c>
      <c r="H734" s="2" t="str">
        <v>2.xlsx | 订单!Q579</v>
      </c>
    </row>
    <row r="735" ht="26" customHeight="1">
      <c r="A735" s="2" t="str">
        <v>S2-00577-BH</v>
      </c>
      <c r="B735" s="2" t="str">
        <v>INP2003</v>
      </c>
      <c r="C735" s="20" t="str">
        <v>Bộ nồi inox INP2003</v>
      </c>
      <c r="D735" s="2" t="str"/>
      <c r="E735" s="2" t="str">
        <v>4</v>
      </c>
      <c r="F735" s="2" t="str">
        <v>1185185.19</v>
      </c>
      <c r="G735" s="19" t="n">
        <v>5120000</v>
      </c>
      <c r="H735" s="2" t="str">
        <v>2.xlsx | 订单!Q580</v>
      </c>
    </row>
    <row r="736" ht="26" customHeight="1">
      <c r="A736" s="2" t="str">
        <v>S2-00577-BH</v>
      </c>
      <c r="B736" s="2" t="str">
        <v>INP2301</v>
      </c>
      <c r="C736" s="20" t="str">
        <v>Chảo rán INP2301</v>
      </c>
      <c r="D736" s="2" t="str"/>
      <c r="E736" s="2" t="str">
        <v>6</v>
      </c>
      <c r="F736" s="2" t="str">
        <v>416666.67</v>
      </c>
      <c r="G736" s="19" t="n">
        <v>2700000</v>
      </c>
      <c r="H736" s="2" t="str">
        <v>2.xlsx | 订单!Q581</v>
      </c>
    </row>
    <row r="737" ht="26" customHeight="1">
      <c r="A737" s="2" t="str">
        <v>S2-00577-BH</v>
      </c>
      <c r="B737" s="2" t="str">
        <v>INP6802</v>
      </c>
      <c r="C737" s="20" t="str">
        <v>Thùng đựng gạo inoxpran INP6802</v>
      </c>
      <c r="D737" s="2" t="str"/>
      <c r="E737" s="2" t="str">
        <v>2</v>
      </c>
      <c r="F737" s="2" t="str">
        <v>882407.5</v>
      </c>
      <c r="G737" s="19" t="n">
        <v>1906000</v>
      </c>
      <c r="H737" s="2" t="str">
        <v>2.xlsx | 订单!Q582</v>
      </c>
    </row>
    <row r="738" ht="26" customHeight="1">
      <c r="A738" s="2" t="str">
        <v>S2-00577-BH</v>
      </c>
      <c r="B738" s="2" t="str">
        <v>INP1403</v>
      </c>
      <c r="C738" s="20" t="str">
        <v>Nồi áp suất INP1403</v>
      </c>
      <c r="D738" s="2" t="str"/>
      <c r="E738" s="2" t="str">
        <v>4</v>
      </c>
      <c r="F738" s="2" t="str">
        <v>601852.19</v>
      </c>
      <c r="G738" s="19" t="n">
        <v>2600001</v>
      </c>
      <c r="H738" s="2" t="str">
        <v>2.xlsx | 订单!Q583</v>
      </c>
    </row>
    <row r="739" ht="26" customHeight="1">
      <c r="A739" s="2" t="str">
        <v>S2-00584-BH</v>
      </c>
      <c r="B739" s="2" t="str">
        <v>INP1203</v>
      </c>
      <c r="C739" s="20" t="str">
        <v>	
Nồi Inox INP1203</v>
      </c>
      <c r="D739" s="2" t="str"/>
      <c r="E739" s="2" t="str">
        <v>8</v>
      </c>
      <c r="F739" s="2" t="str">
        <v>492592.59</v>
      </c>
      <c r="G739" s="19" t="n">
        <v>4256000</v>
      </c>
      <c r="H739" s="2" t="str">
        <v>2.xlsx | 订单!Q584</v>
      </c>
    </row>
    <row r="740" ht="26" customHeight="1">
      <c r="A740" s="2" t="str">
        <v>S2-00584-BH</v>
      </c>
      <c r="B740" s="2" t="str">
        <v>INP1401</v>
      </c>
      <c r="C740" s="20" t="str">
        <v>Nồi áp suất 4.5L INP1401</v>
      </c>
      <c r="D740" s="2" t="str">
        <v>Cái</v>
      </c>
      <c r="E740" s="2" t="str">
        <v>4</v>
      </c>
      <c r="F740" s="2" t="str">
        <v>824074.07</v>
      </c>
      <c r="G740" s="19" t="n">
        <v>3560000</v>
      </c>
      <c r="H740" s="2" t="str">
        <v>2.xlsx | 订单!Q585</v>
      </c>
    </row>
    <row r="741" ht="26" customHeight="1">
      <c r="A741" s="2" t="str">
        <v>S2-00584-BH</v>
      </c>
      <c r="B741" s="2" t="str">
        <v>INP1402</v>
      </c>
      <c r="C741" s="20" t="str">
        <v>	
Nồi áp suất 6L INP1402</v>
      </c>
      <c r="D741" s="2" t="str"/>
      <c r="E741" s="2" t="str">
        <v>8</v>
      </c>
      <c r="F741" s="2" t="str">
        <v>937962.96</v>
      </c>
      <c r="G741" s="19" t="n">
        <v>8104000</v>
      </c>
      <c r="H741" s="2" t="str">
        <v>2.xlsx | 订单!Q586</v>
      </c>
    </row>
    <row r="742" ht="26" customHeight="1">
      <c r="A742" s="2" t="str">
        <v>S2-00584-BH</v>
      </c>
      <c r="B742" s="2" t="str">
        <v>INP2111</v>
      </c>
      <c r="C742" s="20" t="str">
        <v>	
Chảo inox đúc nguyên khối (không chống dính)INP2111</v>
      </c>
      <c r="D742" s="2" t="str"/>
      <c r="E742" s="2" t="str">
        <v>10</v>
      </c>
      <c r="F742" s="2" t="str">
        <v>277777.78</v>
      </c>
      <c r="G742" s="19" t="n">
        <v>3000000</v>
      </c>
      <c r="H742" s="2" t="str">
        <v>2.xlsx | 订单!Q587</v>
      </c>
    </row>
    <row r="743" ht="26" customHeight="1">
      <c r="A743" s="2" t="str">
        <v>S2-00584-BH</v>
      </c>
      <c r="B743" s="2" t="str">
        <v>INP2202</v>
      </c>
      <c r="C743" s="20" t="str">
        <v>	
Nồi luộc gà inox đúc nguyên khốiINP2202</v>
      </c>
      <c r="D743" s="2" t="str"/>
      <c r="E743" s="2" t="str">
        <v>2</v>
      </c>
      <c r="F743" s="2" t="str">
        <v>844444.44</v>
      </c>
      <c r="G743" s="19" t="n">
        <v>1824000</v>
      </c>
      <c r="H743" s="2" t="str">
        <v>2.xlsx | 订单!Q588</v>
      </c>
    </row>
    <row r="744" ht="26" customHeight="1">
      <c r="A744" s="2" t="str">
        <v>S2-00584-BH</v>
      </c>
      <c r="B744" s="2" t="str">
        <v>INP2301</v>
      </c>
      <c r="C744" s="20" t="str">
        <v>Chảo rán INP2301</v>
      </c>
      <c r="D744" s="2" t="str"/>
      <c r="E744" s="2" t="str">
        <v>20</v>
      </c>
      <c r="F744" s="2" t="str">
        <v>416666.67</v>
      </c>
      <c r="G744" s="19" t="n">
        <v>9000000</v>
      </c>
      <c r="H744" s="2" t="str">
        <v>2.xlsx | 订单!Q589</v>
      </c>
    </row>
    <row r="745" ht="26" customHeight="1">
      <c r="A745" s="2" t="str">
        <v>S2-00590-BH</v>
      </c>
      <c r="B745" s="2" t="str">
        <v>INP1001</v>
      </c>
      <c r="C745" s="20" t="str">
        <v>Bộ nồi inox INP1001</v>
      </c>
      <c r="D745" s="2" t="str"/>
      <c r="E745" s="2" t="str">
        <v>4</v>
      </c>
      <c r="F745" s="2" t="str">
        <v>480555.55</v>
      </c>
      <c r="G745" s="19" t="n">
        <v>2076000</v>
      </c>
      <c r="H745" s="2" t="str">
        <v>2.xlsx | 订单!Q590</v>
      </c>
    </row>
    <row r="746" ht="26" customHeight="1">
      <c r="A746" s="2" t="str">
        <v>S2-00590-BH</v>
      </c>
      <c r="B746" s="2" t="str">
        <v>INP1003</v>
      </c>
      <c r="C746" s="20" t="str">
        <v>Bộ nồi  Inox INP1003 </v>
      </c>
      <c r="D746" s="2" t="str"/>
      <c r="E746" s="2" t="str">
        <v>8</v>
      </c>
      <c r="F746" s="2" t="str">
        <v>324074.07</v>
      </c>
      <c r="G746" s="19" t="n">
        <v>2800000</v>
      </c>
      <c r="H746" s="2" t="str">
        <v>2.xlsx | 订单!Q591</v>
      </c>
    </row>
    <row r="747" ht="26" customHeight="1">
      <c r="A747" s="2" t="str">
        <v>S2-00590-BH</v>
      </c>
      <c r="B747" s="2" t="str">
        <v>INP2101</v>
      </c>
      <c r="C747" s="20" t="str">
        <v>Chảo inox chống dính đúc nguyên khốiINP2101</v>
      </c>
      <c r="D747" s="2" t="str"/>
      <c r="E747" s="2" t="str">
        <v>10</v>
      </c>
      <c r="F747" s="2" t="str">
        <v>234259.3</v>
      </c>
      <c r="G747" s="19" t="n">
        <v>2530000</v>
      </c>
      <c r="H747" s="2" t="str">
        <v>2.xlsx | 订单!Q592</v>
      </c>
    </row>
    <row r="748" ht="26" customHeight="1">
      <c r="A748" s="2" t="str">
        <v>S2-00590-BH</v>
      </c>
      <c r="B748" s="2" t="str">
        <v>INP2102</v>
      </c>
      <c r="C748" s="20" t="str">
        <v>Chảo inox chống dính đúc nguyên khốiINP2102</v>
      </c>
      <c r="D748" s="2" t="str"/>
      <c r="E748" s="2" t="str">
        <v>10</v>
      </c>
      <c r="F748" s="2" t="str">
        <v>256481.5</v>
      </c>
      <c r="G748" s="19" t="n">
        <v>2770000</v>
      </c>
      <c r="H748" s="2" t="str">
        <v>2.xlsx | 订单!Q593</v>
      </c>
    </row>
    <row r="749" ht="26" customHeight="1">
      <c r="A749" s="2" t="str">
        <v>S2-00590-BH</v>
      </c>
      <c r="B749" s="2" t="str">
        <v>INP2103</v>
      </c>
      <c r="C749" s="20" t="str">
        <v>Chảo inox chống dính đúc nguyên khốiINP2103</v>
      </c>
      <c r="D749" s="2" t="str"/>
      <c r="E749" s="2" t="str">
        <v>10</v>
      </c>
      <c r="F749" s="2" t="str">
        <v>281481.5</v>
      </c>
      <c r="G749" s="19" t="n">
        <v>3040000</v>
      </c>
      <c r="H749" s="2" t="str">
        <v>2.xlsx | 订单!Q594</v>
      </c>
    </row>
    <row r="750" ht="26" customHeight="1">
      <c r="A750" s="2" t="str">
        <v>S2-00590-BH</v>
      </c>
      <c r="B750" s="2" t="str">
        <v>INP2105</v>
      </c>
      <c r="C750" s="20" t="str">
        <v>	
Chảo inox đúc nguyên khối (không chống dính)INP2105</v>
      </c>
      <c r="D750" s="2" t="str"/>
      <c r="E750" s="2" t="str">
        <v>10</v>
      </c>
      <c r="F750" s="2" t="str">
        <v>240740.74</v>
      </c>
      <c r="G750" s="19" t="n">
        <v>2600000</v>
      </c>
      <c r="H750" s="2" t="str">
        <v>2.xlsx | 订单!Q595</v>
      </c>
    </row>
    <row r="751" ht="26" customHeight="1">
      <c r="A751" s="2" t="str">
        <v>S2-00590-BH</v>
      </c>
      <c r="B751" s="2" t="str">
        <v>INP2106</v>
      </c>
      <c r="C751" s="20" t="str">
        <v>Chảo inox đúc nguyên khối (không chống dính)INP2106</v>
      </c>
      <c r="D751" s="2" t="str"/>
      <c r="E751" s="2" t="str">
        <v>10</v>
      </c>
      <c r="F751" s="2" t="str">
        <v>259259.25</v>
      </c>
      <c r="G751" s="19" t="n">
        <v>2800000</v>
      </c>
      <c r="H751" s="2" t="str">
        <v>2.xlsx | 订单!Q596</v>
      </c>
    </row>
    <row r="752" ht="26" customHeight="1">
      <c r="A752" s="2" t="str">
        <v>S2-00590-BH</v>
      </c>
      <c r="B752" s="2" t="str">
        <v>INP2108</v>
      </c>
      <c r="C752" s="20" t="str">
        <v>Chảo inox đúc nguyên khối (không chống dính)INP2108</v>
      </c>
      <c r="D752" s="2" t="str"/>
      <c r="E752" s="2" t="str">
        <v>10</v>
      </c>
      <c r="F752" s="2" t="str">
        <v>226851.85</v>
      </c>
      <c r="G752" s="19" t="n">
        <v>2450000</v>
      </c>
      <c r="H752" s="2" t="str">
        <v>2.xlsx | 订单!Q597</v>
      </c>
    </row>
    <row r="753" ht="26" customHeight="1">
      <c r="A753" s="2" t="str">
        <v>S2-00590-BH</v>
      </c>
      <c r="B753" s="2" t="str">
        <v>INP2109</v>
      </c>
      <c r="C753" s="20" t="str">
        <v>Chảo inox đúc nguyên khối (không chống dính)INP2109</v>
      </c>
      <c r="D753" s="2" t="str"/>
      <c r="E753" s="2" t="str">
        <v>10</v>
      </c>
      <c r="F753" s="2" t="str">
        <v>240740.74</v>
      </c>
      <c r="G753" s="19" t="n">
        <v>2600000</v>
      </c>
      <c r="H753" s="2" t="str">
        <v>2.xlsx | 订单!Q598</v>
      </c>
    </row>
    <row r="754" ht="26" customHeight="1">
      <c r="A754" s="2" t="str">
        <v>S2-00590-BH</v>
      </c>
      <c r="B754" s="2" t="str">
        <v>INP2110</v>
      </c>
      <c r="C754" s="20" t="str">
        <v>Chảo inox đúc nguyên khối (không chống dính)INP2110</v>
      </c>
      <c r="D754" s="2" t="str"/>
      <c r="E754" s="2" t="str">
        <v>10</v>
      </c>
      <c r="F754" s="2" t="str">
        <v>259259.25</v>
      </c>
      <c r="G754" s="19" t="n">
        <v>2800000</v>
      </c>
      <c r="H754" s="2" t="str">
        <v>2.xlsx | 订单!Q599</v>
      </c>
    </row>
    <row r="755" ht="26" customHeight="1">
      <c r="A755" s="2" t="str">
        <v>S2-00590-BH</v>
      </c>
      <c r="B755" s="2" t="str">
        <v>INP2111</v>
      </c>
      <c r="C755" s="20" t="str">
        <v>Chảo inox đúc nguyên khối (không chống dính)INP2111</v>
      </c>
      <c r="D755" s="2" t="str"/>
      <c r="E755" s="2" t="str">
        <v>10</v>
      </c>
      <c r="F755" s="2" t="str">
        <v>277277.77</v>
      </c>
      <c r="G755" s="19" t="n">
        <v>2994600</v>
      </c>
      <c r="H755" s="2" t="str">
        <v>2.xlsx | 订单!Q600</v>
      </c>
    </row>
    <row r="756" ht="26" customHeight="1">
      <c r="A756" s="2" t="str">
        <v>S2-00590-BH</v>
      </c>
      <c r="B756" s="2" t="str">
        <v>INP2202</v>
      </c>
      <c r="C756" s="20" t="str">
        <v>	
Nồi luộc gà inox đúc nguyên khốiINP2202</v>
      </c>
      <c r="D756" s="2" t="str"/>
      <c r="E756" s="2" t="str">
        <v>4</v>
      </c>
      <c r="F756" s="2" t="str">
        <v>844444.44</v>
      </c>
      <c r="G756" s="19" t="n">
        <v>3648000</v>
      </c>
      <c r="H756" s="2" t="str">
        <v>2.xlsx | 订单!Q601</v>
      </c>
    </row>
    <row r="757" ht="26" customHeight="1">
      <c r="A757" s="2" t="str">
        <v>S2-00603-BH</v>
      </c>
      <c r="B757" s="2" t="str">
        <v>INP6001</v>
      </c>
      <c r="C757" s="20" t="str">
        <v>Nồi cơm điện tử (Nồi cơm điện đa năng giảm đường) INP6001</v>
      </c>
      <c r="D757" s="2" t="str"/>
      <c r="E757" s="2" t="str">
        <v>8</v>
      </c>
      <c r="F757" s="2" t="str">
        <v>1138888.88</v>
      </c>
      <c r="G757" s="19" t="n">
        <v>9840000</v>
      </c>
      <c r="H757" s="2" t="str">
        <v>2.xlsx | 订单!Q603</v>
      </c>
    </row>
    <row r="758" ht="26" customHeight="1">
      <c r="A758" s="2" t="str">
        <v>S2-00603-BH</v>
      </c>
      <c r="B758" s="2" t="str">
        <v>INP6003</v>
      </c>
      <c r="C758" s="20" t="str">
        <v>Nồi cơm điện tử (Nồi cơm điện đa năng giảm đường) INP6003</v>
      </c>
      <c r="D758" s="2" t="str"/>
      <c r="E758" s="2" t="str">
        <v>8</v>
      </c>
      <c r="F758" s="2" t="str">
        <v>851851.85</v>
      </c>
      <c r="G758" s="19" t="n">
        <v>7360000</v>
      </c>
      <c r="H758" s="2" t="str">
        <v>2.xlsx | 订单!Q604</v>
      </c>
    </row>
    <row r="759" ht="26" customHeight="1">
      <c r="A759" s="2" t="str">
        <v>S2-00603-BH</v>
      </c>
      <c r="B759" s="2" t="str">
        <v>INP6201</v>
      </c>
      <c r="C759" s="20" t="str">
        <v>Ấm điện siêu tốc INP6201 1,7 lít màu ghi   </v>
      </c>
      <c r="D759" s="2" t="str"/>
      <c r="E759" s="2" t="str">
        <v>12</v>
      </c>
      <c r="F759" s="2" t="str">
        <v>324074.07</v>
      </c>
      <c r="G759" s="19" t="n">
        <v>4200000</v>
      </c>
      <c r="H759" s="2" t="str">
        <v>2.xlsx | 订单!Q605</v>
      </c>
    </row>
    <row r="760" ht="26" customHeight="1">
      <c r="A760" s="2" t="str">
        <v>S2-00603-BH</v>
      </c>
      <c r="B760" s="2" t="str">
        <v>INP6202</v>
      </c>
      <c r="C760" s="20" t="str">
        <v>	
Ấm điện siêu tốc INP6202 1,7 lít màu đen</v>
      </c>
      <c r="D760" s="2" t="str"/>
      <c r="E760" s="2" t="str">
        <v>12</v>
      </c>
      <c r="F760" s="2" t="str">
        <v>325925.92</v>
      </c>
      <c r="G760" s="19" t="n">
        <v>4224000</v>
      </c>
      <c r="H760" s="2" t="str">
        <v>2.xlsx | 订单!Q606</v>
      </c>
    </row>
    <row r="761" ht="26" customHeight="1">
      <c r="A761" s="2" t="str">
        <v>S2-00603-BH</v>
      </c>
      <c r="B761" s="2" t="str">
        <v>INP6203</v>
      </c>
      <c r="C761" s="20" t="str">
        <v>Ấm đun nước INP6203, 1.7L</v>
      </c>
      <c r="D761" s="2" t="str"/>
      <c r="E761" s="2" t="str">
        <v>12</v>
      </c>
      <c r="F761" s="2" t="str">
        <v>349074.07</v>
      </c>
      <c r="G761" s="19" t="n">
        <v>4524000</v>
      </c>
      <c r="H761" s="2" t="str">
        <v>2.xlsx | 订单!Q607</v>
      </c>
    </row>
    <row r="762" ht="26" customHeight="1">
      <c r="A762" s="2" t="str">
        <v>S2-00603-BH</v>
      </c>
      <c r="B762" s="2" t="str">
        <v>INP6204</v>
      </c>
      <c r="C762" s="20" t="str">
        <v>Ấm đun nước INP6204, 1.0L</v>
      </c>
      <c r="D762" s="2" t="str"/>
      <c r="E762" s="2" t="str">
        <v>12</v>
      </c>
      <c r="F762" s="2" t="str">
        <v>284259.25</v>
      </c>
      <c r="G762" s="19" t="n">
        <v>3684000</v>
      </c>
      <c r="H762" s="2" t="str">
        <v>2.xlsx | 订单!Q608</v>
      </c>
    </row>
    <row r="763" ht="26" customHeight="1">
      <c r="A763" s="2" t="str">
        <v>S2-00603-BH</v>
      </c>
      <c r="B763" s="2" t="str">
        <v>INP6206</v>
      </c>
      <c r="C763" s="20" t="str">
        <v>Ấm đun nước INP6206, 1.7L</v>
      </c>
      <c r="D763" s="2" t="str"/>
      <c r="E763" s="2" t="str">
        <v>12</v>
      </c>
      <c r="F763" s="2" t="str">
        <v>263888.89</v>
      </c>
      <c r="G763" s="19" t="n">
        <v>3420000</v>
      </c>
      <c r="H763" s="2" t="str">
        <v>2.xlsx | 订单!Q609</v>
      </c>
    </row>
    <row r="764" ht="26" customHeight="1">
      <c r="A764" s="2" t="str">
        <v>S2-00603-BH</v>
      </c>
      <c r="B764" s="2" t="str">
        <v>INP6205</v>
      </c>
      <c r="C764" s="20" t="str">
        <v>Ấm đun nước INP6205, 1.0L</v>
      </c>
      <c r="D764" s="2" t="str"/>
      <c r="E764" s="2" t="str">
        <v>12</v>
      </c>
      <c r="F764" s="2" t="str">
        <v>280555.55</v>
      </c>
      <c r="G764" s="19" t="n">
        <v>3636000</v>
      </c>
      <c r="H764" s="2" t="str">
        <v>2.xlsx | 订单!Q610</v>
      </c>
    </row>
    <row r="765" ht="26" customHeight="1">
      <c r="A765" s="2" t="str">
        <v>S2-00611-BH</v>
      </c>
      <c r="B765" s="2" t="str">
        <v>INP6002</v>
      </c>
      <c r="C765" s="20" t="str">
        <v>Nồi cơm điện tử (Nồi cơm điện đa năng giảm đường) INP6002</v>
      </c>
      <c r="D765" s="2" t="str"/>
      <c r="E765" s="2" t="str">
        <v>8</v>
      </c>
      <c r="F765" s="2" t="str">
        <v>1097222.22</v>
      </c>
      <c r="G765" s="19" t="n">
        <v>9480000</v>
      </c>
      <c r="H765" s="2" t="str">
        <v>2.xlsx | 订单!Q611</v>
      </c>
    </row>
    <row r="766" ht="26" customHeight="1">
      <c r="A766" s="2" t="str">
        <v>S2-00611-BH</v>
      </c>
      <c r="B766" s="2" t="str">
        <v>INP6701</v>
      </c>
      <c r="C766" s="20" t="str">
        <v>Máy xay thực phẩm INP6701</v>
      </c>
      <c r="D766" s="2" t="str"/>
      <c r="E766" s="2" t="str">
        <v>16</v>
      </c>
      <c r="F766" s="2" t="str">
        <v>361111.11</v>
      </c>
      <c r="G766" s="19" t="n">
        <v>6240000</v>
      </c>
      <c r="H766" s="2" t="str">
        <v>2.xlsx | 订单!Q612</v>
      </c>
    </row>
    <row r="767" ht="26" customHeight="1">
      <c r="A767" s="2" t="str">
        <v>S2-00614-BH</v>
      </c>
      <c r="B767" s="2" t="str">
        <v>INP1001</v>
      </c>
      <c r="C767" s="20" t="str">
        <v>Bộ nồi inox INP1001</v>
      </c>
      <c r="D767" s="2" t="str"/>
      <c r="E767" s="2" t="str">
        <v>10</v>
      </c>
      <c r="F767" s="2" t="str">
        <v>480555.55</v>
      </c>
      <c r="G767" s="19" t="n">
        <v>5190000</v>
      </c>
      <c r="H767" s="2" t="str">
        <v>2.xlsx | 订单!Q614</v>
      </c>
    </row>
    <row r="768" ht="26" customHeight="1">
      <c r="A768" s="2" t="str">
        <v>S2-00614-BH</v>
      </c>
      <c r="B768" s="2" t="str">
        <v>INP2110</v>
      </c>
      <c r="C768" s="20" t="str">
        <v>Chảo inox đúc nguyên khối (không chống dính)INP2110</v>
      </c>
      <c r="D768" s="2" t="str"/>
      <c r="E768" s="2" t="str">
        <v>10</v>
      </c>
      <c r="F768" s="2" t="str">
        <v>259259.26</v>
      </c>
      <c r="G768" s="19" t="n">
        <v>2800000</v>
      </c>
      <c r="H768" s="2" t="str">
        <v>2.xlsx | 订单!Q615</v>
      </c>
    </row>
    <row r="769" ht="26" customHeight="1">
      <c r="A769" s="2" t="str">
        <v>S2-00614-BH</v>
      </c>
      <c r="B769" s="2" t="str">
        <v>INP2109</v>
      </c>
      <c r="C769" s="20" t="str">
        <v>Chảo inox đúc nguyên khối (không chống dính)INP2109</v>
      </c>
      <c r="D769" s="2" t="str"/>
      <c r="E769" s="2" t="str">
        <v>10</v>
      </c>
      <c r="F769" s="2" t="str">
        <v>240740.74</v>
      </c>
      <c r="G769" s="19" t="n">
        <v>2600000</v>
      </c>
      <c r="H769" s="2" t="str">
        <v>2.xlsx | 订单!Q616</v>
      </c>
    </row>
    <row r="770" ht="26" customHeight="1">
      <c r="A770" s="2" t="str">
        <v>S2-00614-BH</v>
      </c>
      <c r="B770" s="2" t="str">
        <v>INP6701</v>
      </c>
      <c r="C770" s="20" t="str">
        <v>Máy xay thực phẩm INP6701</v>
      </c>
      <c r="D770" s="2" t="str"/>
      <c r="E770" s="2" t="str">
        <v>8</v>
      </c>
      <c r="F770" s="2" t="str">
        <v>361111.11</v>
      </c>
      <c r="G770" s="19" t="n">
        <v>3120000</v>
      </c>
      <c r="H770" s="2" t="str">
        <v>2.xlsx | 订单!Q617</v>
      </c>
    </row>
    <row r="771" ht="26" customHeight="1">
      <c r="A771" s="2" t="str">
        <v>S2-00614-BH</v>
      </c>
      <c r="B771" s="2" t="str">
        <v>INP6001</v>
      </c>
      <c r="C771" s="20" t="str">
        <v>Nồi cơm điện tử (Nồi cơm điện đa năng giảm đường) INP6001</v>
      </c>
      <c r="D771" s="2" t="str"/>
      <c r="E771" s="2" t="str">
        <v>8</v>
      </c>
      <c r="F771" s="2" t="str">
        <v>1138888.88</v>
      </c>
      <c r="G771" s="19" t="n">
        <v>9840000</v>
      </c>
      <c r="H771" s="2" t="str">
        <v>2.xlsx | 订单!Q618</v>
      </c>
    </row>
    <row r="772" ht="26" customHeight="1">
      <c r="A772" s="2" t="str">
        <v>S2-00614-BH</v>
      </c>
      <c r="B772" s="2" t="str">
        <v>INP6002</v>
      </c>
      <c r="C772" s="20" t="str">
        <v>Nồi cơm điện tử (Nồi cơm điện đa năng giảm đường) INP6002</v>
      </c>
      <c r="D772" s="2" t="str"/>
      <c r="E772" s="2" t="str">
        <v>8</v>
      </c>
      <c r="F772" s="2" t="str">
        <v>1097222.22</v>
      </c>
      <c r="G772" s="19" t="n">
        <v>9480000</v>
      </c>
      <c r="H772" s="2" t="str">
        <v>2.xlsx | 订单!Q619</v>
      </c>
    </row>
    <row r="773" ht="26" customHeight="1">
      <c r="A773" s="2" t="str">
        <v>S2-00614-BH</v>
      </c>
      <c r="B773" s="2" t="str">
        <v>INP6003</v>
      </c>
      <c r="C773" s="20" t="str">
        <v>Nồi cơm điện tử (Nồi cơm điện đa năng giảm đường) INP6003</v>
      </c>
      <c r="D773" s="2" t="str"/>
      <c r="E773" s="2" t="str">
        <v>8</v>
      </c>
      <c r="F773" s="2" t="str">
        <v>851851.85</v>
      </c>
      <c r="G773" s="19" t="n">
        <v>7360000</v>
      </c>
      <c r="H773" s="2" t="str">
        <v>2.xlsx | 订单!Q620</v>
      </c>
    </row>
    <row r="774" ht="26" customHeight="1">
      <c r="A774" s="2" t="str">
        <v>S2-00621-TH</v>
      </c>
      <c r="B774" s="2" t="str">
        <v>INP1002</v>
      </c>
      <c r="C774" s="20" t="str">
        <v>Bộ nồi inox INP1002</v>
      </c>
      <c r="D774" s="2" t="str"/>
      <c r="E774" s="2" t="str">
        <v>-6</v>
      </c>
      <c r="F774" s="2" t="str">
        <v>647222.22</v>
      </c>
      <c r="G774" s="19" t="n">
        <v>4194000</v>
      </c>
      <c r="H774" s="2" t="str">
        <v>2.xlsx | 订单!Q621</v>
      </c>
    </row>
    <row r="775" ht="26" customHeight="1">
      <c r="A775" s="2" t="str">
        <v>S2-00622-TH</v>
      </c>
      <c r="B775" s="2" t="str">
        <v>INP1403</v>
      </c>
      <c r="C775" s="20" t="str">
        <v>Nồi áp suất INP1403</v>
      </c>
      <c r="D775" s="2" t="str"/>
      <c r="E775" s="2" t="str">
        <v>-4</v>
      </c>
      <c r="F775" s="2" t="str">
        <v>601852.19</v>
      </c>
      <c r="G775" s="19" t="n">
        <v>2600001</v>
      </c>
      <c r="H775" s="2" t="str">
        <v>2.xlsx | 订单!Q622</v>
      </c>
    </row>
    <row r="776" ht="26" customHeight="1">
      <c r="A776" s="2" t="str">
        <v>S2-00623-TH</v>
      </c>
      <c r="B776" s="2" t="str">
        <v>INP6205</v>
      </c>
      <c r="C776" s="20" t="str">
        <v>Ấm đun nước INP6205, 1.0L</v>
      </c>
      <c r="D776" s="2" t="str"/>
      <c r="E776" s="2" t="str">
        <v>-12</v>
      </c>
      <c r="F776" s="2" t="str">
        <v>280555.55</v>
      </c>
      <c r="G776" s="19" t="n">
        <v>3636000</v>
      </c>
      <c r="H776" s="2" t="str">
        <v>2.xlsx | 订单!Q623</v>
      </c>
    </row>
    <row r="777" ht="26" customHeight="1">
      <c r="A777" s="2" t="str">
        <v>S2-00624-BH</v>
      </c>
      <c r="B777" s="2" t="str">
        <v>INP1003</v>
      </c>
      <c r="C777" s="20" t="str">
        <v>Bộ nồi Inox INP1003 </v>
      </c>
      <c r="D777" s="2" t="str"/>
      <c r="E777" s="2" t="str">
        <v>20</v>
      </c>
      <c r="F777" s="2" t="str">
        <v>324074.07</v>
      </c>
      <c r="G777" s="19" t="n">
        <v>7000000</v>
      </c>
      <c r="H777" s="2" t="str">
        <v>2.xlsx | 订单!Q624</v>
      </c>
    </row>
    <row r="778" ht="26" customHeight="1">
      <c r="A778" s="2" t="str">
        <v>S2-00624-BH</v>
      </c>
      <c r="B778" s="2" t="str">
        <v>INP6102</v>
      </c>
      <c r="C778" s="20" t="str">
        <v>Bếp từ đơn INP6102 ( 2500W), 2 quạt tản</v>
      </c>
      <c r="D778" s="2" t="str"/>
      <c r="E778" s="2" t="str">
        <v>12</v>
      </c>
      <c r="F778" s="2" t="str">
        <v>937962.96</v>
      </c>
      <c r="G778" s="19" t="n">
        <v>12156000</v>
      </c>
      <c r="H778" s="2" t="str">
        <v>2.xlsx | 订单!Q625</v>
      </c>
    </row>
    <row r="779" ht="26" customHeight="1">
      <c r="A779" s="2" t="str">
        <v>S2-00624-BH</v>
      </c>
      <c r="B779" s="2" t="str">
        <v>INP2002</v>
      </c>
      <c r="C779" s="20" t="str">
        <v>Bộ nồi inox INP2002</v>
      </c>
      <c r="D779" s="2" t="str"/>
      <c r="E779" s="2" t="str">
        <v>4</v>
      </c>
      <c r="F779" s="2" t="str">
        <v>851851.85</v>
      </c>
      <c r="G779" s="19" t="n">
        <v>3680000</v>
      </c>
      <c r="H779" s="2" t="str">
        <v>2.xlsx | 订单!Q626</v>
      </c>
    </row>
    <row r="780" ht="26" customHeight="1">
      <c r="A780" s="2" t="str">
        <v>S2-00624-BH</v>
      </c>
      <c r="B780" s="2" t="str">
        <v>INP6104</v>
      </c>
      <c r="C780" s="20" t="str">
        <v>Bếp từ đơn INP6104 ( 2500W ) </v>
      </c>
      <c r="D780" s="2" t="str">
        <v>Cái</v>
      </c>
      <c r="E780" s="2" t="str">
        <v>12</v>
      </c>
      <c r="F780" s="2" t="str">
        <v>1007407.41</v>
      </c>
      <c r="G780" s="19" t="n">
        <v>13056000</v>
      </c>
      <c r="H780" s="2" t="str">
        <v>2.xlsx | 订单!Q627</v>
      </c>
    </row>
    <row r="781" ht="26" customHeight="1">
      <c r="A781" s="2" t="str">
        <v>S2-00624-BH</v>
      </c>
      <c r="B781" s="2" t="str">
        <v>INP2003</v>
      </c>
      <c r="C781" s="20" t="str">
        <v>Bộ nồi inox INP2003</v>
      </c>
      <c r="D781" s="2" t="str"/>
      <c r="E781" s="2" t="str">
        <v>4</v>
      </c>
      <c r="F781" s="2" t="str">
        <v>1185185.19</v>
      </c>
      <c r="G781" s="19" t="n">
        <v>5120000</v>
      </c>
      <c r="H781" s="2" t="str">
        <v>2.xlsx | 订单!Q628</v>
      </c>
    </row>
    <row r="782" ht="26" customHeight="1">
      <c r="A782" s="2" t="str">
        <v>S2-00631-BH</v>
      </c>
      <c r="B782" s="2" t="str">
        <v>INP1001</v>
      </c>
      <c r="C782" s="20" t="str">
        <v>Bộ nồi inox INP1001</v>
      </c>
      <c r="D782" s="2" t="str"/>
      <c r="E782" s="2" t="str">
        <v>10</v>
      </c>
      <c r="F782" s="2" t="str">
        <v>480555.56</v>
      </c>
      <c r="G782" s="19" t="n">
        <v>5190000</v>
      </c>
      <c r="H782" s="2" t="str">
        <v>2.xlsx | 订单!Q631</v>
      </c>
    </row>
    <row r="783" ht="26" customHeight="1">
      <c r="A783" s="2" t="str">
        <v>S2-00631-BH</v>
      </c>
      <c r="B783" s="2" t="str">
        <v>INP1003</v>
      </c>
      <c r="C783" s="20" t="str">
        <v>Bộ nồi  Inox INP1003 </v>
      </c>
      <c r="D783" s="2" t="str"/>
      <c r="E783" s="2" t="str">
        <v>40</v>
      </c>
      <c r="F783" s="2" t="str">
        <v>324074.07</v>
      </c>
      <c r="G783" s="19" t="n">
        <v>14000000</v>
      </c>
      <c r="H783" s="2" t="str">
        <v>2.xlsx | 订单!Q632</v>
      </c>
    </row>
    <row r="784" ht="26" customHeight="1">
      <c r="A784" s="2" t="str">
        <v>S2-00631-BH</v>
      </c>
      <c r="B784" s="2" t="str">
        <v>INP2001</v>
      </c>
      <c r="C784" s="20" t="str">
        <v>Bộ nồi inox INP2001</v>
      </c>
      <c r="D784" s="2" t="str"/>
      <c r="E784" s="2" t="str">
        <v>4</v>
      </c>
      <c r="F784" s="2" t="str">
        <v>1043518.52</v>
      </c>
      <c r="G784" s="19" t="n">
        <v>4508000</v>
      </c>
      <c r="H784" s="2" t="str">
        <v>2.xlsx | 订单!Q633</v>
      </c>
    </row>
    <row r="785" ht="26" customHeight="1">
      <c r="A785" s="2" t="str">
        <v>S2-00631-BH</v>
      </c>
      <c r="B785" s="2" t="str">
        <v>INP2002</v>
      </c>
      <c r="C785" s="20" t="str">
        <v>Bộ nồi inox INP2002</v>
      </c>
      <c r="D785" s="2" t="str"/>
      <c r="E785" s="2" t="str">
        <v>10</v>
      </c>
      <c r="F785" s="2" t="str">
        <v>851851.85</v>
      </c>
      <c r="G785" s="19" t="n">
        <v>9200000</v>
      </c>
      <c r="H785" s="2" t="str">
        <v>2.xlsx | 订单!Q634</v>
      </c>
    </row>
    <row r="786" ht="26" customHeight="1">
      <c r="A786" s="2" t="str">
        <v>S2-00631-BH</v>
      </c>
      <c r="B786" s="2" t="str">
        <v>INP2102</v>
      </c>
      <c r="C786" s="20" t="str">
        <v>Chảo inox chống dính đúc nguyên khốiINP2102</v>
      </c>
      <c r="D786" s="2" t="str"/>
      <c r="E786" s="2" t="str">
        <v>10</v>
      </c>
      <c r="F786" s="2" t="str">
        <v>256481.48</v>
      </c>
      <c r="G786" s="19" t="n">
        <v>2770000</v>
      </c>
      <c r="H786" s="2" t="str">
        <v>2.xlsx | 订单!Q635</v>
      </c>
    </row>
    <row r="787" ht="26" customHeight="1">
      <c r="A787" s="2" t="str">
        <v>S2-00631-BH</v>
      </c>
      <c r="B787" s="2" t="str">
        <v>INP2103</v>
      </c>
      <c r="C787" s="20" t="str">
        <v>Chảo inox chống dính đúc nguyên khốiINP2103</v>
      </c>
      <c r="D787" s="2" t="str"/>
      <c r="E787" s="2" t="str">
        <v>10</v>
      </c>
      <c r="F787" s="2" t="str">
        <v>281481.48</v>
      </c>
      <c r="G787" s="19" t="n">
        <v>3040000</v>
      </c>
      <c r="H787" s="2" t="str">
        <v>2.xlsx | 订单!Q636</v>
      </c>
    </row>
    <row r="788" ht="26" customHeight="1">
      <c r="A788" s="2" t="str">
        <v>S2-00631-BH</v>
      </c>
      <c r="B788" s="2" t="str">
        <v>INP2104</v>
      </c>
      <c r="C788" s="20" t="str">
        <v>Chảo inox chống dính đúc nguyên khốiINP2104</v>
      </c>
      <c r="D788" s="2" t="str"/>
      <c r="E788" s="2" t="str">
        <v>10</v>
      </c>
      <c r="F788" s="2" t="str">
        <v>298148.15</v>
      </c>
      <c r="G788" s="19" t="n">
        <v>3220000</v>
      </c>
      <c r="H788" s="2" t="str">
        <v>2.xlsx | 订单!Q637</v>
      </c>
    </row>
    <row r="789" ht="26" customHeight="1">
      <c r="A789" s="2" t="str">
        <v>S2-00631-BH</v>
      </c>
      <c r="B789" s="2" t="str">
        <v>INP6701</v>
      </c>
      <c r="C789" s="20" t="str">
        <v>Máy xay thực phẩm INP6701</v>
      </c>
      <c r="D789" s="2" t="str"/>
      <c r="E789" s="2" t="str">
        <v>24</v>
      </c>
      <c r="F789" s="2" t="str">
        <v>361111.11</v>
      </c>
      <c r="G789" s="19" t="n">
        <v>9360000</v>
      </c>
      <c r="H789" s="2" t="str">
        <v>2.xlsx | 订单!Q638</v>
      </c>
    </row>
    <row r="790" ht="26" customHeight="1">
      <c r="A790" s="2" t="str">
        <v>S2-00639-BH</v>
      </c>
      <c r="B790" s="2" t="str">
        <v>INP6401</v>
      </c>
      <c r="C790" s="20" t="str">
        <v>Quạt đứng INP6401</v>
      </c>
      <c r="D790" s="2" t="str"/>
      <c r="E790" s="2" t="str">
        <v>100</v>
      </c>
      <c r="F790" s="2" t="str">
        <v>509259.26</v>
      </c>
      <c r="G790" s="19" t="n">
        <v>55000000</v>
      </c>
      <c r="H790" s="2" t="str">
        <v>2.xlsx | 订单!Q639</v>
      </c>
    </row>
    <row r="791" ht="26" customHeight="1">
      <c r="A791" s="2" t="str">
        <v>S2-00640-BH</v>
      </c>
      <c r="B791" s="2" t="str">
        <v>INP6902</v>
      </c>
      <c r="C791" s="20" t="str">
        <v>Nồi áp suất điện INP6902</v>
      </c>
      <c r="D791" s="2" t="str"/>
      <c r="E791" s="2" t="str">
        <v>10</v>
      </c>
      <c r="F791" s="2" t="str">
        <v>814814.81</v>
      </c>
      <c r="G791" s="19" t="n">
        <v>8800000</v>
      </c>
      <c r="H791" s="2" t="str">
        <v>2.xlsx | 订单!Q640</v>
      </c>
    </row>
    <row r="792" ht="26" customHeight="1">
      <c r="A792" s="2" t="str">
        <v>S2-00640-BH</v>
      </c>
      <c r="B792" s="2" t="str">
        <v>INP6903</v>
      </c>
      <c r="C792" s="20" t="str">
        <v>Nồi áp suất điện INP6903</v>
      </c>
      <c r="D792" s="2" t="str"/>
      <c r="E792" s="2" t="str">
        <v>10</v>
      </c>
      <c r="F792" s="2" t="str">
        <v>907407.41</v>
      </c>
      <c r="G792" s="19" t="n">
        <v>9800000</v>
      </c>
      <c r="H792" s="2" t="str">
        <v>2.xlsx | 订单!Q641</v>
      </c>
    </row>
    <row r="793" ht="26" customHeight="1">
      <c r="A793" s="2" t="str">
        <v>S2-00642-BH</v>
      </c>
      <c r="B793" s="2" t="str">
        <v>INP6402</v>
      </c>
      <c r="C793" s="20" t="str">
        <v>	
Quạt điện đứng INP6402</v>
      </c>
      <c r="D793" s="2" t="str"/>
      <c r="E793" s="2" t="str">
        <v>10</v>
      </c>
      <c r="F793" s="2" t="str">
        <v>574074.07</v>
      </c>
      <c r="G793" s="19" t="n">
        <v>6200000</v>
      </c>
      <c r="H793" s="2" t="str">
        <v>2.xlsx | 订单!Q642</v>
      </c>
    </row>
    <row r="794" ht="26" customHeight="1">
      <c r="A794" s="2" t="str">
        <v>S2-00643-BH</v>
      </c>
      <c r="B794" s="2" t="str">
        <v>INP6902</v>
      </c>
      <c r="C794" s="20" t="str">
        <v>Nồi áp suất điện INP6902</v>
      </c>
      <c r="D794" s="2" t="str"/>
      <c r="E794" s="2" t="str">
        <v>20</v>
      </c>
      <c r="F794" s="2" t="str">
        <v>814814.81</v>
      </c>
      <c r="G794" s="19" t="n">
        <v>17600000</v>
      </c>
      <c r="H794" s="2" t="str">
        <v>2.xlsx | 订单!Q643</v>
      </c>
    </row>
    <row r="795" ht="26" customHeight="1">
      <c r="A795" s="2" t="str">
        <v>S2-00644-BH</v>
      </c>
      <c r="B795" s="2" t="str">
        <v>INP6403</v>
      </c>
      <c r="C795" s="20" t="str">
        <v>Quạt điện đứng INP6403</v>
      </c>
      <c r="D795" s="2" t="str"/>
      <c r="E795" s="2" t="str">
        <v>30</v>
      </c>
      <c r="F795" s="2" t="str">
        <v>694444.44</v>
      </c>
      <c r="G795" s="19" t="n">
        <v>22500000</v>
      </c>
      <c r="H795" s="2" t="str">
        <v>2.xlsx | 订单!Q644</v>
      </c>
    </row>
    <row r="796" ht="26" customHeight="1">
      <c r="A796" s="2" t="str">
        <v>S2-00646-BH</v>
      </c>
      <c r="B796" s="2" t="str">
        <v>INP6407</v>
      </c>
      <c r="C796" s="20" t="str">
        <v>	Quạt để bàn mini INP6407</v>
      </c>
      <c r="D796" s="2" t="str"/>
      <c r="E796" s="2" t="str">
        <v>18</v>
      </c>
      <c r="F796" s="2" t="str">
        <v>231481.48</v>
      </c>
      <c r="G796" s="19" t="n">
        <v>4500000</v>
      </c>
      <c r="H796" s="2" t="str">
        <v>2.xlsx | 订单!Q646</v>
      </c>
    </row>
    <row r="797" ht="26" customHeight="1">
      <c r="A797" s="2" t="str">
        <v>S2-00646-BH</v>
      </c>
      <c r="B797" s="2" t="str">
        <v>INP6409</v>
      </c>
      <c r="C797" s="20" t="str">
        <v>	
Quạt để bàn mini INP6409</v>
      </c>
      <c r="D797" s="2" t="str"/>
      <c r="E797" s="2" t="str">
        <v>60</v>
      </c>
      <c r="F797" s="2" t="str">
        <v>203703.7</v>
      </c>
      <c r="G797" s="19" t="n">
        <v>13200000</v>
      </c>
      <c r="H797" s="2" t="str">
        <v>2.xlsx | 订单!Q647</v>
      </c>
    </row>
    <row r="798" ht="26" customHeight="1">
      <c r="A798" s="2" t="str">
        <v>S2-00646-BH</v>
      </c>
      <c r="B798" s="2" t="str">
        <v>INP6410</v>
      </c>
      <c r="C798" s="20" t="str">
        <v>	
Quạt để bàn mini INP6410</v>
      </c>
      <c r="D798" s="2" t="str"/>
      <c r="E798" s="2" t="str">
        <v>30</v>
      </c>
      <c r="F798" s="2" t="str">
        <v>231481.48</v>
      </c>
      <c r="G798" s="19" t="n">
        <v>7500000</v>
      </c>
      <c r="H798" s="2" t="str">
        <v>2.xlsx | 订单!Q648</v>
      </c>
    </row>
    <row r="799" ht="26" customHeight="1">
      <c r="A799" s="2" t="str">
        <v>S2-00649-BH</v>
      </c>
      <c r="B799" s="2" t="str">
        <v>INP6408</v>
      </c>
      <c r="C799" s="20" t="str">
        <v>Quạt hai đầu đa năng để bàn INP6408</v>
      </c>
      <c r="D799" s="2" t="str"/>
      <c r="E799" s="2" t="str">
        <v>20</v>
      </c>
      <c r="F799" s="2" t="str">
        <v>231481.48</v>
      </c>
      <c r="G799" s="19" t="n">
        <v>5000000</v>
      </c>
      <c r="H799" s="2" t="str">
        <v>2.xlsx | 订单!Q649</v>
      </c>
    </row>
    <row r="800" ht="26" customHeight="1">
      <c r="A800" s="2" t="str">
        <v>S2-00649-BH</v>
      </c>
      <c r="B800" s="2" t="str">
        <v>INP6411</v>
      </c>
      <c r="C800" s="20" t="str">
        <v>Quạt tích điện INP6411</v>
      </c>
      <c r="D800" s="2" t="str"/>
      <c r="E800" s="2" t="str">
        <v>20</v>
      </c>
      <c r="F800" s="2" t="str">
        <v>425925.93</v>
      </c>
      <c r="G800" s="19" t="n">
        <v>9200000</v>
      </c>
      <c r="H800" s="2" t="str">
        <v>2.xlsx | 订单!Q650</v>
      </c>
    </row>
    <row r="801" ht="26" customHeight="1">
      <c r="A801" s="2" t="str">
        <v>S2-00651-BH</v>
      </c>
      <c r="B801" s="2" t="str">
        <v>INP1202</v>
      </c>
      <c r="C801" s="20" t="str">
        <v>Nồi Inox INP1202</v>
      </c>
      <c r="D801" s="2" t="str"/>
      <c r="E801" s="2" t="str">
        <v>8</v>
      </c>
      <c r="F801" s="2" t="str">
        <v>472222.22</v>
      </c>
      <c r="G801" s="19" t="n">
        <v>4080000</v>
      </c>
      <c r="H801" s="2" t="str">
        <v>2.xlsx | 订单!Q651</v>
      </c>
    </row>
    <row r="802" ht="26" customHeight="1">
      <c r="A802" s="2" t="str">
        <v>S2-00651-BH</v>
      </c>
      <c r="B802" s="2" t="str">
        <v>INP1203</v>
      </c>
      <c r="C802" s="20" t="str">
        <v>Nồi Inox INP1203</v>
      </c>
      <c r="D802" s="2" t="str"/>
      <c r="E802" s="2" t="str">
        <v>8</v>
      </c>
      <c r="F802" s="2" t="str">
        <v>492592.59</v>
      </c>
      <c r="G802" s="19" t="n">
        <v>4256000</v>
      </c>
      <c r="H802" s="2" t="str">
        <v>2.xlsx | 订单!Q652</v>
      </c>
    </row>
    <row r="803" ht="26" customHeight="1">
      <c r="A803" s="2" t="str">
        <v>S2-00651-BH</v>
      </c>
      <c r="B803" s="2" t="str">
        <v>INP1401</v>
      </c>
      <c r="C803" s="20" t="str">
        <v>Nồi áp suất 4.5L INP1401</v>
      </c>
      <c r="D803" s="2" t="str">
        <v>Cái</v>
      </c>
      <c r="E803" s="2" t="str">
        <v>12</v>
      </c>
      <c r="F803" s="2" t="str">
        <v>824074.07</v>
      </c>
      <c r="G803" s="19" t="n">
        <v>10680000</v>
      </c>
      <c r="H803" s="2" t="str">
        <v>2.xlsx | 订单!Q653</v>
      </c>
    </row>
    <row r="804" ht="26" customHeight="1">
      <c r="A804" s="2" t="str">
        <v>S2-00651-BH</v>
      </c>
      <c r="B804" s="2" t="str">
        <v>INP1402</v>
      </c>
      <c r="C804" s="20" t="str">
        <v>	
Nồi áp suất 6L INP1402</v>
      </c>
      <c r="D804" s="2" t="str"/>
      <c r="E804" s="2" t="str">
        <v>12</v>
      </c>
      <c r="F804" s="2" t="str">
        <v>937962.96</v>
      </c>
      <c r="G804" s="19" t="n">
        <v>12156000</v>
      </c>
      <c r="H804" s="2" t="str">
        <v>2.xlsx | 订单!Q654</v>
      </c>
    </row>
    <row r="805" ht="26" customHeight="1">
      <c r="A805" s="2" t="str">
        <v>S2-00651-BH</v>
      </c>
      <c r="B805" s="2" t="str">
        <v>INP2001</v>
      </c>
      <c r="C805" s="20" t="str">
        <v>Bộ nồi inox INP2001</v>
      </c>
      <c r="D805" s="2" t="str"/>
      <c r="E805" s="2" t="str">
        <v>10</v>
      </c>
      <c r="F805" s="2" t="str">
        <v>1043518.52</v>
      </c>
      <c r="G805" s="19" t="n">
        <v>11270000</v>
      </c>
      <c r="H805" s="2" t="str">
        <v>2.xlsx | 订单!Q655</v>
      </c>
    </row>
    <row r="806" ht="26" customHeight="1">
      <c r="A806" s="2" t="str">
        <v>S2-00651-BH</v>
      </c>
      <c r="B806" s="2" t="str">
        <v>INP2002</v>
      </c>
      <c r="C806" s="20" t="str">
        <v>Bộ nồi inox INP2002</v>
      </c>
      <c r="D806" s="2" t="str"/>
      <c r="E806" s="2" t="str">
        <v>20</v>
      </c>
      <c r="F806" s="2" t="str">
        <v>851851.85</v>
      </c>
      <c r="G806" s="19" t="n">
        <v>18400000</v>
      </c>
      <c r="H806" s="2" t="str">
        <v>2.xlsx | 订单!Q656</v>
      </c>
    </row>
    <row r="807" ht="26" customHeight="1">
      <c r="A807" s="2" t="str">
        <v>S2-00651-BH</v>
      </c>
      <c r="B807" s="2" t="str">
        <v>INP2101</v>
      </c>
      <c r="C807" s="20" t="str">
        <v>Chảo inox chống dính đúc nguyên khốiINP2101</v>
      </c>
      <c r="D807" s="2" t="str"/>
      <c r="E807" s="2" t="str">
        <v>10</v>
      </c>
      <c r="F807" s="2" t="str">
        <v>234259.3</v>
      </c>
      <c r="G807" s="19" t="n">
        <v>2530000</v>
      </c>
      <c r="H807" s="2" t="str">
        <v>2.xlsx | 订单!Q657</v>
      </c>
    </row>
    <row r="808" ht="26" customHeight="1">
      <c r="A808" s="2" t="str">
        <v>S2-00651-BH</v>
      </c>
      <c r="B808" s="2" t="str">
        <v>INP2105</v>
      </c>
      <c r="C808" s="20" t="str">
        <v>	
Chảo inox đúc nguyên khối (không chống dính)INP2105</v>
      </c>
      <c r="D808" s="2" t="str"/>
      <c r="E808" s="2" t="str">
        <v>20</v>
      </c>
      <c r="F808" s="2" t="str">
        <v>227777.78</v>
      </c>
      <c r="G808" s="19" t="n">
        <v>4920000</v>
      </c>
      <c r="H808" s="2" t="str">
        <v>2.xlsx | 订单!Q658</v>
      </c>
    </row>
    <row r="809" ht="26" customHeight="1">
      <c r="A809" s="2" t="str">
        <v>S2-00651-BH</v>
      </c>
      <c r="B809" s="2" t="str">
        <v>INP2106</v>
      </c>
      <c r="C809" s="20" t="str">
        <v>Chảo inox đúc nguyên khối (không chống dính)INP2106</v>
      </c>
      <c r="D809" s="2" t="str"/>
      <c r="E809" s="2" t="str">
        <v>20</v>
      </c>
      <c r="F809" s="2" t="str">
        <v>252777.78</v>
      </c>
      <c r="G809" s="19" t="n">
        <v>5460000</v>
      </c>
      <c r="H809" s="2" t="str">
        <v>2.xlsx | 订单!Q659</v>
      </c>
    </row>
    <row r="810" ht="26" customHeight="1">
      <c r="A810" s="2" t="str">
        <v>S2-00651-BH</v>
      </c>
      <c r="B810" s="2" t="str">
        <v>INP2202</v>
      </c>
      <c r="C810" s="20" t="str">
        <v>Nồi luộc gà inox đúc nguyên khốiINP2202</v>
      </c>
      <c r="D810" s="2" t="str"/>
      <c r="E810" s="2" t="str">
        <v>8</v>
      </c>
      <c r="F810" s="2" t="str">
        <v>844444.44</v>
      </c>
      <c r="G810" s="19" t="n">
        <v>7296000</v>
      </c>
      <c r="H810" s="2" t="str">
        <v>2.xlsx | 订单!Q660</v>
      </c>
    </row>
    <row r="811" ht="26" customHeight="1">
      <c r="A811" s="2" t="str">
        <v>S2-00651-BH</v>
      </c>
      <c r="B811" s="2" t="str">
        <v>INP6403</v>
      </c>
      <c r="C811" s="20" t="str">
        <v>Quạt điện đứng INP6403</v>
      </c>
      <c r="D811" s="2" t="str"/>
      <c r="E811" s="2" t="str">
        <v>20</v>
      </c>
      <c r="F811" s="2" t="str">
        <v>694444.44</v>
      </c>
      <c r="G811" s="19" t="n">
        <v>15000000</v>
      </c>
      <c r="H811" s="2" t="str">
        <v>2.xlsx | 订单!Q662</v>
      </c>
    </row>
    <row r="812" ht="26" customHeight="1">
      <c r="A812" s="2" t="str">
        <v>S2-00663-BH</v>
      </c>
      <c r="B812" s="2" t="str">
        <v>INP2108</v>
      </c>
      <c r="C812" s="20" t="str">
        <v>Chảo inox đúc nguyên khối (không chống dính)INP2108</v>
      </c>
      <c r="D812" s="2" t="str"/>
      <c r="E812" s="2" t="str">
        <v>10</v>
      </c>
      <c r="F812" s="2" t="str">
        <v>226851.85</v>
      </c>
      <c r="G812" s="19" t="n">
        <v>2450000</v>
      </c>
      <c r="H812" s="2" t="str">
        <v>2.xlsx | 订单!Q663</v>
      </c>
    </row>
    <row r="813" ht="26" customHeight="1">
      <c r="A813" s="2" t="str">
        <v>S2-00663-BH</v>
      </c>
      <c r="B813" s="2" t="str">
        <v>INP2109</v>
      </c>
      <c r="C813" s="20" t="str">
        <v>Chảo inox đúc nguyên khối (không chống dính)INP2109</v>
      </c>
      <c r="D813" s="2" t="str"/>
      <c r="E813" s="2" t="str">
        <v>10</v>
      </c>
      <c r="F813" s="2" t="str">
        <v>240740.74</v>
      </c>
      <c r="G813" s="19" t="n">
        <v>2600000</v>
      </c>
      <c r="H813" s="2" t="str">
        <v>2.xlsx | 订单!Q664</v>
      </c>
    </row>
    <row r="814" ht="26" customHeight="1">
      <c r="A814" s="2" t="str">
        <v>S2-00663-BH</v>
      </c>
      <c r="B814" s="2" t="str">
        <v>INP2110</v>
      </c>
      <c r="C814" s="20" t="str">
        <v>Chảo inox đúc nguyên khối (không chống dính)INP2110</v>
      </c>
      <c r="D814" s="2" t="str"/>
      <c r="E814" s="2" t="str">
        <v>10</v>
      </c>
      <c r="F814" s="2" t="str">
        <v>259259.25</v>
      </c>
      <c r="G814" s="19" t="n">
        <v>2800000</v>
      </c>
      <c r="H814" s="2" t="str">
        <v>2.xlsx | 订单!Q665</v>
      </c>
    </row>
    <row r="815" ht="26" customHeight="1">
      <c r="A815" s="2" t="str">
        <v>S2-00663-BH</v>
      </c>
      <c r="B815" s="2" t="str">
        <v>INP2111</v>
      </c>
      <c r="C815" s="20" t="str">
        <v>Chảo inox đúc nguyên khối (không chống dính)INP2111</v>
      </c>
      <c r="D815" s="2" t="str"/>
      <c r="E815" s="2" t="str">
        <v>10</v>
      </c>
      <c r="F815" s="2" t="str">
        <v>277277.77</v>
      </c>
      <c r="G815" s="19" t="n">
        <v>2994600</v>
      </c>
      <c r="H815" s="2" t="str">
        <v>2.xlsx | 订单!Q666</v>
      </c>
    </row>
    <row r="816" ht="26" customHeight="1">
      <c r="A816" s="2" t="str">
        <v>S2-00663-BH</v>
      </c>
      <c r="B816" s="2" t="str">
        <v>INP2002</v>
      </c>
      <c r="C816" s="20" t="str">
        <v>Bộ nồi inox INP2002</v>
      </c>
      <c r="D816" s="2" t="str"/>
      <c r="E816" s="2" t="str">
        <v>10</v>
      </c>
      <c r="F816" s="2" t="str">
        <v>851851.85</v>
      </c>
      <c r="G816" s="19" t="n">
        <v>9200000</v>
      </c>
      <c r="H816" s="2" t="str">
        <v>2.xlsx | 订单!Q667</v>
      </c>
    </row>
    <row r="817" ht="26" customHeight="1">
      <c r="A817" s="2" t="str">
        <v>S2-00663-BH</v>
      </c>
      <c r="B817" s="2" t="str">
        <v>INP1001</v>
      </c>
      <c r="C817" s="20" t="str">
        <v>Bộ nồi inox INP1001</v>
      </c>
      <c r="D817" s="2" t="str"/>
      <c r="E817" s="2" t="str">
        <v>10</v>
      </c>
      <c r="F817" s="2" t="str">
        <v>480555.56</v>
      </c>
      <c r="G817" s="19" t="n">
        <v>5190000</v>
      </c>
      <c r="H817" s="2" t="str">
        <v>2.xlsx | 订单!Q668</v>
      </c>
    </row>
    <row r="818" ht="26" customHeight="1">
      <c r="A818" s="2" t="str">
        <v>S2-00663-BH</v>
      </c>
      <c r="B818" s="2" t="str">
        <v>INP3001</v>
      </c>
      <c r="C818" s="20" t="str">
        <v>	Nồi gang tráng menINP3001</v>
      </c>
      <c r="D818" s="2" t="str"/>
      <c r="E818" s="2" t="str">
        <v>1</v>
      </c>
      <c r="F818" s="2" t="str">
        <v>659259.26</v>
      </c>
      <c r="G818" s="19" t="n">
        <v>712000</v>
      </c>
      <c r="H818" s="2" t="str">
        <v>2.xlsx | 订单!Q669</v>
      </c>
    </row>
    <row r="819" ht="26" customHeight="1">
      <c r="A819" s="2" t="str">
        <v>S2-00663-BH</v>
      </c>
      <c r="B819" s="2" t="str">
        <v>INP3002</v>
      </c>
      <c r="C819" s="20" t="str">
        <v>	Nồi gang tráng menINP3002</v>
      </c>
      <c r="D819" s="2" t="str"/>
      <c r="E819" s="2" t="str">
        <v>1</v>
      </c>
      <c r="F819" s="2" t="str">
        <v>569444.44</v>
      </c>
      <c r="G819" s="19" t="n">
        <v>615000</v>
      </c>
      <c r="H819" s="2" t="str">
        <v>2.xlsx | 订单!Q670</v>
      </c>
    </row>
    <row r="820" ht="26" customHeight="1">
      <c r="A820" s="2" t="str">
        <v>S2-00663-BH</v>
      </c>
      <c r="B820" s="2" t="str">
        <v>INP3003</v>
      </c>
      <c r="C820" s="20" t="str">
        <v>	Nồi gang tráng menINP3003</v>
      </c>
      <c r="D820" s="2" t="str"/>
      <c r="E820" s="2" t="str">
        <v>1</v>
      </c>
      <c r="F820" s="2" t="str">
        <v>564814.81</v>
      </c>
      <c r="G820" s="19" t="n">
        <v>610000</v>
      </c>
      <c r="H820" s="2" t="str">
        <v>2.xlsx | 订单!Q671</v>
      </c>
    </row>
    <row r="821" ht="26" customHeight="1">
      <c r="A821" s="2" t="str">
        <v>S2-00663-BH</v>
      </c>
      <c r="B821" s="2" t="str">
        <v>INP3201</v>
      </c>
      <c r="C821" s="20" t="str">
        <v>	Chảo gang tráng menINP3201</v>
      </c>
      <c r="D821" s="2" t="str"/>
      <c r="E821" s="2" t="str">
        <v>3</v>
      </c>
      <c r="F821" s="2" t="str">
        <v>194444.44</v>
      </c>
      <c r="G821" s="19" t="n">
        <v>630000</v>
      </c>
      <c r="H821" s="2" t="str">
        <v>2.xlsx | 订单!Q672</v>
      </c>
    </row>
    <row r="822" ht="26" customHeight="1">
      <c r="A822" s="2" t="str">
        <v>S2-00673-BH</v>
      </c>
      <c r="B822" s="2" t="str">
        <v>INP6901</v>
      </c>
      <c r="C822" s="20" t="str">
        <v>Nồi áp suất điện INP6901</v>
      </c>
      <c r="D822" s="2" t="str"/>
      <c r="E822" s="2" t="str">
        <v>8</v>
      </c>
      <c r="F822" s="2" t="str">
        <v>861111.11</v>
      </c>
      <c r="G822" s="19" t="n">
        <v>7440000</v>
      </c>
      <c r="H822" s="2" t="str">
        <v>2.xlsx | 订单!Q673</v>
      </c>
    </row>
    <row r="823" ht="26" customHeight="1">
      <c r="A823" s="2" t="str">
        <v>S2-00674-BH</v>
      </c>
      <c r="B823" s="2" t="str">
        <v>INP6902</v>
      </c>
      <c r="C823" s="20" t="str">
        <v>Nồi áp suất điện INP6902</v>
      </c>
      <c r="D823" s="2" t="str"/>
      <c r="E823" s="2" t="str">
        <v>20</v>
      </c>
      <c r="F823" s="2" t="str">
        <v>814814.81</v>
      </c>
      <c r="G823" s="19" t="n">
        <v>17600000</v>
      </c>
      <c r="H823" s="2" t="str">
        <v>2.xlsx | 订单!Q674</v>
      </c>
    </row>
    <row r="824" ht="26" customHeight="1">
      <c r="A824" s="2" t="str">
        <v>S2-00675-BH</v>
      </c>
      <c r="B824" s="2" t="str">
        <v>INP6105</v>
      </c>
      <c r="C824" s="20" t="str">
        <v>Bếp từ đơn INP6105</v>
      </c>
      <c r="D824" s="2" t="str"/>
      <c r="E824" s="2" t="str">
        <v>12</v>
      </c>
      <c r="F824" s="2" t="str">
        <v>675925.93</v>
      </c>
      <c r="G824" s="19" t="n">
        <v>8760000</v>
      </c>
      <c r="H824" s="2" t="str">
        <v>2.xlsx | 订单!Q675</v>
      </c>
    </row>
    <row r="825" ht="26" customHeight="1">
      <c r="A825" s="2" t="str">
        <v>S2-00677-BH</v>
      </c>
      <c r="B825" s="2" t="str">
        <v>INP6901</v>
      </c>
      <c r="C825" s="20" t="str">
        <v>Nồi áp suất điện INP6901</v>
      </c>
      <c r="D825" s="2" t="str"/>
      <c r="E825" s="2" t="str">
        <v>20</v>
      </c>
      <c r="F825" s="2" t="str">
        <v>861111.11</v>
      </c>
      <c r="G825" s="19" t="n">
        <v>18600000</v>
      </c>
      <c r="H825" s="2" t="str">
        <v>2.xlsx | 订单!Q677</v>
      </c>
    </row>
    <row r="826" ht="26" customHeight="1">
      <c r="A826" s="2" t="str">
        <v>S2-00679-BH</v>
      </c>
      <c r="B826" s="2" t="str">
        <v>INP6004</v>
      </c>
      <c r="C826" s="20" t="str">
        <v>Nồi cơm điện INP6004 (1,2L)</v>
      </c>
      <c r="D826" s="2" t="str"/>
      <c r="E826" s="2" t="str">
        <v>15</v>
      </c>
      <c r="F826" s="2" t="str">
        <v>542592.59</v>
      </c>
      <c r="G826" s="19" t="n">
        <v>8790000</v>
      </c>
      <c r="H826" s="2" t="str">
        <v>2.xlsx | 订单!Q679</v>
      </c>
    </row>
    <row r="827" ht="26" customHeight="1">
      <c r="A827" s="2" t="str">
        <v>S2-00679-BH</v>
      </c>
      <c r="B827" s="2" t="str">
        <v>INP6005</v>
      </c>
      <c r="C827" s="20" t="str">
        <v>Nồi cơm điện INP6005 (1,8L)</v>
      </c>
      <c r="D827" s="2" t="str"/>
      <c r="E827" s="2" t="str">
        <v>15</v>
      </c>
      <c r="F827" s="2" t="str">
        <v>644444.44</v>
      </c>
      <c r="G827" s="19" t="n">
        <v>10440000</v>
      </c>
      <c r="H827" s="2" t="str">
        <v>2.xlsx | 订单!Q680</v>
      </c>
    </row>
    <row r="828" ht="26" customHeight="1">
      <c r="A828" s="2" t="str">
        <v>S2-00679-BH</v>
      </c>
      <c r="B828" s="2" t="str">
        <v>INP6006</v>
      </c>
      <c r="C828" s="20" t="str">
        <v>Nồi cơm điện INP6006 (1,2L)</v>
      </c>
      <c r="D828" s="2" t="str"/>
      <c r="E828" s="2" t="str">
        <v>45</v>
      </c>
      <c r="F828" s="2" t="str">
        <v>527777.78</v>
      </c>
      <c r="G828" s="19" t="n">
        <v>25650000</v>
      </c>
      <c r="H828" s="2" t="str">
        <v>2.xlsx | 订单!Q681</v>
      </c>
    </row>
    <row r="829" ht="26" customHeight="1">
      <c r="A829" s="2" t="str">
        <v>S2-00679-BH</v>
      </c>
      <c r="B829" s="2" t="str">
        <v>INP6007</v>
      </c>
      <c r="C829" s="20" t="str">
        <v>Nồi cơm điện INP6007 (1,8L)</v>
      </c>
      <c r="D829" s="2" t="str"/>
      <c r="E829" s="2" t="str">
        <v>45</v>
      </c>
      <c r="F829" s="2" t="str">
        <v>629629.63</v>
      </c>
      <c r="G829" s="19" t="n">
        <v>30600000</v>
      </c>
      <c r="H829" s="2" t="str">
        <v>2.xlsx | 订单!Q682</v>
      </c>
    </row>
    <row r="830" ht="26" customHeight="1">
      <c r="A830" s="2" t="str">
        <v>S2-00679-BH</v>
      </c>
      <c r="B830" s="2" t="str">
        <v>INP6008</v>
      </c>
      <c r="C830" s="20" t="str">
        <v>Nồi cơm điện INP6008 (1,2L)</v>
      </c>
      <c r="D830" s="2" t="str"/>
      <c r="E830" s="2" t="str">
        <v>15</v>
      </c>
      <c r="F830" s="2" t="str">
        <v>574074.07</v>
      </c>
      <c r="G830" s="19" t="n">
        <v>9300000</v>
      </c>
      <c r="H830" s="2" t="str">
        <v>2.xlsx | 订单!Q683</v>
      </c>
    </row>
    <row r="831" ht="26" customHeight="1">
      <c r="A831" s="2" t="str">
        <v>S2-00679-BH</v>
      </c>
      <c r="B831" s="2" t="str">
        <v>INP6009</v>
      </c>
      <c r="C831" s="20" t="str">
        <v>Nồi cơm điện INP6009 (1,8L)</v>
      </c>
      <c r="D831" s="2" t="str"/>
      <c r="E831" s="2" t="str">
        <v>15</v>
      </c>
      <c r="F831" s="2" t="str">
        <v>694444.44</v>
      </c>
      <c r="G831" s="19" t="n">
        <v>11250000</v>
      </c>
      <c r="H831" s="2" t="str">
        <v>2.xlsx | 订单!Q684</v>
      </c>
    </row>
    <row r="832" ht="26" customHeight="1">
      <c r="A832" s="2" t="str">
        <v>S2-00679-BH</v>
      </c>
      <c r="B832" s="2" t="str">
        <v>INP6010</v>
      </c>
      <c r="C832" s="20" t="str">
        <v>Nồi cơm điện INP6010 (1,2L)</v>
      </c>
      <c r="D832" s="2" t="str"/>
      <c r="E832" s="2" t="str">
        <v>15</v>
      </c>
      <c r="F832" s="2" t="str">
        <v>481481.48</v>
      </c>
      <c r="G832" s="19" t="n">
        <v>7800000</v>
      </c>
      <c r="H832" s="2" t="str">
        <v>2.xlsx | 订单!Q685</v>
      </c>
    </row>
    <row r="833" ht="26" customHeight="1">
      <c r="A833" s="2" t="str">
        <v>S2-00679-BH</v>
      </c>
      <c r="B833" s="2" t="str">
        <v>INP6011</v>
      </c>
      <c r="C833" s="20" t="str">
        <v>Nồi cơm điện INP6011 (1,8L)</v>
      </c>
      <c r="D833" s="2" t="str">
        <v>Cái</v>
      </c>
      <c r="E833" s="2" t="str">
        <v>15</v>
      </c>
      <c r="F833" s="2" t="str">
        <v>574074.07</v>
      </c>
      <c r="G833" s="19" t="n">
        <v>9300000</v>
      </c>
      <c r="H833" s="2" t="str">
        <v>2.xlsx | 订单!Q686</v>
      </c>
    </row>
    <row r="834" ht="26" customHeight="1">
      <c r="A834" s="2" t="str">
        <v>S2-00679-BH</v>
      </c>
      <c r="B834" s="2" t="str">
        <v>INP6012</v>
      </c>
      <c r="C834" s="20" t="str">
        <v>Nồi cơm điện INP6012 (1,8L)</v>
      </c>
      <c r="D834" s="2" t="str"/>
      <c r="E834" s="2" t="str">
        <v>4</v>
      </c>
      <c r="F834" s="2" t="str">
        <v>601851.85</v>
      </c>
      <c r="G834" s="19" t="n">
        <v>2600000</v>
      </c>
      <c r="H834" s="2" t="str">
        <v>2.xlsx | 订单!Q687</v>
      </c>
    </row>
    <row r="835" ht="26" customHeight="1">
      <c r="A835" s="2" t="str">
        <v>S2-00696-TH</v>
      </c>
      <c r="B835" s="2" t="str">
        <v>INP6407</v>
      </c>
      <c r="C835" s="20" t="str">
        <v>	Quạt để bàn mini INP6407</v>
      </c>
      <c r="D835" s="2" t="str"/>
      <c r="E835" s="2" t="str">
        <v>-14</v>
      </c>
      <c r="F835" s="2" t="str">
        <v>231481.48</v>
      </c>
      <c r="G835" s="19" t="n">
        <v>3500000</v>
      </c>
      <c r="H835" s="2" t="str">
        <v>2.xlsx | 订单!Q696</v>
      </c>
    </row>
    <row r="836" ht="26" customHeight="1">
      <c r="A836" s="2" t="str">
        <v>S2-00696-TH</v>
      </c>
      <c r="B836" s="2" t="str">
        <v>INP6409</v>
      </c>
      <c r="C836" s="20" t="str">
        <v>	
Quạt để bàn mini INP6409</v>
      </c>
      <c r="D836" s="2" t="str"/>
      <c r="E836" s="2" t="str">
        <v>-57</v>
      </c>
      <c r="F836" s="2" t="str">
        <v>203703.7</v>
      </c>
      <c r="G836" s="19" t="n">
        <v>12540000</v>
      </c>
      <c r="H836" s="2" t="str">
        <v>2.xlsx | 订单!Q697</v>
      </c>
    </row>
    <row r="837" ht="26" customHeight="1">
      <c r="A837" s="2" t="str">
        <v>S2-00696-TH</v>
      </c>
      <c r="B837" s="2" t="str">
        <v>INP6410</v>
      </c>
      <c r="C837" s="20" t="str">
        <v>	
Quạt để bàn mini INP6410</v>
      </c>
      <c r="D837" s="2" t="str"/>
      <c r="E837" s="2" t="str">
        <v>-25</v>
      </c>
      <c r="F837" s="2" t="str">
        <v>231481.48</v>
      </c>
      <c r="G837" s="19" t="n">
        <v>6250000</v>
      </c>
      <c r="H837" s="2" t="str">
        <v>2.xlsx | 订单!Q698</v>
      </c>
    </row>
    <row r="838" ht="26" customHeight="1">
      <c r="A838" s="2" t="str">
        <v>S2-00699-TH</v>
      </c>
      <c r="B838" s="2" t="str">
        <v>INP6408</v>
      </c>
      <c r="C838" s="20" t="str">
        <v>Quạt hai đầu đa năng để bàn INP6408</v>
      </c>
      <c r="D838" s="2" t="str"/>
      <c r="E838" s="2" t="str">
        <v>-19</v>
      </c>
      <c r="F838" s="2" t="str">
        <v>231481.48</v>
      </c>
      <c r="G838" s="19" t="n">
        <v>4750000</v>
      </c>
      <c r="H838" s="2" t="str">
        <v>2.xlsx | 订单!Q699</v>
      </c>
    </row>
    <row r="839" ht="26" customHeight="1">
      <c r="A839" s="2" t="str">
        <v>S2-00699-TH</v>
      </c>
      <c r="B839" s="2" t="str">
        <v>INP6411</v>
      </c>
      <c r="C839" s="20" t="str">
        <v>Quạt tích điện INP6411</v>
      </c>
      <c r="D839" s="2" t="str"/>
      <c r="E839" s="2" t="str">
        <v>-20</v>
      </c>
      <c r="F839" s="2" t="str">
        <v>425925.93</v>
      </c>
      <c r="G839" s="19" t="n">
        <v>9200000</v>
      </c>
      <c r="H839" s="2" t="str">
        <v>2.xlsx | 订单!Q700</v>
      </c>
    </row>
    <row r="840" ht="26" customHeight="1">
      <c r="A840" s="2" t="str">
        <v>S2-01012-TH</v>
      </c>
      <c r="B840" s="2" t="str">
        <v>INP6401</v>
      </c>
      <c r="C840" s="20" t="str">
        <v>Quạt đứng INP6401</v>
      </c>
      <c r="D840" s="2" t="str">
        <v>cái</v>
      </c>
      <c r="E840" s="2" t="str">
        <v>-100</v>
      </c>
      <c r="F840" s="2" t="str">
        <v>509259.26</v>
      </c>
      <c r="G840" s="19" t="n">
        <v>55000000</v>
      </c>
      <c r="H840" s="2" t="str">
        <v>2.xlsx | 订单!Q1012</v>
      </c>
    </row>
    <row r="841" ht="26" customHeight="1">
      <c r="A841" s="2" t="str">
        <v>S2-01791-TH</v>
      </c>
      <c r="B841" s="2" t="str">
        <v>INP6402</v>
      </c>
      <c r="C841" s="20" t="str">
        <v>	
Quạt điện đứng INP6402</v>
      </c>
      <c r="D841" s="2" t="str">
        <v>Cái</v>
      </c>
      <c r="E841" s="2" t="str">
        <v>-7</v>
      </c>
      <c r="F841" s="2" t="str">
        <v>574074.07</v>
      </c>
      <c r="G841" s="19" t="n">
        <v>4340000</v>
      </c>
      <c r="H841" s="2" t="str">
        <v>2.xlsx | 订单!Q1791</v>
      </c>
    </row>
    <row r="842" ht="26" customHeight="1">
      <c r="A842" s="2" t="str">
        <v>S2-01856-BH</v>
      </c>
      <c r="B842" s="2" t="str">
        <v>INP6006</v>
      </c>
      <c r="C842" s="20" t="str">
        <v>Nồi cơm điện INP6006 (1,2L)</v>
      </c>
      <c r="D842" s="2" t="str">
        <v>Cái</v>
      </c>
      <c r="E842" s="2" t="str">
        <v>30</v>
      </c>
      <c r="F842" s="2" t="str">
        <v>527777.78</v>
      </c>
      <c r="G842" s="19" t="n">
        <v>17100000</v>
      </c>
      <c r="H842" s="2" t="str">
        <v>2.xlsx | 订单!Q1856</v>
      </c>
    </row>
    <row r="843" ht="26" customHeight="1">
      <c r="A843" s="2" t="str">
        <v>S2-01856-BH</v>
      </c>
      <c r="B843" s="2" t="str">
        <v>INP6010</v>
      </c>
      <c r="C843" s="20" t="str">
        <v>Nồi cơm điện INP6010 (1,2L)</v>
      </c>
      <c r="D843" s="2" t="str">
        <v>Cái</v>
      </c>
      <c r="E843" s="2" t="str">
        <v>30</v>
      </c>
      <c r="F843" s="2" t="str">
        <v>481481.48</v>
      </c>
      <c r="G843" s="19" t="n">
        <v>15600000</v>
      </c>
      <c r="H843" s="2" t="str">
        <v>2.xlsx | 订单!Q1857</v>
      </c>
    </row>
    <row r="844" ht="26" customHeight="1">
      <c r="A844" s="2" t="str">
        <v>S2-01856-BH</v>
      </c>
      <c r="B844" s="2" t="str">
        <v>INP6011</v>
      </c>
      <c r="C844" s="20" t="str">
        <v>Nồi cơm điện INP6011 (1,8L)</v>
      </c>
      <c r="D844" s="2" t="str">
        <v>Cái</v>
      </c>
      <c r="E844" s="2" t="str">
        <v>30</v>
      </c>
      <c r="F844" s="2" t="str">
        <v>574074.07</v>
      </c>
      <c r="G844" s="19" t="n">
        <v>18600000</v>
      </c>
      <c r="H844" s="2" t="str">
        <v>2.xlsx | 订单!Q1858</v>
      </c>
    </row>
    <row r="845" ht="26" customHeight="1">
      <c r="A845" s="2" t="str">
        <v>S2-01856-BH</v>
      </c>
      <c r="B845" s="2" t="str">
        <v>INP7952</v>
      </c>
      <c r="C845" s="20" t="str">
        <v>Máy sấy tóc INP7952</v>
      </c>
      <c r="D845" s="2" t="str">
        <v>Cái</v>
      </c>
      <c r="E845" s="2" t="str">
        <v>50</v>
      </c>
      <c r="F845" s="2" t="str">
        <v>292592.59</v>
      </c>
      <c r="G845" s="19" t="n">
        <v>15800000</v>
      </c>
      <c r="H845" s="2" t="str">
        <v>2.xlsx | 订单!Q1863</v>
      </c>
    </row>
    <row r="846" ht="26" customHeight="1">
      <c r="A846" s="2" t="str">
        <v>S2-01856-BH</v>
      </c>
      <c r="B846" s="2" t="str">
        <v>INP7953</v>
      </c>
      <c r="C846" s="20" t="str">
        <v>Máy sấy tóc INP7953</v>
      </c>
      <c r="D846" s="2" t="str">
        <v>Cái</v>
      </c>
      <c r="E846" s="2" t="str">
        <v>50</v>
      </c>
      <c r="F846" s="2" t="str">
        <v>231481.48</v>
      </c>
      <c r="G846" s="19" t="n">
        <v>12500000</v>
      </c>
      <c r="H846" s="2" t="str">
        <v>2.xlsx | 订单!Q1864</v>
      </c>
    </row>
    <row r="847" ht="26" customHeight="1">
      <c r="A847" s="2" t="str">
        <v>S2-01856-BH</v>
      </c>
      <c r="B847" s="2" t="str">
        <v>INP6202</v>
      </c>
      <c r="C847" s="20" t="str">
        <v>Ấm điện siêu tốc INP6202 1,7 lít màu đen</v>
      </c>
      <c r="D847" s="2" t="str">
        <v>Cái</v>
      </c>
      <c r="E847" s="2" t="str">
        <v>40</v>
      </c>
      <c r="F847" s="2" t="str">
        <v>325925.93</v>
      </c>
      <c r="G847" s="19" t="n">
        <v>14080000</v>
      </c>
      <c r="H847" s="2" t="str">
        <v>2.xlsx | 订单!Q1866</v>
      </c>
    </row>
    <row r="848" ht="26" customHeight="1">
      <c r="A848" s="2" t="str">
        <v>S2-01856-BH</v>
      </c>
      <c r="B848" s="2" t="str">
        <v>INP6105</v>
      </c>
      <c r="C848" s="20" t="str">
        <v>Bếp từ đơn INP6105</v>
      </c>
      <c r="D848" s="2" t="str">
        <v>Cái</v>
      </c>
      <c r="E848" s="2" t="str">
        <v>12</v>
      </c>
      <c r="F848" s="2" t="str">
        <v>675925.93</v>
      </c>
      <c r="G848" s="19" t="n">
        <v>8760000</v>
      </c>
      <c r="H848" s="2" t="str">
        <v>2.xlsx | 订单!Q1867</v>
      </c>
    </row>
    <row r="849" ht="26" customHeight="1">
      <c r="A849" s="2" t="str">
        <v>S2-01856-BH</v>
      </c>
      <c r="B849" s="2" t="str">
        <v>INP1401</v>
      </c>
      <c r="C849" s="20" t="str">
        <v>Nồi áp suất 4.5L INP1401</v>
      </c>
      <c r="D849" s="2" t="str">
        <v>Cái</v>
      </c>
      <c r="E849" s="2" t="str">
        <v>10</v>
      </c>
      <c r="F849" s="2" t="str">
        <v>824074.07</v>
      </c>
      <c r="G849" s="19" t="n">
        <v>8900000</v>
      </c>
      <c r="H849" s="2" t="str">
        <v>2.xlsx | 订单!Q1859</v>
      </c>
    </row>
    <row r="850" ht="26" customHeight="1">
      <c r="A850" s="2" t="str">
        <v>S2-01856-BH</v>
      </c>
      <c r="B850" s="2" t="str">
        <v>INP1402</v>
      </c>
      <c r="C850" s="20" t="str">
        <v>Nồi áp suất 6L INP1402</v>
      </c>
      <c r="D850" s="2" t="str">
        <v>Cái</v>
      </c>
      <c r="E850" s="2" t="str">
        <v>16</v>
      </c>
      <c r="F850" s="2" t="str">
        <v>937962.96</v>
      </c>
      <c r="G850" s="19" t="n">
        <v>16208000</v>
      </c>
      <c r="H850" s="2" t="str">
        <v>2.xlsx | 订单!Q1860</v>
      </c>
    </row>
    <row r="851" ht="26" customHeight="1">
      <c r="A851" s="2" t="str">
        <v>S2-01856-BH</v>
      </c>
      <c r="B851" s="2" t="str">
        <v>INP2002</v>
      </c>
      <c r="C851" s="20" t="str">
        <v>Bộ nồi inox  INP2002</v>
      </c>
      <c r="D851" s="2" t="str">
        <v>Cái</v>
      </c>
      <c r="E851" s="2" t="str">
        <v>10</v>
      </c>
      <c r="F851" s="2" t="str">
        <v>851851.85</v>
      </c>
      <c r="G851" s="19" t="n">
        <v>9200000</v>
      </c>
      <c r="H851" s="2" t="str">
        <v>2.xlsx | 订单!Q1861</v>
      </c>
    </row>
    <row r="852" ht="26" customHeight="1">
      <c r="A852" s="2" t="str">
        <v>S2-01856-BH</v>
      </c>
      <c r="B852" s="2" t="str">
        <v>INP2003</v>
      </c>
      <c r="C852" s="20" t="str">
        <v>Bộ nồi inox INP2003</v>
      </c>
      <c r="D852" s="2" t="str">
        <v>Cái</v>
      </c>
      <c r="E852" s="2" t="str">
        <v>4</v>
      </c>
      <c r="F852" s="2" t="str">
        <v>1185185.19</v>
      </c>
      <c r="G852" s="19" t="n">
        <v>5120000</v>
      </c>
      <c r="H852" s="2" t="str">
        <v>2.xlsx | 订单!Q1862</v>
      </c>
    </row>
    <row r="853" ht="26" customHeight="1">
      <c r="A853" s="2" t="str">
        <v>S2-01856-BH</v>
      </c>
      <c r="B853" s="2" t="str">
        <v>INP6701</v>
      </c>
      <c r="C853" s="20" t="str">
        <v>Máy xay thực phẩm INP6701</v>
      </c>
      <c r="D853" s="2" t="str">
        <v>Cái</v>
      </c>
      <c r="E853" s="2" t="str">
        <v>8</v>
      </c>
      <c r="F853" s="2" t="str">
        <v>382407.41</v>
      </c>
      <c r="G853" s="19" t="n">
        <v>3304000</v>
      </c>
      <c r="H853" s="2" t="str">
        <v>2.xlsx | 订单!Q1865</v>
      </c>
    </row>
    <row r="854" ht="26" customHeight="1">
      <c r="A854" s="2" t="str">
        <v>S2-02062-TH</v>
      </c>
      <c r="B854" s="2" t="str">
        <v>INP6601</v>
      </c>
      <c r="C854" s="20" t="str">
        <v>Máy sấy bát INP6601</v>
      </c>
      <c r="D854" s="2" t="str">
        <v>Cái</v>
      </c>
      <c r="E854" s="2" t="str">
        <v>-4</v>
      </c>
      <c r="F854" s="2" t="str">
        <v>1203703.75</v>
      </c>
      <c r="G854" s="19" t="n">
        <v>5200000</v>
      </c>
      <c r="H854" s="2" t="str">
        <v>2.xlsx | 订单!Q2062</v>
      </c>
    </row>
    <row r="855" ht="26" customHeight="1">
      <c r="A855" s="2" t="str">
        <v>S2-01440-BH</v>
      </c>
      <c r="B855" s="2" t="str">
        <v>INP6105</v>
      </c>
      <c r="C855" s="20" t="str">
        <v>Bếp từ đơn INP6105</v>
      </c>
      <c r="D855" s="2" t="str">
        <v>Cái</v>
      </c>
      <c r="E855" s="2" t="str">
        <v>1</v>
      </c>
      <c r="F855" s="2" t="str">
        <v>722222.22</v>
      </c>
      <c r="G855" s="19" t="n">
        <v>780000</v>
      </c>
      <c r="H855" s="2" t="str">
        <v>2.xlsx | 订单!Q1440</v>
      </c>
    </row>
    <row r="856" ht="26" customHeight="1">
      <c r="A856" s="2" t="str">
        <v>S2-00926-BH</v>
      </c>
      <c r="B856" s="2" t="str">
        <v>INP3201</v>
      </c>
      <c r="C856" s="20" t="str">
        <v>Chảo gang </v>
      </c>
      <c r="D856" s="2" t="str">
        <v>cái</v>
      </c>
      <c r="E856" s="2" t="str">
        <v>25</v>
      </c>
      <c r="F856" s="2" t="str">
        <v>230000</v>
      </c>
      <c r="G856" s="19" t="n">
        <v>6210000</v>
      </c>
      <c r="H856" s="2" t="str">
        <v>2.xlsx | 订单!Q926</v>
      </c>
    </row>
    <row r="857" ht="26" customHeight="1">
      <c r="A857" s="2" t="str">
        <v>S2-00927-BH</v>
      </c>
      <c r="B857" s="2" t="str">
        <v>INP1401</v>
      </c>
      <c r="C857" s="20" t="str">
        <v>Nồi áp suất 4.5L INP1401</v>
      </c>
      <c r="D857" s="2" t="str">
        <v>Cái</v>
      </c>
      <c r="E857" s="2" t="str">
        <v>1</v>
      </c>
      <c r="F857" s="2" t="str">
        <v>1040000</v>
      </c>
      <c r="G857" s="19" t="n">
        <v>1123200</v>
      </c>
      <c r="H857" s="2" t="str">
        <v>2.xlsx | 订单!Q927</v>
      </c>
    </row>
    <row r="858" ht="26" customHeight="1">
      <c r="A858" s="2" t="str">
        <v>S2-00927-BH</v>
      </c>
      <c r="B858" s="2" t="str">
        <v>INP3003</v>
      </c>
      <c r="C858" s="20" t="str">
        <v>Nồi gang </v>
      </c>
      <c r="D858" s="2" t="str">
        <v>cái</v>
      </c>
      <c r="E858" s="2" t="str">
        <v>1</v>
      </c>
      <c r="F858" s="2" t="str">
        <v>610000</v>
      </c>
      <c r="G858" s="19" t="n">
        <v>658800</v>
      </c>
      <c r="H858" s="2" t="str">
        <v>2.xlsx | 订单!Q928</v>
      </c>
    </row>
    <row r="859" ht="26" customHeight="1">
      <c r="A859" s="2" t="str">
        <v>S2-00929-BH</v>
      </c>
      <c r="B859" s="2" t="str">
        <v>INP3001</v>
      </c>
      <c r="C859" s="20" t="str">
        <v>Nồi gang </v>
      </c>
      <c r="D859" s="2" t="str">
        <v>cái</v>
      </c>
      <c r="E859" s="2" t="str">
        <v>1</v>
      </c>
      <c r="F859" s="2" t="str">
        <v>673148</v>
      </c>
      <c r="G859" s="19" t="n">
        <v>727000</v>
      </c>
      <c r="H859" s="2" t="str">
        <v>2.xlsx | 订单!Q929</v>
      </c>
    </row>
    <row r="860" ht="26" customHeight="1">
      <c r="A860" s="2" t="str">
        <v>S2-00929-BH</v>
      </c>
      <c r="B860" s="2" t="str">
        <v>INP3201</v>
      </c>
      <c r="C860" s="20" t="str">
        <v>Chảo gang </v>
      </c>
      <c r="D860" s="2" t="str">
        <v>cái</v>
      </c>
      <c r="E860" s="2" t="str">
        <v>24</v>
      </c>
      <c r="F860" s="2" t="str">
        <v>230000</v>
      </c>
      <c r="G860" s="19" t="n">
        <v>5961600</v>
      </c>
      <c r="H860" s="2" t="str">
        <v>2.xlsx | 订单!Q930</v>
      </c>
    </row>
    <row r="861" ht="26" customHeight="1">
      <c r="A861" s="2" t="str">
        <v>S2-00932-BH</v>
      </c>
      <c r="B861" s="2" t="str">
        <v>INP2202</v>
      </c>
      <c r="C861" s="20" t="str">
        <v>Nồi luộc gà inox đúc nguyên khốiINP2202</v>
      </c>
      <c r="D861" s="2" t="str">
        <v>cái</v>
      </c>
      <c r="E861" s="2" t="str">
        <v>11</v>
      </c>
      <c r="F861" s="2" t="str">
        <v>907407.4</v>
      </c>
      <c r="G861" s="19" t="n">
        <v>10780000</v>
      </c>
      <c r="H861" s="2" t="str">
        <v>2.xlsx | 订单!Q932</v>
      </c>
    </row>
    <row r="862" ht="26" customHeight="1">
      <c r="A862" s="2" t="str">
        <v>S2-00933-BH</v>
      </c>
      <c r="B862" s="2" t="str">
        <v>INP6204</v>
      </c>
      <c r="C862" s="20" t="str">
        <v>Ấm đun nước INP6204, 1.0L</v>
      </c>
      <c r="D862" s="2" t="str">
        <v>cái</v>
      </c>
      <c r="E862" s="2" t="str">
        <v>1</v>
      </c>
      <c r="F862" s="2" t="str">
        <v>284259.26</v>
      </c>
      <c r="G862" s="19" t="n">
        <v>307000</v>
      </c>
      <c r="H862" s="2" t="str">
        <v>2.xlsx | 订单!Q933</v>
      </c>
    </row>
    <row r="863" ht="26" customHeight="1">
      <c r="A863" s="2" t="str">
        <v>S2-00933-BH</v>
      </c>
      <c r="B863" s="2" t="str">
        <v>INP6205</v>
      </c>
      <c r="C863" s="20" t="str">
        <v>Ấm đun nước INP6205, 1.0L</v>
      </c>
      <c r="D863" s="2" t="str">
        <v>cái</v>
      </c>
      <c r="E863" s="2" t="str">
        <v>1</v>
      </c>
      <c r="F863" s="2" t="str">
        <v>280555.56</v>
      </c>
      <c r="G863" s="19" t="n">
        <v>303000</v>
      </c>
      <c r="H863" s="2" t="str">
        <v>2.xlsx | 订单!Q934</v>
      </c>
    </row>
    <row r="864" ht="26" customHeight="1">
      <c r="A864" s="2" t="str">
        <v>S2-00935-BH</v>
      </c>
      <c r="B864" s="2" t="str">
        <v>INP2202</v>
      </c>
      <c r="C864" s="20" t="str">
        <v>Nồi luộc gà inox đúc nguyên khốiINP2202</v>
      </c>
      <c r="D864" s="2" t="str">
        <v>cái</v>
      </c>
      <c r="E864" s="2" t="str">
        <v>12</v>
      </c>
      <c r="F864" s="2" t="str">
        <v>907407.41</v>
      </c>
      <c r="G864" s="19" t="n">
        <v>11760000</v>
      </c>
      <c r="H864" s="2" t="str">
        <v>2.xlsx | 订单!Q935</v>
      </c>
    </row>
    <row r="865" ht="26" customHeight="1">
      <c r="A865" s="2" t="str">
        <v>S2-00937-BH</v>
      </c>
      <c r="B865" s="2" t="str">
        <v>INP3201</v>
      </c>
      <c r="C865" s="20" t="str">
        <v>Chảo gang tráng menINP3201</v>
      </c>
      <c r="D865" s="2" t="str">
        <v>cái</v>
      </c>
      <c r="E865" s="2" t="str">
        <v>24</v>
      </c>
      <c r="F865" s="2" t="str">
        <v>212962.96</v>
      </c>
      <c r="G865" s="19" t="n">
        <v>5520000</v>
      </c>
      <c r="H865" s="2" t="str">
        <v>2.xlsx | 订单!Q937</v>
      </c>
    </row>
    <row r="866" ht="26" customHeight="1">
      <c r="A866" s="2" t="str">
        <v>S2-00938-BH</v>
      </c>
      <c r="B866" s="2" t="str">
        <v>INP6701</v>
      </c>
      <c r="C866" s="20" t="str">
        <v>Máy xay thực phẩm INP6701</v>
      </c>
      <c r="D866" s="2" t="str">
        <v>cái</v>
      </c>
      <c r="E866" s="2" t="str">
        <v>1</v>
      </c>
      <c r="F866" s="2" t="str">
        <v>379629.63</v>
      </c>
      <c r="G866" s="19" t="n">
        <v>410000</v>
      </c>
      <c r="H866" s="2" t="str">
        <v>2.xlsx | 订单!Q938</v>
      </c>
    </row>
    <row r="867" ht="26" customHeight="1">
      <c r="A867" s="2" t="str">
        <v>S2-00939-BH</v>
      </c>
      <c r="B867" s="2" t="str">
        <v>INP2202</v>
      </c>
      <c r="C867" s="20" t="str">
        <v>Nồi luộc gà inox đúc nguyên khốiINP2202</v>
      </c>
      <c r="D867" s="2" t="str">
        <v>cái</v>
      </c>
      <c r="E867" s="2" t="str">
        <v>10</v>
      </c>
      <c r="F867" s="2" t="str">
        <v>907407.41</v>
      </c>
      <c r="G867" s="19" t="n">
        <v>9800000</v>
      </c>
      <c r="H867" s="2" t="str">
        <v>2.xlsx | 订单!Q939</v>
      </c>
    </row>
    <row r="868" ht="26" customHeight="1">
      <c r="A868" s="2" t="str">
        <v>S2-00940-BH</v>
      </c>
      <c r="B868" s="2" t="str">
        <v>INP3201</v>
      </c>
      <c r="C868" s="20" t="str">
        <v>Chảo gang tráng menINP3201</v>
      </c>
      <c r="D868" s="2" t="str">
        <v>cái</v>
      </c>
      <c r="E868" s="2" t="str">
        <v>142</v>
      </c>
      <c r="F868" s="2" t="str">
        <v>212962.96</v>
      </c>
      <c r="G868" s="19" t="n">
        <v>32659999</v>
      </c>
      <c r="H868" s="2" t="str">
        <v>2.xlsx | 订单!Q940</v>
      </c>
    </row>
    <row r="869" ht="26" customHeight="1">
      <c r="A869" s="2" t="str">
        <v>S2-00945-BH</v>
      </c>
      <c r="B869" s="2" t="str">
        <v>INP2202</v>
      </c>
      <c r="C869" s="20" t="str">
        <v>Nồi luộc gà inox đúc nguyên khốiINP2202</v>
      </c>
      <c r="D869" s="2" t="str">
        <v>cái</v>
      </c>
      <c r="E869" s="2" t="str">
        <v>12</v>
      </c>
      <c r="F869" s="2" t="str">
        <v>907407.41</v>
      </c>
      <c r="G869" s="19" t="n">
        <v>11760000</v>
      </c>
      <c r="H869" s="2" t="str">
        <v>2.xlsx | 订单!Q945</v>
      </c>
    </row>
    <row r="870" ht="26" customHeight="1">
      <c r="A870" s="2" t="str">
        <v>S2-00950-BH</v>
      </c>
      <c r="B870" s="2" t="str">
        <v>INP3202</v>
      </c>
      <c r="C870" s="20" t="str">
        <v>Chảo gang tráng menINP3202</v>
      </c>
      <c r="D870" s="2" t="str">
        <v>cái</v>
      </c>
      <c r="E870" s="2" t="str">
        <v>6</v>
      </c>
      <c r="F870" s="2" t="str">
        <v>333333.33</v>
      </c>
      <c r="G870" s="19" t="n">
        <v>2160000</v>
      </c>
      <c r="H870" s="2" t="str">
        <v>2.xlsx | 订单!Q950</v>
      </c>
    </row>
    <row r="871" ht="26" customHeight="1">
      <c r="A871" s="2" t="str">
        <v>S2-00942-BH</v>
      </c>
      <c r="B871" s="2" t="str">
        <v>INP2202</v>
      </c>
      <c r="C871" s="20" t="str">
        <v>Nồi luộc gà inox đúc nguyên khốiINP2202</v>
      </c>
      <c r="D871" s="2" t="str">
        <v>cái </v>
      </c>
      <c r="E871" s="2" t="str">
        <v>10</v>
      </c>
      <c r="F871" s="2" t="str">
        <v>907407.41</v>
      </c>
      <c r="G871" s="19" t="n">
        <v>9800000</v>
      </c>
      <c r="H871" s="2" t="str">
        <v>2.xlsx | 订单!Q942</v>
      </c>
    </row>
    <row r="872" ht="26" customHeight="1">
      <c r="A872" s="2" t="str">
        <v>S2-00942-BH</v>
      </c>
      <c r="B872" s="2" t="str">
        <v>INP3004</v>
      </c>
      <c r="C872" s="20" t="str">
        <v>Nồi gang tráng menINP3004</v>
      </c>
      <c r="D872" s="2" t="str">
        <v>cái</v>
      </c>
      <c r="E872" s="2" t="str">
        <v>4</v>
      </c>
      <c r="F872" s="2" t="str">
        <v>430000</v>
      </c>
      <c r="G872" s="19" t="n">
        <v>1857600</v>
      </c>
      <c r="H872" s="2" t="str">
        <v>2.xlsx | 订单!Q943</v>
      </c>
    </row>
    <row r="873" ht="26" customHeight="1">
      <c r="A873" s="2" t="str">
        <v>S2-00944-BH</v>
      </c>
      <c r="B873" s="2" t="str">
        <v>INP3004</v>
      </c>
      <c r="C873" s="20" t="str">
        <v>Nồi gang tráng menINP3004</v>
      </c>
      <c r="D873" s="2" t="str">
        <v>cái</v>
      </c>
      <c r="E873" s="2" t="str">
        <v>20</v>
      </c>
      <c r="F873" s="2" t="str">
        <v>398148.14</v>
      </c>
      <c r="G873" s="19" t="n">
        <v>8600000</v>
      </c>
      <c r="H873" s="2" t="str">
        <v>2.xlsx | 订单!Q944</v>
      </c>
    </row>
    <row r="874" ht="26" customHeight="1">
      <c r="A874" s="2" t="str">
        <v>S2-00947-BH</v>
      </c>
      <c r="B874" s="2" t="str">
        <v>INP3004</v>
      </c>
      <c r="C874" s="20" t="str">
        <v>Nồi gang tráng menINP3004</v>
      </c>
      <c r="D874" s="2" t="str">
        <v>cái</v>
      </c>
      <c r="E874" s="2" t="str">
        <v>20</v>
      </c>
      <c r="F874" s="2" t="str">
        <v>398148.14</v>
      </c>
      <c r="G874" s="19" t="n">
        <v>8599999</v>
      </c>
      <c r="H874" s="2" t="str">
        <v>2.xlsx | 订单!Q947</v>
      </c>
    </row>
    <row r="875" ht="26" customHeight="1">
      <c r="A875" s="2" t="str">
        <v>S2-00948-BH</v>
      </c>
      <c r="B875" s="2" t="str">
        <v>INP3201</v>
      </c>
      <c r="C875" s="20" t="str">
        <v>Chảo gang tráng menINP3201</v>
      </c>
      <c r="D875" s="2" t="str">
        <v>cái</v>
      </c>
      <c r="E875" s="2" t="str">
        <v>16</v>
      </c>
      <c r="F875" s="2" t="str">
        <v>212962.96</v>
      </c>
      <c r="G875" s="19" t="n">
        <v>3680000</v>
      </c>
      <c r="H875" s="2" t="str">
        <v>2.xlsx | 订单!Q948</v>
      </c>
    </row>
    <row r="876" ht="26" customHeight="1">
      <c r="A876" s="2" t="str">
        <v>S2-00952-BH</v>
      </c>
      <c r="B876" s="2" t="str">
        <v>INP6407</v>
      </c>
      <c r="C876" s="20" t="str">
        <v>	Quạt để bàn mini INP6407</v>
      </c>
      <c r="D876" s="2" t="str">
        <v>cái</v>
      </c>
      <c r="E876" s="2" t="str">
        <v>1</v>
      </c>
      <c r="F876" s="2" t="str">
        <v>231481.48</v>
      </c>
      <c r="G876" s="19" t="n">
        <v>250000</v>
      </c>
      <c r="H876" s="2" t="str">
        <v>2.xlsx | 订单!Q952</v>
      </c>
    </row>
    <row r="877" ht="26" customHeight="1">
      <c r="A877" s="2" t="str">
        <v>S2-00952-BH</v>
      </c>
      <c r="B877" s="2" t="str">
        <v>INP6408</v>
      </c>
      <c r="C877" s="20" t="str">
        <v>Quạt hai đầu đa năng để bàn INP6408</v>
      </c>
      <c r="D877" s="2" t="str">
        <v>cái</v>
      </c>
      <c r="E877" s="2" t="str">
        <v>1</v>
      </c>
      <c r="F877" s="2" t="str">
        <v>231481.48</v>
      </c>
      <c r="G877" s="19" t="n">
        <v>250000</v>
      </c>
      <c r="H877" s="2" t="str">
        <v>2.xlsx | 订单!Q953</v>
      </c>
    </row>
    <row r="878" ht="26" customHeight="1">
      <c r="A878" s="2" t="str">
        <v>S2-00952-BH</v>
      </c>
      <c r="B878" s="2" t="str">
        <v>INP6409</v>
      </c>
      <c r="C878" s="20" t="str">
        <v>Quạt để bàn mini INP6409</v>
      </c>
      <c r="D878" s="2" t="str">
        <v>cái</v>
      </c>
      <c r="E878" s="2" t="str">
        <v>1</v>
      </c>
      <c r="F878" s="2" t="str">
        <v>203703.7</v>
      </c>
      <c r="G878" s="19" t="n">
        <v>220000</v>
      </c>
      <c r="H878" s="2" t="str">
        <v>2.xlsx | 订单!Q954</v>
      </c>
    </row>
    <row r="879" ht="26" customHeight="1">
      <c r="A879" s="2" t="str">
        <v>S2-00952-BH</v>
      </c>
      <c r="B879" s="2" t="str">
        <v>INP6410</v>
      </c>
      <c r="C879" s="20" t="str">
        <v>Quạt để bàn mini INP6410</v>
      </c>
      <c r="D879" s="2" t="str">
        <v>cái</v>
      </c>
      <c r="E879" s="2" t="str">
        <v>1</v>
      </c>
      <c r="F879" s="2" t="str">
        <v>231481.48</v>
      </c>
      <c r="G879" s="19" t="n">
        <v>250000</v>
      </c>
      <c r="H879" s="2" t="str">
        <v>2.xlsx | 订单!Q955</v>
      </c>
    </row>
    <row r="880" ht="26" customHeight="1">
      <c r="A880" s="2" t="str">
        <v>S2-00952-BH</v>
      </c>
      <c r="B880" s="2" t="str">
        <v>INP6411</v>
      </c>
      <c r="C880" s="20" t="str">
        <v>Quạt tích điện INP6411</v>
      </c>
      <c r="D880" s="2" t="str">
        <v>cái</v>
      </c>
      <c r="E880" s="2" t="str">
        <v>1</v>
      </c>
      <c r="F880" s="2" t="str">
        <v>425925.93</v>
      </c>
      <c r="G880" s="19" t="n">
        <v>460000</v>
      </c>
      <c r="H880" s="2" t="str">
        <v>2.xlsx | 订单!Q956</v>
      </c>
    </row>
    <row r="881" ht="26" customHeight="1">
      <c r="A881" s="2" t="str">
        <v>S2-00952-BH</v>
      </c>
      <c r="B881" s="2" t="str">
        <v>INP7901</v>
      </c>
      <c r="C881" s="20" t="str">
        <v>Vợt muỗi điện INP7901</v>
      </c>
      <c r="D881" s="2" t="str">
        <v>cái</v>
      </c>
      <c r="E881" s="2" t="str">
        <v>1</v>
      </c>
      <c r="F881" s="2" t="str">
        <v>69444.44</v>
      </c>
      <c r="G881" s="19" t="n">
        <v>75000</v>
      </c>
      <c r="H881" s="2" t="str">
        <v>2.xlsx | 订单!Q957</v>
      </c>
    </row>
    <row r="882" ht="26" customHeight="1">
      <c r="A882" s="2" t="str">
        <v>S2-00952-BH</v>
      </c>
      <c r="B882" s="2" t="str">
        <v>INP7902</v>
      </c>
      <c r="C882" s="20" t="str">
        <v>Vợt muỗi điện INP7902</v>
      </c>
      <c r="D882" s="2" t="str">
        <v>cái</v>
      </c>
      <c r="E882" s="2" t="str">
        <v>1</v>
      </c>
      <c r="F882" s="2" t="str">
        <v>97222.22</v>
      </c>
      <c r="G882" s="19" t="n">
        <v>105000</v>
      </c>
      <c r="H882" s="2" t="str">
        <v>2.xlsx | 订单!Q958</v>
      </c>
    </row>
    <row r="883" ht="26" customHeight="1">
      <c r="A883" s="2" t="str">
        <v>S2-00959-BH</v>
      </c>
      <c r="B883" s="2" t="str">
        <v>INP7902</v>
      </c>
      <c r="C883" s="20" t="str">
        <v>Vợt muỗi điện INP7902</v>
      </c>
      <c r="D883" s="2" t="str">
        <v>cái</v>
      </c>
      <c r="E883" s="2" t="str">
        <v>120</v>
      </c>
      <c r="F883" s="2" t="str">
        <v>83333.33</v>
      </c>
      <c r="G883" s="19" t="n">
        <v>10800000</v>
      </c>
      <c r="H883" s="2" t="str">
        <v>2.xlsx | 订单!Q959</v>
      </c>
    </row>
    <row r="884" ht="26" customHeight="1">
      <c r="A884" s="2" t="str">
        <v>S2-01826-BH</v>
      </c>
      <c r="B884" s="2" t="str">
        <v>INP3003</v>
      </c>
      <c r="C884" s="20" t="str">
        <v>Nồi gang tráng menINP3003</v>
      </c>
      <c r="D884" s="2" t="str">
        <v>Cái</v>
      </c>
      <c r="E884" s="2" t="str">
        <v>10</v>
      </c>
      <c r="F884" s="2" t="str">
        <v>601851.85</v>
      </c>
      <c r="G884" s="19" t="n">
        <v>6500000</v>
      </c>
      <c r="H884" s="2" t="str">
        <v>2.xlsx | 订单!Q1826</v>
      </c>
    </row>
    <row r="885" ht="26" customHeight="1">
      <c r="A885" s="2" t="str">
        <v>S2-01323-BH</v>
      </c>
      <c r="B885" s="2" t="str">
        <v>INP6403</v>
      </c>
      <c r="C885" s="20" t="str">
        <v>Quạt điện đứng INP6403</v>
      </c>
      <c r="D885" s="2" t="str">
        <v>Cái</v>
      </c>
      <c r="E885" s="2" t="str">
        <v>3</v>
      </c>
      <c r="F885" s="2" t="str">
        <v>740740.74</v>
      </c>
      <c r="G885" s="19" t="n">
        <v>2400000</v>
      </c>
      <c r="H885" s="2" t="str">
        <v>2.xlsx | 订单!Q1323</v>
      </c>
    </row>
    <row r="886" ht="26" customHeight="1">
      <c r="A886" s="2" t="str">
        <v>S2-01208-BH</v>
      </c>
      <c r="B886" s="2" t="str">
        <v>INP6902</v>
      </c>
      <c r="C886" s="20" t="str">
        <v>Nồi áp suất điện INP6902</v>
      </c>
      <c r="D886" s="2" t="str">
        <v>Cái </v>
      </c>
      <c r="E886" s="2" t="str">
        <v>8</v>
      </c>
      <c r="F886" s="2" t="str">
        <v>907407.4</v>
      </c>
      <c r="G886" s="19" t="n">
        <v>7840000</v>
      </c>
      <c r="H886" s="2" t="str">
        <v>2.xlsx | 订单!Q1208</v>
      </c>
    </row>
    <row r="887" ht="26" customHeight="1">
      <c r="A887" s="2" t="str">
        <v>S2-01393-BH</v>
      </c>
      <c r="B887" s="2" t="str">
        <v>INP6403</v>
      </c>
      <c r="C887" s="20" t="str">
        <v>Quạt điện đứng INP6403</v>
      </c>
      <c r="D887" s="2" t="str">
        <v>Cái</v>
      </c>
      <c r="E887" s="2" t="str">
        <v>6</v>
      </c>
      <c r="F887" s="2" t="str">
        <v>740740.74</v>
      </c>
      <c r="G887" s="19" t="n">
        <v>4800000</v>
      </c>
      <c r="H887" s="2" t="str">
        <v>2.xlsx | 订单!Q1393</v>
      </c>
    </row>
    <row r="888" ht="26" customHeight="1">
      <c r="A888" s="2" t="str">
        <v>S2-02009-BH</v>
      </c>
      <c r="B888" s="2" t="str">
        <v>INP6153</v>
      </c>
      <c r="C888" s="20" t="str">
        <v>Bếp hồng ngoại INP6153</v>
      </c>
      <c r="D888" s="2" t="str">
        <v>Cái</v>
      </c>
      <c r="E888" s="2" t="str">
        <v>12</v>
      </c>
      <c r="F888" s="2" t="str">
        <v>648148.15</v>
      </c>
      <c r="G888" s="19" t="n">
        <v>8400000.02</v>
      </c>
      <c r="H888" s="2" t="str">
        <v>2.xlsx | 订单!Q2009</v>
      </c>
    </row>
    <row r="889" ht="26" customHeight="1">
      <c r="A889" s="2" t="str">
        <v>S2-02058-BH</v>
      </c>
      <c r="B889" s="2" t="str">
        <v>INP6003</v>
      </c>
      <c r="C889" s="20" t="str">
        <v>Nồi cơm điện tử (Nồi cơm điện đa năng giảm đường) INP6003</v>
      </c>
      <c r="D889" s="2" t="str">
        <v>Cái</v>
      </c>
      <c r="E889" s="2" t="str">
        <v>6</v>
      </c>
      <c r="F889" s="2" t="str">
        <v>907407.41</v>
      </c>
      <c r="G889" s="19" t="n">
        <v>5880000.02</v>
      </c>
      <c r="H889" s="2" t="str">
        <v>2.xlsx | 订单!Q2058</v>
      </c>
    </row>
    <row r="890" ht="26" customHeight="1">
      <c r="A890" s="2" t="str">
        <v>S2-01220-BH</v>
      </c>
      <c r="B890" s="2" t="str">
        <v>INP6101</v>
      </c>
      <c r="C890" s="20" t="str">
        <v>Bếp từ đơn INP6101( 2200W, mặt kính màu sữa )</v>
      </c>
      <c r="D890" s="2" t="str">
        <v>Cái</v>
      </c>
      <c r="E890" s="2" t="str">
        <v>6</v>
      </c>
      <c r="F890" s="2" t="str">
        <v>601851.85</v>
      </c>
      <c r="G890" s="19" t="n">
        <v>3900000</v>
      </c>
      <c r="H890" s="2" t="str">
        <v>2.xlsx | 订单!Q1220</v>
      </c>
    </row>
    <row r="891" ht="26" customHeight="1">
      <c r="A891" s="2" t="str">
        <v>S2-01220-BH</v>
      </c>
      <c r="B891" s="2" t="str">
        <v>INP6902</v>
      </c>
      <c r="C891" s="20" t="str">
        <v>Nồi áp suất điện INP6902</v>
      </c>
      <c r="D891" s="2" t="str">
        <v>Cái</v>
      </c>
      <c r="E891" s="2" t="str">
        <v>2</v>
      </c>
      <c r="F891" s="2" t="str">
        <v>907407.41</v>
      </c>
      <c r="G891" s="19" t="n">
        <v>1960000</v>
      </c>
      <c r="H891" s="2" t="str">
        <v>2.xlsx | 订单!Q1221</v>
      </c>
    </row>
    <row r="892" ht="26" customHeight="1">
      <c r="A892" s="2" t="str">
        <v>S2-01287-BH</v>
      </c>
      <c r="B892" s="2" t="str">
        <v>INP6104</v>
      </c>
      <c r="C892" s="20" t="str">
        <v>Bếp từ đơn INP6104 ( 2500W ) </v>
      </c>
      <c r="D892" s="2" t="str">
        <v>Cái</v>
      </c>
      <c r="E892" s="2" t="str">
        <v>3</v>
      </c>
      <c r="F892" s="2" t="str">
        <v>1007407.41</v>
      </c>
      <c r="G892" s="19" t="n">
        <v>3264000</v>
      </c>
      <c r="H892" s="2" t="str">
        <v>2.xlsx | 订单!Q1287</v>
      </c>
    </row>
    <row r="893" ht="26" customHeight="1">
      <c r="A893" s="2" t="str">
        <v>S2-01454-BH</v>
      </c>
      <c r="B893" s="2" t="str">
        <v>INP6104</v>
      </c>
      <c r="C893" s="20" t="str">
        <v>Bếp từ đơn INP6104 ( 2500W ) </v>
      </c>
      <c r="D893" s="2" t="str">
        <v>Cái</v>
      </c>
      <c r="E893" s="2" t="str">
        <v>3</v>
      </c>
      <c r="F893" s="2" t="str">
        <v>1007407.41</v>
      </c>
      <c r="G893" s="19" t="n">
        <v>3264000</v>
      </c>
      <c r="H893" s="2" t="str">
        <v>2.xlsx | 订单!Q1454</v>
      </c>
    </row>
    <row r="894" ht="26" customHeight="1">
      <c r="A894" s="2" t="str">
        <v>S2-01454-BH</v>
      </c>
      <c r="B894" s="2" t="str">
        <v>INP6105</v>
      </c>
      <c r="C894" s="20" t="str">
        <v>Bếp từ đơn INP6105</v>
      </c>
      <c r="D894" s="2" t="str">
        <v>Cái</v>
      </c>
      <c r="E894" s="2" t="str">
        <v>2</v>
      </c>
      <c r="F894" s="2" t="str">
        <v>722222.22</v>
      </c>
      <c r="G894" s="19" t="n">
        <v>1560000</v>
      </c>
      <c r="H894" s="2" t="str">
        <v>2.xlsx | 订单!Q1456</v>
      </c>
    </row>
    <row r="895" ht="26" customHeight="1">
      <c r="A895" s="2" t="str">
        <v>S2-01454-BH</v>
      </c>
      <c r="B895" s="2" t="str">
        <v>INP7951</v>
      </c>
      <c r="C895" s="20" t="str">
        <v>Máy sấy tóc INP7951</v>
      </c>
      <c r="D895" s="2" t="str">
        <v>Cái</v>
      </c>
      <c r="E895" s="2" t="str">
        <v>2</v>
      </c>
      <c r="F895" s="2" t="str">
        <v>416666.66</v>
      </c>
      <c r="G895" s="19" t="n">
        <v>900000</v>
      </c>
      <c r="H895" s="2" t="str">
        <v>2.xlsx | 订单!Q1457</v>
      </c>
    </row>
    <row r="896" ht="26" customHeight="1">
      <c r="A896" s="2" t="str">
        <v>S2-01454-BH</v>
      </c>
      <c r="B896" s="2" t="str">
        <v>INP7952</v>
      </c>
      <c r="C896" s="20" t="str">
        <v>Máy sấy tóc INP7952</v>
      </c>
      <c r="D896" s="2" t="str">
        <v>Cái</v>
      </c>
      <c r="E896" s="2" t="str">
        <v>2</v>
      </c>
      <c r="F896" s="2" t="str">
        <v>320370.37</v>
      </c>
      <c r="G896" s="19" t="n">
        <v>692000</v>
      </c>
      <c r="H896" s="2" t="str">
        <v>2.xlsx | 订单!Q1458</v>
      </c>
    </row>
    <row r="897" ht="26" customHeight="1">
      <c r="A897" s="2" t="str">
        <v>S2-01454-BH</v>
      </c>
      <c r="B897" s="2" t="str">
        <v>INP7953</v>
      </c>
      <c r="C897" s="20" t="str">
        <v>Máy sấy tóc INP7953</v>
      </c>
      <c r="D897" s="2" t="str">
        <v>Cái</v>
      </c>
      <c r="E897" s="2" t="str">
        <v>2</v>
      </c>
      <c r="F897" s="2" t="str">
        <v>259259.26</v>
      </c>
      <c r="G897" s="19" t="n">
        <v>560000</v>
      </c>
      <c r="H897" s="2" t="str">
        <v>2.xlsx | 订单!Q1459</v>
      </c>
    </row>
    <row r="898" ht="26" customHeight="1">
      <c r="A898" s="2" t="str">
        <v>S2-01600-BH</v>
      </c>
      <c r="B898" s="2" t="str">
        <v>INP6104</v>
      </c>
      <c r="C898" s="20" t="str">
        <v>Bếp từ đơn INP6104 ( 2500W ) </v>
      </c>
      <c r="D898" s="2" t="str">
        <v>Cái</v>
      </c>
      <c r="E898" s="2" t="str">
        <v>3</v>
      </c>
      <c r="F898" s="2" t="str">
        <v>1007407.41</v>
      </c>
      <c r="G898" s="19" t="n">
        <v>3264000</v>
      </c>
      <c r="H898" s="2" t="str">
        <v>2.xlsx | 订单!Q1600</v>
      </c>
    </row>
    <row r="899" ht="26" customHeight="1">
      <c r="A899" s="2" t="str">
        <v>S2-01600-BH</v>
      </c>
      <c r="B899" s="2" t="str">
        <v>INP6902</v>
      </c>
      <c r="C899" s="20" t="str">
        <v>Nồi áp suất điện INP6902</v>
      </c>
      <c r="D899" s="2" t="str">
        <v>Cái</v>
      </c>
      <c r="E899" s="2" t="str">
        <v>2</v>
      </c>
      <c r="F899" s="2" t="str">
        <v>907407.4</v>
      </c>
      <c r="G899" s="19" t="n">
        <v>1960000</v>
      </c>
      <c r="H899" s="2" t="str">
        <v>2.xlsx | 订单!Q1601</v>
      </c>
    </row>
    <row r="900" ht="26" customHeight="1">
      <c r="A900" s="2" t="str">
        <v>S2-01658-BH</v>
      </c>
      <c r="B900" s="2" t="str">
        <v>INP6101</v>
      </c>
      <c r="C900" s="20" t="str">
        <v>Bếp từ đơn INP6101( 2200W, mặt kính màu sữa )</v>
      </c>
      <c r="D900" s="2" t="str">
        <v>Cái</v>
      </c>
      <c r="E900" s="2" t="str">
        <v>12</v>
      </c>
      <c r="F900" s="2" t="str">
        <v>601851.85</v>
      </c>
      <c r="G900" s="19" t="n">
        <v>7800000</v>
      </c>
      <c r="H900" s="2" t="str">
        <v>2.xlsx | 订单!Q1658</v>
      </c>
    </row>
    <row r="901" ht="26" customHeight="1">
      <c r="A901" s="2" t="str">
        <v>S2-02010-BH</v>
      </c>
      <c r="B901" s="2" t="str">
        <v>INP6152</v>
      </c>
      <c r="C901" s="20" t="str">
        <v>Bếp hồng ngoại INP6152</v>
      </c>
      <c r="D901" s="2" t="str">
        <v>Cái</v>
      </c>
      <c r="E901" s="2" t="str">
        <v>6</v>
      </c>
      <c r="F901" s="2" t="str">
        <v>592592.59</v>
      </c>
      <c r="G901" s="19" t="n">
        <v>3839999.99</v>
      </c>
      <c r="H901" s="2" t="str">
        <v>2.xlsx | 订单!Q2010</v>
      </c>
    </row>
    <row r="902" ht="26" customHeight="1">
      <c r="A902" s="2" t="str">
        <v>S2-02010-BH</v>
      </c>
      <c r="B902" s="2" t="str">
        <v>INP6153</v>
      </c>
      <c r="C902" s="20" t="str">
        <v>Bếp hồng ngoại INP6153</v>
      </c>
      <c r="D902" s="2" t="str">
        <v>Cái</v>
      </c>
      <c r="E902" s="2" t="str">
        <v>6</v>
      </c>
      <c r="F902" s="2" t="str">
        <v>648148.15</v>
      </c>
      <c r="G902" s="19" t="n">
        <v>4200000.01</v>
      </c>
      <c r="H902" s="2" t="str">
        <v>2.xlsx | 订单!Q2011</v>
      </c>
    </row>
    <row r="903" ht="26" customHeight="1">
      <c r="A903" s="2" t="str">
        <v>S2-02040-BH</v>
      </c>
      <c r="B903" s="2" t="str">
        <v>INP1002</v>
      </c>
      <c r="C903" s="20" t="str">
        <v>Bộ nồi inox  INP1002</v>
      </c>
      <c r="D903" s="2" t="str">
        <v>Cái</v>
      </c>
      <c r="E903" s="2" t="str">
        <v>2</v>
      </c>
      <c r="F903" s="2" t="str">
        <v>685185.19</v>
      </c>
      <c r="G903" s="19" t="n">
        <v>1480000.01</v>
      </c>
      <c r="H903" s="2" t="str">
        <v>2.xlsx | 订单!Q2040</v>
      </c>
    </row>
    <row r="904" ht="26" customHeight="1">
      <c r="A904" s="2" t="str">
        <v>S2-02040-BH</v>
      </c>
      <c r="B904" s="2" t="str">
        <v>INP6403</v>
      </c>
      <c r="C904" s="20" t="str">
        <v>Quạt điện đứng INP6403</v>
      </c>
      <c r="D904" s="2" t="str">
        <v>Cái</v>
      </c>
      <c r="E904" s="2" t="str">
        <v>1</v>
      </c>
      <c r="F904" s="2" t="str">
        <v>740740.74</v>
      </c>
      <c r="G904" s="19" t="n">
        <v>800000</v>
      </c>
      <c r="H904" s="2" t="str">
        <v>2.xlsx | 订单!Q2041</v>
      </c>
    </row>
    <row r="905" ht="26" customHeight="1">
      <c r="A905" s="2" t="str">
        <v>S2-02040-BH</v>
      </c>
      <c r="B905" s="2" t="str">
        <v>INP6902</v>
      </c>
      <c r="C905" s="20" t="str">
        <v>Nồi áp suất điện INP6902</v>
      </c>
      <c r="D905" s="2" t="str">
        <v>Cái</v>
      </c>
      <c r="E905" s="2" t="str">
        <v>2</v>
      </c>
      <c r="F905" s="2" t="str">
        <v>907407.41</v>
      </c>
      <c r="G905" s="19" t="n">
        <v>1960000.01</v>
      </c>
      <c r="H905" s="2" t="str">
        <v>2.xlsx | 订单!Q2042</v>
      </c>
    </row>
    <row r="906" ht="26" customHeight="1">
      <c r="A906" s="2" t="str">
        <v>S2-02051-BH</v>
      </c>
      <c r="B906" s="2" t="str">
        <v>INP6403</v>
      </c>
      <c r="C906" s="20" t="str">
        <v>Quạt điện đứng INP6403</v>
      </c>
      <c r="D906" s="2" t="str">
        <v>Cái</v>
      </c>
      <c r="E906" s="2" t="str">
        <v>3</v>
      </c>
      <c r="F906" s="2" t="str">
        <v>740740.74</v>
      </c>
      <c r="G906" s="19" t="n">
        <v>2400000</v>
      </c>
      <c r="H906" s="2" t="str">
        <v>2.xlsx | 订单!Q2051</v>
      </c>
    </row>
    <row r="907" ht="26" customHeight="1">
      <c r="A907" s="2" t="str">
        <v>S2-02012-BH</v>
      </c>
      <c r="B907" s="2" t="str">
        <v>INP1003</v>
      </c>
      <c r="C907" s="20" t="str">
        <v>Bộ nồi  Inox INP1003 </v>
      </c>
      <c r="D907" s="2" t="str">
        <v>Cái</v>
      </c>
      <c r="E907" s="2" t="str">
        <v>5</v>
      </c>
      <c r="F907" s="2" t="str">
        <v>333333.33</v>
      </c>
      <c r="G907" s="19" t="n">
        <v>1799999.98</v>
      </c>
      <c r="H907" s="2" t="str">
        <v>2.xlsx | 订单!Q2012</v>
      </c>
    </row>
    <row r="908" ht="26" customHeight="1">
      <c r="A908" s="2" t="str">
        <v>S2-02012-BH</v>
      </c>
      <c r="B908" s="2" t="str">
        <v>INP1501</v>
      </c>
      <c r="C908" s="20" t="str">
        <v>Ấm đun nước 3L INP1501</v>
      </c>
      <c r="D908" s="2" t="str">
        <v>Cái</v>
      </c>
      <c r="E908" s="2" t="str">
        <v>5</v>
      </c>
      <c r="F908" s="2" t="str">
        <v>129629.63</v>
      </c>
      <c r="G908" s="19" t="n">
        <v>700000</v>
      </c>
      <c r="H908" s="2" t="str">
        <v>2.xlsx | 订单!Q2013</v>
      </c>
    </row>
    <row r="909" ht="26" customHeight="1">
      <c r="A909" s="2" t="str">
        <v>S2-00316-BH</v>
      </c>
      <c r="B909" s="2" t="str">
        <v>INP1003</v>
      </c>
      <c r="C909" s="20" t="str">
        <v>	
Bộ nồi  Inox INP1003 </v>
      </c>
      <c r="D909" s="2" t="str"/>
      <c r="E909" s="2" t="str">
        <v>100</v>
      </c>
      <c r="F909" s="2" t="str">
        <v>324074.07</v>
      </c>
      <c r="G909" s="19" t="n">
        <v>34999999</v>
      </c>
      <c r="H909" s="2" t="str">
        <v>2.xlsx | 订单!Q316</v>
      </c>
    </row>
    <row r="910" ht="26" customHeight="1">
      <c r="A910" s="2" t="str">
        <v>S2-00316-BH</v>
      </c>
      <c r="B910" s="2" t="str">
        <v>INP3201</v>
      </c>
      <c r="C910" s="20" t="str">
        <v>Chảo gang tráng menINP3201</v>
      </c>
      <c r="D910" s="2" t="str"/>
      <c r="E910" s="2" t="str">
        <v>12</v>
      </c>
      <c r="F910" s="2" t="str">
        <v>194444.44</v>
      </c>
      <c r="G910" s="19" t="n">
        <v>2520000</v>
      </c>
      <c r="H910" s="2" t="str">
        <v>2.xlsx | 订单!Q317</v>
      </c>
    </row>
    <row r="911" ht="26" customHeight="1">
      <c r="A911" s="2" t="str">
        <v>S2-00316-BH</v>
      </c>
      <c r="B911" s="2" t="str">
        <v>INP1501</v>
      </c>
      <c r="C911" s="20" t="str">
        <v>Ấm đun nước 3L INP1501</v>
      </c>
      <c r="D911" s="2" t="str"/>
      <c r="E911" s="2" t="str">
        <v>12</v>
      </c>
      <c r="F911" s="2" t="str">
        <v>120370.37</v>
      </c>
      <c r="G911" s="19" t="n">
        <v>1560000</v>
      </c>
      <c r="H911" s="2" t="str">
        <v>2.xlsx | 订单!Q318</v>
      </c>
    </row>
    <row r="912" ht="26" customHeight="1">
      <c r="A912" s="2" t="str">
        <v>S2-00316-BH</v>
      </c>
      <c r="B912" s="2" t="str">
        <v>INP1502</v>
      </c>
      <c r="C912" s="20" t="str">
        <v>Ấm đun nước 4L INP1502</v>
      </c>
      <c r="D912" s="2" t="str"/>
      <c r="E912" s="2" t="str">
        <v>12</v>
      </c>
      <c r="F912" s="2" t="str">
        <v>129629.63</v>
      </c>
      <c r="G912" s="19" t="n">
        <v>1680000</v>
      </c>
      <c r="H912" s="2" t="str">
        <v>2.xlsx | 订单!Q319</v>
      </c>
    </row>
    <row r="913" ht="26" customHeight="1">
      <c r="A913" s="2" t="str">
        <v>S2-00316-BH</v>
      </c>
      <c r="B913" s="2" t="str">
        <v>INP1503</v>
      </c>
      <c r="C913" s="20" t="str">
        <v>Ấm đun nước 5L INP1503</v>
      </c>
      <c r="D913" s="2" t="str"/>
      <c r="E913" s="2" t="str">
        <v>12</v>
      </c>
      <c r="F913" s="2" t="str">
        <v>138888.89</v>
      </c>
      <c r="G913" s="19" t="n">
        <v>1800000</v>
      </c>
      <c r="H913" s="2" t="str">
        <v>2.xlsx | 订单!Q320</v>
      </c>
    </row>
    <row r="914" ht="26" customHeight="1">
      <c r="A914" s="2" t="str">
        <v>S2-00321-BH</v>
      </c>
      <c r="B914" s="2" t="str">
        <v>INP6701</v>
      </c>
      <c r="C914" s="20" t="str">
        <v>Máy xay thực phẩm INP 6701</v>
      </c>
      <c r="D914" s="2" t="str"/>
      <c r="E914" s="2" t="str">
        <v>8</v>
      </c>
      <c r="F914" s="2" t="str">
        <v>361111.11</v>
      </c>
      <c r="G914" s="19" t="n">
        <v>3120000</v>
      </c>
      <c r="H914" s="2" t="str">
        <v>2.xlsx | 订单!Q321</v>
      </c>
    </row>
    <row r="915" ht="26" customHeight="1">
      <c r="A915" s="2" t="str">
        <v>S2-00322-BH</v>
      </c>
      <c r="B915" s="2" t="str">
        <v>INP6102</v>
      </c>
      <c r="C915" s="20" t="str">
        <v>Bếp từ đơn INP 6102 (2500W), 2 quạt tán </v>
      </c>
      <c r="D915" s="2" t="str"/>
      <c r="E915" s="2" t="str">
        <v>6</v>
      </c>
      <c r="F915" s="2" t="str">
        <v>937963</v>
      </c>
      <c r="G915" s="19" t="n">
        <v>6078000</v>
      </c>
      <c r="H915" s="2" t="str">
        <v>2.xlsx | 订单!Q322</v>
      </c>
    </row>
    <row r="916" ht="26" customHeight="1">
      <c r="A916" s="2" t="str">
        <v>S2-00322-BH</v>
      </c>
      <c r="B916" s="2" t="str">
        <v>INP6104</v>
      </c>
      <c r="C916" s="20" t="str">
        <v>Bếp từ đơn INP6104 ( 2500W ) </v>
      </c>
      <c r="D916" s="2" t="str">
        <v>Cái</v>
      </c>
      <c r="E916" s="2" t="str">
        <v>6</v>
      </c>
      <c r="F916" s="2" t="str">
        <v>1007407.4</v>
      </c>
      <c r="G916" s="19" t="n">
        <v>6528000</v>
      </c>
      <c r="H916" s="2" t="str">
        <v>2.xlsx | 订单!Q323</v>
      </c>
    </row>
    <row r="917" ht="26" customHeight="1">
      <c r="A917" s="2" t="str">
        <v>S2-00326-BH</v>
      </c>
      <c r="B917" s="2" t="str">
        <v>INP1003</v>
      </c>
      <c r="C917" s="20" t="str">
        <v>Bộ nồi  Inox INP1003 </v>
      </c>
      <c r="D917" s="2" t="str"/>
      <c r="E917" s="2" t="str">
        <v>120</v>
      </c>
      <c r="F917" s="2" t="str">
        <v>324074.08</v>
      </c>
      <c r="G917" s="19" t="n">
        <v>42000001</v>
      </c>
      <c r="H917" s="2" t="str">
        <v>2.xlsx | 订单!Q326</v>
      </c>
    </row>
    <row r="918" ht="26" customHeight="1">
      <c r="A918" s="2" t="str">
        <v>S2-00328-BH</v>
      </c>
      <c r="B918" s="2" t="str">
        <v>INP2101</v>
      </c>
      <c r="C918" s="20" t="str">
        <v>Chảo inox chống dính đúc nguyên
khốiINP2101</v>
      </c>
      <c r="D918" s="2" t="str"/>
      <c r="E918" s="2" t="str">
        <v>30</v>
      </c>
      <c r="F918" s="2" t="str">
        <v>234259.25</v>
      </c>
      <c r="G918" s="19" t="n">
        <v>7589999</v>
      </c>
      <c r="H918" s="2" t="str">
        <v>2.xlsx | 订单!Q328</v>
      </c>
    </row>
    <row r="919" ht="26" customHeight="1">
      <c r="A919" s="2" t="str">
        <v>S2-00328-BH</v>
      </c>
      <c r="B919" s="2" t="str">
        <v>INP2102</v>
      </c>
      <c r="C919" s="20" t="str">
        <v>Chảo inox chống dính đúc nguyên
khốiINP2102</v>
      </c>
      <c r="D919" s="2" t="str"/>
      <c r="E919" s="2" t="str">
        <v>30</v>
      </c>
      <c r="F919" s="2" t="str">
        <v>256481.48</v>
      </c>
      <c r="G919" s="19" t="n">
        <v>8310000</v>
      </c>
      <c r="H919" s="2" t="str">
        <v>2.xlsx | 订单!Q329</v>
      </c>
    </row>
    <row r="920" ht="26" customHeight="1">
      <c r="A920" s="2" t="str">
        <v>S2-00328-BH</v>
      </c>
      <c r="B920" s="2" t="str">
        <v>INP2103</v>
      </c>
      <c r="C920" s="20" t="str">
        <v>Chảo inox chống dính đúc nguyên
khốiINP2103</v>
      </c>
      <c r="D920" s="2" t="str"/>
      <c r="E920" s="2" t="str">
        <v>40</v>
      </c>
      <c r="F920" s="2" t="str">
        <v>281481.48</v>
      </c>
      <c r="G920" s="19" t="n">
        <v>12160000</v>
      </c>
      <c r="H920" s="2" t="str">
        <v>2.xlsx | 订单!Q330</v>
      </c>
    </row>
    <row r="921" ht="26" customHeight="1">
      <c r="A921" s="2" t="str">
        <v>S2-00328-BH</v>
      </c>
      <c r="B921" s="2" t="str">
        <v>INP6001</v>
      </c>
      <c r="C921" s="20" t="str">
        <v>Nồi cơm điện tử (Nồi cơm điện đa năng giảm
đường) INP6001</v>
      </c>
      <c r="D921" s="2" t="str"/>
      <c r="E921" s="2" t="str">
        <v>20</v>
      </c>
      <c r="F921" s="2" t="str">
        <v>1138888.88</v>
      </c>
      <c r="G921" s="19" t="n">
        <v>24600000</v>
      </c>
      <c r="H921" s="2" t="str">
        <v>2.xlsx | 订单!Q331</v>
      </c>
    </row>
    <row r="922" ht="26" customHeight="1">
      <c r="A922" s="2" t="str">
        <v>S2-00328-BH</v>
      </c>
      <c r="B922" s="2" t="str">
        <v>INP6201</v>
      </c>
      <c r="C922" s="20" t="str">
        <v>Ấm điện siêu tốc INP6201 1,7 lít màu ghi</v>
      </c>
      <c r="D922" s="2" t="str"/>
      <c r="E922" s="2" t="str">
        <v>12</v>
      </c>
      <c r="F922" s="2" t="str">
        <v>324074.07</v>
      </c>
      <c r="G922" s="19" t="n">
        <v>4200000</v>
      </c>
      <c r="H922" s="2" t="str">
        <v>2.xlsx | 订单!Q332</v>
      </c>
    </row>
    <row r="923" ht="26" customHeight="1">
      <c r="A923" s="2" t="str">
        <v>S2-00328-BH</v>
      </c>
      <c r="B923" s="2" t="str">
        <v>INP6202</v>
      </c>
      <c r="C923" s="20" t="str">
        <v>
Ấm điện siêu tốc INP6202 1,7 lít màu đen</v>
      </c>
      <c r="D923" s="2" t="str"/>
      <c r="E923" s="2" t="str">
        <v>12</v>
      </c>
      <c r="F923" s="2" t="str">
        <v>325925.92</v>
      </c>
      <c r="G923" s="19" t="n">
        <v>4224000</v>
      </c>
      <c r="H923" s="2" t="str">
        <v>2.xlsx | 订单!Q333</v>
      </c>
    </row>
    <row r="924" ht="26" customHeight="1">
      <c r="A924" s="2" t="str">
        <v>S2-00328-BH</v>
      </c>
      <c r="B924" s="2" t="str">
        <v>INP6203</v>
      </c>
      <c r="C924" s="20" t="str">
        <v>Ấm đun nước INP6203, 1.7L</v>
      </c>
      <c r="D924" s="2" t="str"/>
      <c r="E924" s="2" t="str">
        <v>12</v>
      </c>
      <c r="F924" s="2" t="str">
        <v>312037.03</v>
      </c>
      <c r="G924" s="19" t="n">
        <v>4044000</v>
      </c>
      <c r="H924" s="2" t="str">
        <v>2.xlsx | 订单!Q334</v>
      </c>
    </row>
    <row r="925" ht="26" customHeight="1">
      <c r="A925" s="2" t="str">
        <v>S2-00335-BH</v>
      </c>
      <c r="B925" s="2" t="str">
        <v>INP6701</v>
      </c>
      <c r="C925" s="20" t="str">
        <v>Máy xay thực phẩm INP6701</v>
      </c>
      <c r="D925" s="2" t="str"/>
      <c r="E925" s="2" t="str">
        <v>32</v>
      </c>
      <c r="F925" s="2" t="str">
        <v>361111.11</v>
      </c>
      <c r="G925" s="19" t="n">
        <v>12480000</v>
      </c>
      <c r="H925" s="2" t="str">
        <v>2.xlsx | 订单!Q335</v>
      </c>
    </row>
    <row r="926" ht="26" customHeight="1">
      <c r="A926" s="2" t="str">
        <v>S2-00335-BH</v>
      </c>
      <c r="B926" s="2" t="str">
        <v>INP6002</v>
      </c>
      <c r="C926" s="20" t="str">
        <v>Nồi cơm điện tử (Nồi cơm điện đa năng giảm
đường) INP6002</v>
      </c>
      <c r="D926" s="2" t="str"/>
      <c r="E926" s="2" t="str">
        <v>24</v>
      </c>
      <c r="F926" s="2" t="str">
        <v>1097222.22</v>
      </c>
      <c r="G926" s="19" t="n">
        <v>28440000</v>
      </c>
      <c r="H926" s="2" t="str">
        <v>2.xlsx | 订单!Q336</v>
      </c>
    </row>
    <row r="927" ht="26" customHeight="1">
      <c r="A927" s="2" t="str">
        <v>S2-00338-BH</v>
      </c>
      <c r="B927" s="2" t="str">
        <v>INP2101</v>
      </c>
      <c r="C927" s="20" t="str">
        <v>Chảo inox chống dính đúc nguyên
khốiINP2101</v>
      </c>
      <c r="D927" s="2" t="str"/>
      <c r="E927" s="2" t="str">
        <v>50</v>
      </c>
      <c r="F927" s="2" t="str">
        <v>234259.25</v>
      </c>
      <c r="G927" s="19" t="n">
        <v>12649999</v>
      </c>
      <c r="H927" s="2" t="str">
        <v>2.xlsx | 订单!Q338</v>
      </c>
    </row>
    <row r="928" ht="26" customHeight="1">
      <c r="A928" s="2" t="str">
        <v>S2-00338-BH</v>
      </c>
      <c r="B928" s="2" t="str">
        <v>INP2102</v>
      </c>
      <c r="C928" s="20" t="str">
        <v>Chảo inox chống dính đúc nguyên
khốiINP2102</v>
      </c>
      <c r="D928" s="2" t="str"/>
      <c r="E928" s="2" t="str">
        <v>50</v>
      </c>
      <c r="F928" s="2" t="str">
        <v>256481.48</v>
      </c>
      <c r="G928" s="19" t="n">
        <v>13850000</v>
      </c>
      <c r="H928" s="2" t="str">
        <v>2.xlsx | 订单!Q339</v>
      </c>
    </row>
    <row r="929" ht="26" customHeight="1">
      <c r="A929" s="2" t="str">
        <v>S2-00338-BH</v>
      </c>
      <c r="B929" s="2" t="str">
        <v>INP2103</v>
      </c>
      <c r="C929" s="20" t="str">
        <v>Chảo inox chống dính đúc nguyên
khốiINP2103</v>
      </c>
      <c r="D929" s="2" t="str"/>
      <c r="E929" s="2" t="str">
        <v>100</v>
      </c>
      <c r="F929" s="2" t="str">
        <v>281481.48</v>
      </c>
      <c r="G929" s="19" t="n">
        <v>30400000</v>
      </c>
      <c r="H929" s="2" t="str">
        <v>2.xlsx | 订单!Q340</v>
      </c>
    </row>
    <row r="930" ht="26" customHeight="1">
      <c r="A930" s="2" t="str">
        <v>S2-00338-BH</v>
      </c>
      <c r="B930" s="2" t="str">
        <v>INP6001</v>
      </c>
      <c r="C930" s="20" t="str">
        <v>Nồi cơm điện tử (Nồi cơm điện đa năng giảm
đường) INP6001</v>
      </c>
      <c r="D930" s="2" t="str"/>
      <c r="E930" s="2" t="str">
        <v>16</v>
      </c>
      <c r="F930" s="2" t="str">
        <v>1138888.88</v>
      </c>
      <c r="G930" s="19" t="n">
        <v>19680000</v>
      </c>
      <c r="H930" s="2" t="str">
        <v>2.xlsx | 订单!Q341</v>
      </c>
    </row>
    <row r="931" ht="26" customHeight="1">
      <c r="A931" s="2" t="str">
        <v>S2-00338-BH</v>
      </c>
      <c r="B931" s="2" t="str">
        <v>INP6003</v>
      </c>
      <c r="C931" s="20" t="str">
        <v>Nồi cơm điện tử (Nồi cơm điện đa năng giảm
đường) INP6003</v>
      </c>
      <c r="D931" s="2" t="str"/>
      <c r="E931" s="2" t="str">
        <v>8</v>
      </c>
      <c r="F931" s="2" t="str">
        <v>851851.85</v>
      </c>
      <c r="G931" s="19" t="n">
        <v>7360000</v>
      </c>
      <c r="H931" s="2" t="str">
        <v>2.xlsx | 订单!Q342</v>
      </c>
    </row>
    <row r="932" ht="26" customHeight="1">
      <c r="A932" s="2" t="str">
        <v>S2-00338-BH</v>
      </c>
      <c r="B932" s="2" t="str">
        <v>INP6701</v>
      </c>
      <c r="C932" s="20" t="str">
        <v>Máy xay thực phẩm INP6701</v>
      </c>
      <c r="D932" s="2" t="str"/>
      <c r="E932" s="2" t="str">
        <v>40</v>
      </c>
      <c r="F932" s="2" t="str">
        <v>361111.11</v>
      </c>
      <c r="G932" s="19" t="n">
        <v>15600000</v>
      </c>
      <c r="H932" s="2" t="str">
        <v>2.xlsx | 订单!Q343</v>
      </c>
    </row>
    <row r="933" ht="26" customHeight="1">
      <c r="A933" s="2" t="str">
        <v>S2-00338-BH</v>
      </c>
      <c r="B933" s="2" t="str">
        <v>INP6002</v>
      </c>
      <c r="C933" s="20" t="str">
        <v>Nồi cơm điện tử (Nồi cơm điện đa năng giảm
đường) INP6002</v>
      </c>
      <c r="D933" s="2" t="str"/>
      <c r="E933" s="2" t="str">
        <v>4</v>
      </c>
      <c r="F933" s="2" t="str">
        <v>1097222.22</v>
      </c>
      <c r="G933" s="19" t="n">
        <v>4740000</v>
      </c>
      <c r="H933" s="2" t="str">
        <v>2.xlsx | 订单!Q344</v>
      </c>
    </row>
    <row r="934" ht="26" customHeight="1">
      <c r="A934" s="2" t="str">
        <v>S2-00346-BH</v>
      </c>
      <c r="B934" s="2" t="str">
        <v>INP1301</v>
      </c>
      <c r="C934" s="20" t="str">
        <v>	
Nồi mã INP1301</v>
      </c>
      <c r="D934" s="2" t="str"/>
      <c r="E934" s="2" t="str">
        <v>50</v>
      </c>
      <c r="F934" s="2" t="str">
        <v>81730.76</v>
      </c>
      <c r="G934" s="19" t="n">
        <v>4413461</v>
      </c>
      <c r="H934" s="2" t="str">
        <v>2.xlsx | 订单!Q346</v>
      </c>
    </row>
    <row r="935" ht="26" customHeight="1">
      <c r="A935" s="2" t="str">
        <v>S2-00346-BH</v>
      </c>
      <c r="B935" s="2" t="str">
        <v>INP2101</v>
      </c>
      <c r="C935" s="20" t="str">
        <v>Chảo inox chống dính đúc nguyên
khốiINP2101</v>
      </c>
      <c r="D935" s="2" t="str"/>
      <c r="E935" s="2" t="str">
        <v>30</v>
      </c>
      <c r="F935" s="2" t="str">
        <v>234259.25</v>
      </c>
      <c r="G935" s="19" t="n">
        <v>7589999</v>
      </c>
      <c r="H935" s="2" t="str">
        <v>2.xlsx | 订单!Q347</v>
      </c>
    </row>
    <row r="936" ht="26" customHeight="1">
      <c r="A936" s="2" t="str">
        <v>S2-00346-BH</v>
      </c>
      <c r="B936" s="2" t="str">
        <v>INP2102</v>
      </c>
      <c r="C936" s="20" t="str">
        <v>Chảo inox chống dính đúc nguyên
khốiINP2102</v>
      </c>
      <c r="D936" s="2" t="str"/>
      <c r="E936" s="2" t="str">
        <v>80</v>
      </c>
      <c r="F936" s="2" t="str">
        <v>256481.48</v>
      </c>
      <c r="G936" s="19" t="n">
        <v>22160000</v>
      </c>
      <c r="H936" s="2" t="str">
        <v>2.xlsx | 订单!Q348</v>
      </c>
    </row>
    <row r="937" ht="26" customHeight="1">
      <c r="A937" s="2" t="str">
        <v>S2-00346-BH</v>
      </c>
      <c r="B937" s="2" t="str">
        <v>INP2103</v>
      </c>
      <c r="C937" s="20" t="str">
        <v>Chảo inox chống dính đúc nguyên
khốiINP2103</v>
      </c>
      <c r="D937" s="2" t="str"/>
      <c r="E937" s="2" t="str">
        <v>160</v>
      </c>
      <c r="F937" s="2" t="str">
        <v>281481.48</v>
      </c>
      <c r="G937" s="19" t="n">
        <v>48639999</v>
      </c>
      <c r="H937" s="2" t="str">
        <v>2.xlsx | 订单!Q349</v>
      </c>
    </row>
    <row r="938" ht="26" customHeight="1">
      <c r="A938" s="2" t="str">
        <v>S2-00346-BH</v>
      </c>
      <c r="B938" s="2" t="str">
        <v>INP6201</v>
      </c>
      <c r="C938" s="20" t="str">
        <v>Ấm điện siêu tốc INP6201 1,7 lít màu ghi   </v>
      </c>
      <c r="D938" s="2" t="str"/>
      <c r="E938" s="2" t="str">
        <v>36</v>
      </c>
      <c r="F938" s="2" t="str">
        <v>324074.07</v>
      </c>
      <c r="G938" s="19" t="n">
        <v>12600000</v>
      </c>
      <c r="H938" s="2" t="str">
        <v>2.xlsx | 订单!Q350</v>
      </c>
    </row>
    <row r="939" ht="26" customHeight="1">
      <c r="A939" s="2" t="str">
        <v>S2-00346-BH</v>
      </c>
      <c r="B939" s="2" t="str">
        <v>INP6202</v>
      </c>
      <c r="C939" s="20" t="str">
        <v>Ấm điện siêu tốc INP6202 1,7 lít màu ghi   </v>
      </c>
      <c r="D939" s="2" t="str"/>
      <c r="E939" s="2" t="str">
        <v>120</v>
      </c>
      <c r="F939" s="2" t="str">
        <v>325925.92</v>
      </c>
      <c r="G939" s="19" t="n">
        <v>42239999</v>
      </c>
      <c r="H939" s="2" t="str">
        <v>2.xlsx | 订单!Q351</v>
      </c>
    </row>
    <row r="940" ht="26" customHeight="1">
      <c r="A940" s="2" t="str">
        <v>S2-00346-BH</v>
      </c>
      <c r="B940" s="2" t="str">
        <v>INP6701</v>
      </c>
      <c r="C940" s="20" t="str">
        <v>Máy xay thực phẩm INP6701</v>
      </c>
      <c r="D940" s="2" t="str"/>
      <c r="E940" s="2" t="str">
        <v>200</v>
      </c>
      <c r="F940" s="2" t="str">
        <v>361111.11</v>
      </c>
      <c r="G940" s="19" t="n">
        <v>78000000</v>
      </c>
      <c r="H940" s="2" t="str">
        <v>2.xlsx | 订单!Q352</v>
      </c>
    </row>
    <row r="941" ht="26" customHeight="1">
      <c r="A941" s="2" t="str">
        <v>S2-00353-BH</v>
      </c>
      <c r="B941" s="2" t="str">
        <v>INP2104</v>
      </c>
      <c r="C941" s="20" t="str">
        <v>Chảo inox chống dính đúc nguyên
khốiINP2104</v>
      </c>
      <c r="D941" s="2" t="str"/>
      <c r="E941" s="2" t="str">
        <v>220</v>
      </c>
      <c r="F941" s="2" t="str">
        <v>298148.14</v>
      </c>
      <c r="G941" s="19" t="n">
        <v>70839998</v>
      </c>
      <c r="H941" s="2" t="str">
        <v>2.xlsx | 订单!Q353</v>
      </c>
    </row>
    <row r="942" ht="26" customHeight="1">
      <c r="A942" s="2" t="str">
        <v>S2-00357-BH</v>
      </c>
      <c r="B942" s="2" t="str">
        <v>INP6401</v>
      </c>
      <c r="C942" s="20" t="str">
        <v>Quạt đứng INP6401</v>
      </c>
      <c r="D942" s="2" t="str"/>
      <c r="E942" s="2" t="str">
        <v>100</v>
      </c>
      <c r="F942" s="2" t="str">
        <v>509259.26</v>
      </c>
      <c r="G942" s="19" t="n">
        <v>55000000</v>
      </c>
      <c r="H942" s="2" t="str">
        <v>2.xlsx | 订单!Q357</v>
      </c>
    </row>
    <row r="943" ht="26" customHeight="1">
      <c r="A943" s="2" t="str">
        <v>S2-00354-BH</v>
      </c>
      <c r="B943" s="2" t="str">
        <v>INP2104</v>
      </c>
      <c r="C943" s="20" t="str">
        <v>Chảo inox chống dính đúc nguyên
khốiINP2104</v>
      </c>
      <c r="D943" s="2" t="str"/>
      <c r="E943" s="2" t="str">
        <v>10</v>
      </c>
      <c r="F943" s="2" t="str">
        <v>298148.14</v>
      </c>
      <c r="G943" s="19" t="n">
        <v>3220000</v>
      </c>
      <c r="H943" s="2" t="str">
        <v>2.xlsx | 订单!Q354</v>
      </c>
    </row>
    <row r="944" ht="26" customHeight="1">
      <c r="A944" s="2" t="str">
        <v>S2-00359-BH</v>
      </c>
      <c r="B944" s="2" t="str">
        <v>INP1401</v>
      </c>
      <c r="C944" s="20" t="str">
        <v>Nồi áp suất 4.5L INP1401</v>
      </c>
      <c r="D944" s="2" t="str">
        <v>Cái</v>
      </c>
      <c r="E944" s="2" t="str">
        <v>10</v>
      </c>
      <c r="F944" s="2" t="str">
        <v>824074.07</v>
      </c>
      <c r="G944" s="19" t="n">
        <v>8900000</v>
      </c>
      <c r="H944" s="2" t="str">
        <v>2.xlsx | 订单!Q359</v>
      </c>
    </row>
    <row r="945" ht="26" customHeight="1">
      <c r="A945" s="2" t="str">
        <v>S2-00359-BH</v>
      </c>
      <c r="B945" s="2" t="str">
        <v>INP1402</v>
      </c>
      <c r="C945" s="20" t="str">
        <v>	
Nồi áp suất 6L INP1402</v>
      </c>
      <c r="D945" s="2" t="str"/>
      <c r="E945" s="2" t="str">
        <v>10</v>
      </c>
      <c r="F945" s="2" t="str">
        <v>937963.96</v>
      </c>
      <c r="G945" s="19" t="n">
        <v>10130011</v>
      </c>
      <c r="H945" s="2" t="str">
        <v>2.xlsx | 订单!Q360</v>
      </c>
    </row>
    <row r="946" ht="26" customHeight="1">
      <c r="A946" s="2" t="str">
        <v>S2-00361-BH</v>
      </c>
      <c r="B946" s="2" t="str">
        <v>INP6402</v>
      </c>
      <c r="C946" s="20" t="str">
        <v>	
Quạt điện đứng INP6402</v>
      </c>
      <c r="D946" s="2" t="str"/>
      <c r="E946" s="2" t="str">
        <v>10</v>
      </c>
      <c r="F946" s="2" t="str">
        <v>574074.07</v>
      </c>
      <c r="G946" s="19" t="n">
        <v>6200000</v>
      </c>
      <c r="H946" s="2" t="str">
        <v>2.xlsx | 订单!Q361</v>
      </c>
    </row>
    <row r="947" ht="26" customHeight="1">
      <c r="A947" s="2" t="str">
        <v>S2-00362-BH</v>
      </c>
      <c r="B947" s="2" t="str">
        <v>INP6403</v>
      </c>
      <c r="C947" s="20" t="str">
        <v>	
Quạt điện đứng INP6403</v>
      </c>
      <c r="D947" s="2" t="str"/>
      <c r="E947" s="2" t="str">
        <v>100</v>
      </c>
      <c r="F947" s="2" t="str">
        <v>694444.44</v>
      </c>
      <c r="G947" s="19" t="n">
        <v>75000000</v>
      </c>
      <c r="H947" s="2" t="str">
        <v>2.xlsx | 订单!Q362</v>
      </c>
    </row>
    <row r="948" ht="26" customHeight="1">
      <c r="A948" s="2" t="str">
        <v>S2-00364-BH</v>
      </c>
      <c r="B948" s="2" t="str">
        <v>INP1001</v>
      </c>
      <c r="C948" s="20" t="str">
        <v>Bộ nồi inox INP1001</v>
      </c>
      <c r="D948" s="2" t="str"/>
      <c r="E948" s="2" t="str">
        <v>20</v>
      </c>
      <c r="F948" s="2" t="str">
        <v>480555.55</v>
      </c>
      <c r="G948" s="19" t="n">
        <v>10380000</v>
      </c>
      <c r="H948" s="2" t="str">
        <v>2.xlsx | 订单!Q364</v>
      </c>
    </row>
    <row r="949" ht="26" customHeight="1">
      <c r="A949" s="2" t="str">
        <v>S2-00364-BH</v>
      </c>
      <c r="B949" s="2" t="str">
        <v>INP1101</v>
      </c>
      <c r="C949" s="20" t="str">
        <v>Bộ nồi inox  INP1101</v>
      </c>
      <c r="D949" s="2" t="str"/>
      <c r="E949" s="2" t="str">
        <v>20</v>
      </c>
      <c r="F949" s="2" t="str">
        <v>483333.33</v>
      </c>
      <c r="G949" s="19" t="n">
        <v>10440000</v>
      </c>
      <c r="H949" s="2" t="str">
        <v>2.xlsx | 订单!Q365</v>
      </c>
    </row>
    <row r="950" ht="26" customHeight="1">
      <c r="A950" s="2" t="str">
        <v>S2-00364-BH</v>
      </c>
      <c r="B950" s="2" t="str">
        <v>INP1003</v>
      </c>
      <c r="C950" s="20" t="str">
        <v>Bộ nồi  Inox INP1003 </v>
      </c>
      <c r="D950" s="2" t="str"/>
      <c r="E950" s="2" t="str">
        <v>40</v>
      </c>
      <c r="F950" s="2" t="str">
        <v>324074.07</v>
      </c>
      <c r="G950" s="19" t="n">
        <v>14000000</v>
      </c>
      <c r="H950" s="2" t="str">
        <v>2.xlsx | 订单!Q366</v>
      </c>
    </row>
    <row r="951" ht="26" customHeight="1">
      <c r="A951" s="2" t="str">
        <v>S2-00364-BH</v>
      </c>
      <c r="B951" s="2" t="str">
        <v>INP6902</v>
      </c>
      <c r="C951" s="20" t="str">
        <v>Nồi áp suất điện INP6902</v>
      </c>
      <c r="D951" s="2" t="str"/>
      <c r="E951" s="2" t="str">
        <v>10</v>
      </c>
      <c r="F951" s="2" t="str">
        <v>814814.81</v>
      </c>
      <c r="G951" s="19" t="n">
        <v>8800000</v>
      </c>
      <c r="H951" s="2" t="str">
        <v>2.xlsx | 订单!Q367</v>
      </c>
    </row>
    <row r="952" ht="26" customHeight="1">
      <c r="A952" s="2" t="str">
        <v>S2-00368-BH</v>
      </c>
      <c r="B952" s="2" t="str">
        <v>INP6005</v>
      </c>
      <c r="C952" s="20" t="str">
        <v>Nồi cơm điện INP6005 (1,8L)</v>
      </c>
      <c r="D952" s="2" t="str"/>
      <c r="E952" s="2" t="str">
        <v>1</v>
      </c>
      <c r="F952" s="2" t="str">
        <v>644444.44</v>
      </c>
      <c r="G952" s="19" t="n">
        <v>696000</v>
      </c>
      <c r="H952" s="2" t="str">
        <v>2.xlsx | 订单!Q368</v>
      </c>
    </row>
    <row r="953" ht="26" customHeight="1">
      <c r="A953" s="2" t="str">
        <v>S2-00368-BH</v>
      </c>
      <c r="B953" s="2" t="str">
        <v>INP6007</v>
      </c>
      <c r="C953" s="20" t="str">
        <v>Nồi cơm điện INP6007 (1,8L)</v>
      </c>
      <c r="D953" s="2" t="str"/>
      <c r="E953" s="2" t="str">
        <v>120</v>
      </c>
      <c r="F953" s="2" t="str">
        <v>629629.63</v>
      </c>
      <c r="G953" s="19" t="n">
        <v>81600000</v>
      </c>
      <c r="H953" s="2" t="str">
        <v>2.xlsx | 订单!Q369</v>
      </c>
    </row>
    <row r="954" ht="26" customHeight="1">
      <c r="A954" s="2" t="str">
        <v>S2-00368-BH</v>
      </c>
      <c r="B954" s="2" t="str">
        <v>INP6009</v>
      </c>
      <c r="C954" s="20" t="str">
        <v>Nồi cơm điện INP6009 (1,8L)</v>
      </c>
      <c r="D954" s="2" t="str"/>
      <c r="E954" s="2" t="str">
        <v>1</v>
      </c>
      <c r="F954" s="2" t="str">
        <v>694444.44</v>
      </c>
      <c r="G954" s="19" t="n">
        <v>750000</v>
      </c>
      <c r="H954" s="2" t="str">
        <v>2.xlsx | 订单!Q370</v>
      </c>
    </row>
    <row r="955" ht="26" customHeight="1">
      <c r="A955" s="2" t="str">
        <v>S2-00368-BH</v>
      </c>
      <c r="B955" s="2" t="str">
        <v>INP6011</v>
      </c>
      <c r="C955" s="20" t="str">
        <v>Nồi cơm điện INP6011 (1,8L)</v>
      </c>
      <c r="D955" s="2" t="str"/>
      <c r="E955" s="2" t="str">
        <v>1</v>
      </c>
      <c r="F955" s="2" t="str">
        <v>574074.07</v>
      </c>
      <c r="G955" s="19" t="n">
        <v>620000</v>
      </c>
      <c r="H955" s="2" t="str">
        <v>2.xlsx | 订单!Q371</v>
      </c>
    </row>
    <row r="956" ht="26" customHeight="1">
      <c r="A956" s="2" t="str">
        <v>S2-01280-BH</v>
      </c>
      <c r="B956" s="2" t="str">
        <v>INP6011</v>
      </c>
      <c r="C956" s="20" t="str">
        <v>Nồi cơm điện INP6011 (1,8L)</v>
      </c>
      <c r="D956" s="2" t="str">
        <v>Cái</v>
      </c>
      <c r="E956" s="2" t="str">
        <v>30</v>
      </c>
      <c r="F956" s="2" t="str">
        <v>574074.07</v>
      </c>
      <c r="G956" s="19" t="n">
        <v>18600000</v>
      </c>
      <c r="H956" s="2" t="str">
        <v>2.xlsx | 订单!Q1280</v>
      </c>
    </row>
    <row r="957" ht="26" customHeight="1">
      <c r="A957" s="2" t="str">
        <v>S2-01280-BH</v>
      </c>
      <c r="B957" s="2" t="str">
        <v>INP7952</v>
      </c>
      <c r="C957" s="20" t="str">
        <v>Máy sấy tóc INP7952</v>
      </c>
      <c r="D957" s="2" t="str">
        <v>Cái</v>
      </c>
      <c r="E957" s="2" t="str">
        <v>50</v>
      </c>
      <c r="F957" s="2" t="str">
        <v>292592.59</v>
      </c>
      <c r="G957" s="19" t="n">
        <v>15800000</v>
      </c>
      <c r="H957" s="2" t="str">
        <v>2.xlsx | 订单!Q1282</v>
      </c>
    </row>
    <row r="958" ht="26" customHeight="1">
      <c r="A958" s="2" t="str">
        <v>S2-01280-BH</v>
      </c>
      <c r="B958" s="2" t="str">
        <v>INP7953</v>
      </c>
      <c r="C958" s="20" t="str">
        <v>Máy sấy tóc INP7953</v>
      </c>
      <c r="D958" s="2" t="str">
        <v>Cái</v>
      </c>
      <c r="E958" s="2" t="str">
        <v>50</v>
      </c>
      <c r="F958" s="2" t="str">
        <v>231481.48</v>
      </c>
      <c r="G958" s="19" t="n">
        <v>12500000</v>
      </c>
      <c r="H958" s="2" t="str">
        <v>2.xlsx | 订单!Q1283</v>
      </c>
    </row>
    <row r="959" ht="26" customHeight="1">
      <c r="A959" s="2" t="str">
        <v>S2-01280-BH</v>
      </c>
      <c r="B959" s="2" t="str">
        <v>INP6902</v>
      </c>
      <c r="C959" s="20" t="str">
        <v>Nồi áp suất điện INP6902</v>
      </c>
      <c r="D959" s="2" t="str">
        <v>Cái</v>
      </c>
      <c r="E959" s="2" t="str">
        <v>10</v>
      </c>
      <c r="F959" s="2" t="str">
        <v>814814.81</v>
      </c>
      <c r="G959" s="19" t="n">
        <v>8800000</v>
      </c>
      <c r="H959" s="2" t="str">
        <v>2.xlsx | 订单!Q1281</v>
      </c>
    </row>
    <row r="960" ht="26" customHeight="1">
      <c r="A960" s="2" t="str">
        <v>S2-01663-BH</v>
      </c>
      <c r="B960" s="2" t="str">
        <v>INP6003</v>
      </c>
      <c r="C960" s="20" t="str">
        <v>Nồi cơm điện tử (Nồi cơm điện đa năng giảm đường) INP6003</v>
      </c>
      <c r="D960" s="2" t="str">
        <v>Cái</v>
      </c>
      <c r="E960" s="2" t="str">
        <v>2</v>
      </c>
      <c r="F960" s="2" t="str">
        <v>851851.85</v>
      </c>
      <c r="G960" s="19" t="n">
        <v>1840000</v>
      </c>
      <c r="H960" s="2" t="str">
        <v>2.xlsx | 订单!Q1663</v>
      </c>
    </row>
    <row r="961" ht="26" customHeight="1">
      <c r="A961" s="2" t="str">
        <v>S2-01663-BH</v>
      </c>
      <c r="B961" s="2" t="str">
        <v>INP6902</v>
      </c>
      <c r="C961" s="20" t="str">
        <v>Nồi áp suất điện INP6902</v>
      </c>
      <c r="D961" s="2" t="str">
        <v>Cái</v>
      </c>
      <c r="E961" s="2" t="str">
        <v>20</v>
      </c>
      <c r="F961" s="2" t="str">
        <v>814814.81</v>
      </c>
      <c r="G961" s="19" t="n">
        <v>17600000</v>
      </c>
      <c r="H961" s="2" t="str">
        <v>2.xlsx | 订单!Q1664</v>
      </c>
    </row>
    <row r="962" ht="26" customHeight="1">
      <c r="A962" s="2" t="str">
        <v>S2-01663-BH</v>
      </c>
      <c r="B962" s="2" t="str">
        <v>INP2101</v>
      </c>
      <c r="C962" s="20" t="str">
        <v>Chảo inox chống dính đúc nguyên khốiINP2101</v>
      </c>
      <c r="D962" s="2" t="str">
        <v>Cái</v>
      </c>
      <c r="E962" s="2" t="str">
        <v>30</v>
      </c>
      <c r="F962" s="2" t="str">
        <v>234259.26</v>
      </c>
      <c r="G962" s="19" t="n">
        <v>7590000</v>
      </c>
      <c r="H962" s="2" t="str">
        <v>2.xlsx | 订单!Q1667</v>
      </c>
    </row>
    <row r="963" ht="26" customHeight="1">
      <c r="A963" s="2" t="str">
        <v>S2-01663-BH</v>
      </c>
      <c r="B963" s="2" t="str">
        <v>INP6006</v>
      </c>
      <c r="C963" s="20" t="str">
        <v>Nồi cơm điện INP6006 (1,2L)</v>
      </c>
      <c r="D963" s="2" t="str">
        <v>Cái</v>
      </c>
      <c r="E963" s="2" t="str">
        <v>15</v>
      </c>
      <c r="F963" s="2" t="str">
        <v>527777.78</v>
      </c>
      <c r="G963" s="19" t="n">
        <v>8550000</v>
      </c>
      <c r="H963" s="2" t="str">
        <v>2.xlsx | 订单!Q1665</v>
      </c>
    </row>
    <row r="964" ht="26" customHeight="1">
      <c r="A964" s="2" t="str">
        <v>S2-01663-BH</v>
      </c>
      <c r="B964" s="2" t="str">
        <v>INP6010</v>
      </c>
      <c r="C964" s="20" t="str">
        <v>Nồi cơm điện INP6010 (1,2L)</v>
      </c>
      <c r="D964" s="2" t="str">
        <v>Cái</v>
      </c>
      <c r="E964" s="2" t="str">
        <v>15</v>
      </c>
      <c r="F964" s="2" t="str">
        <v>481481.48</v>
      </c>
      <c r="G964" s="19" t="n">
        <v>7800000</v>
      </c>
      <c r="H964" s="2" t="str">
        <v>2.xlsx | 订单!Q1666</v>
      </c>
    </row>
    <row r="965" ht="26" customHeight="1">
      <c r="A965" s="2" t="str">
        <v>S2-02104-BH</v>
      </c>
      <c r="B965" s="2" t="str">
        <v>INP1003</v>
      </c>
      <c r="C965" s="20" t="str">
        <v>Bộ nồi Inox INP1003</v>
      </c>
      <c r="D965" s="2" t="str">
        <v>Cái</v>
      </c>
      <c r="E965" s="2" t="str">
        <v>100</v>
      </c>
      <c r="F965" s="2" t="str">
        <v>333333.33</v>
      </c>
      <c r="G965" s="19" t="n">
        <v>35999999.64</v>
      </c>
      <c r="H965" s="2" t="str">
        <v>2.xlsx | 订单!Q2104</v>
      </c>
    </row>
    <row r="966" ht="26" customHeight="1">
      <c r="A966" s="2" t="str">
        <v>S2-02104-BH</v>
      </c>
      <c r="B966" s="2" t="str">
        <v>INP2101</v>
      </c>
      <c r="C966" s="20" t="str">
        <v>Chảo inox chống dính đúc nguyên khốiINP2101</v>
      </c>
      <c r="D966" s="2" t="str">
        <v>Cái</v>
      </c>
      <c r="E966" s="2" t="str">
        <v>30</v>
      </c>
      <c r="F966" s="2" t="str">
        <v>234259.26</v>
      </c>
      <c r="G966" s="19" t="n">
        <v>7590000.03</v>
      </c>
      <c r="H966" s="2" t="str">
        <v>2.xlsx | 订单!Q2106</v>
      </c>
    </row>
    <row r="967" ht="26" customHeight="1">
      <c r="A967" s="2" t="str">
        <v>S2-02104-BH</v>
      </c>
      <c r="B967" s="2" t="str">
        <v>INP2102</v>
      </c>
      <c r="C967" s="20" t="str">
        <v>Chảo inox chống dính đúc nguyên khốiINP2102</v>
      </c>
      <c r="D967" s="2" t="str">
        <v>Cái</v>
      </c>
      <c r="E967" s="2" t="str">
        <v>30</v>
      </c>
      <c r="F967" s="2" t="str">
        <v>256481.48</v>
      </c>
      <c r="G967" s="19" t="n">
        <v>8309999.95</v>
      </c>
      <c r="H967" s="2" t="str">
        <v>2.xlsx | 订单!Q2107</v>
      </c>
    </row>
    <row r="968" ht="26" customHeight="1">
      <c r="A968" s="2" t="str">
        <v>S2-02104-BH</v>
      </c>
      <c r="B968" s="2" t="str">
        <v>INP2104</v>
      </c>
      <c r="C968" s="20" t="str">
        <v>Chảo inox chống dính đúc nguyên khối INP2104</v>
      </c>
      <c r="D968" s="2" t="str">
        <v>Cái</v>
      </c>
      <c r="E968" s="2" t="str">
        <v>30</v>
      </c>
      <c r="F968" s="2" t="str">
        <v>298148.15</v>
      </c>
      <c r="G968" s="19" t="n">
        <v>9660000.06</v>
      </c>
      <c r="H968" s="2" t="str">
        <v>2.xlsx | 订单!Q2108</v>
      </c>
    </row>
    <row r="969" ht="26" customHeight="1">
      <c r="A969" s="2" t="str">
        <v>S2-02104-BH</v>
      </c>
      <c r="B969" s="2" t="str">
        <v>INP6402</v>
      </c>
      <c r="C969" s="20" t="str">
        <v>Quạt điện đứng INP6402</v>
      </c>
      <c r="D969" s="2" t="str">
        <v>Cái</v>
      </c>
      <c r="E969" s="2" t="str">
        <v>1</v>
      </c>
      <c r="F969" s="2" t="str">
        <v>574074.07</v>
      </c>
      <c r="G969" s="19" t="n">
        <v>619999.99</v>
      </c>
      <c r="H969" s="2" t="str">
        <v>2.xlsx | 订单!Q2105</v>
      </c>
    </row>
    <row r="970" ht="26" customHeight="1">
      <c r="A970" s="2" t="str">
        <v>S2-00701-BH</v>
      </c>
      <c r="B970" s="2" t="str">
        <v>INP1401</v>
      </c>
      <c r="C970" s="20" t="str">
        <v>Nồi áp suất 4.5L INP1401</v>
      </c>
      <c r="D970" s="2" t="str">
        <v>Cái</v>
      </c>
      <c r="E970" s="2" t="str">
        <v>20</v>
      </c>
      <c r="F970" s="2" t="str">
        <v>824074.05</v>
      </c>
      <c r="G970" s="19" t="n">
        <v>17800003</v>
      </c>
      <c r="H970" s="2" t="str">
        <v>2.xlsx | 订单!Q701</v>
      </c>
    </row>
    <row r="971" ht="26" customHeight="1">
      <c r="A971" s="2" t="str">
        <v>S2-00701-BH</v>
      </c>
      <c r="B971" s="2" t="str">
        <v>INP1402</v>
      </c>
      <c r="C971" s="20" t="str">
        <v>Nồi áp suất 6L INP1402</v>
      </c>
      <c r="D971" s="2" t="str"/>
      <c r="E971" s="2" t="str">
        <v>20</v>
      </c>
      <c r="F971" s="2" t="str">
        <v>937962.95</v>
      </c>
      <c r="G971" s="19" t="n">
        <v>20259999</v>
      </c>
      <c r="H971" s="2" t="str">
        <v>2.xlsx | 订单!Q702</v>
      </c>
    </row>
    <row r="972" ht="26" customHeight="1">
      <c r="A972" s="2" t="str">
        <v>S2-00701-BH</v>
      </c>
      <c r="B972" s="2" t="str">
        <v>INP1501</v>
      </c>
      <c r="C972" s="20" t="str">
        <v>Ấm đun nước 3L INP1501</v>
      </c>
      <c r="D972" s="2" t="str"/>
      <c r="E972" s="2" t="str">
        <v>60</v>
      </c>
      <c r="F972" s="2" t="str">
        <v>111111.11</v>
      </c>
      <c r="G972" s="19" t="n">
        <v>7200000</v>
      </c>
      <c r="H972" s="2" t="str">
        <v>2.xlsx | 订单!Q703</v>
      </c>
    </row>
    <row r="973" ht="26" customHeight="1">
      <c r="A973" s="2" t="str">
        <v>S2-00701-BH</v>
      </c>
      <c r="B973" s="2" t="str">
        <v>INP1502</v>
      </c>
      <c r="C973" s="20" t="str">
        <v> Ấm đun nước 4L INP1502</v>
      </c>
      <c r="D973" s="2" t="str"/>
      <c r="E973" s="2" t="str">
        <v>60</v>
      </c>
      <c r="F973" s="2" t="str">
        <v>120370.37</v>
      </c>
      <c r="G973" s="19" t="n">
        <v>7800000</v>
      </c>
      <c r="H973" s="2" t="str">
        <v>2.xlsx | 订单!Q704</v>
      </c>
    </row>
    <row r="974" ht="26" customHeight="1">
      <c r="A974" s="2" t="str">
        <v>S2-00701-BH</v>
      </c>
      <c r="B974" s="2" t="str">
        <v>INP1503</v>
      </c>
      <c r="C974" s="20" t="str">
        <v>Ấm đun nước 5L INP1503</v>
      </c>
      <c r="D974" s="2" t="str"/>
      <c r="E974" s="2" t="str">
        <v>60</v>
      </c>
      <c r="F974" s="2" t="str">
        <v>129629.63</v>
      </c>
      <c r="G974" s="19" t="n">
        <v>8400000</v>
      </c>
      <c r="H974" s="2" t="str">
        <v>2.xlsx | 订单!Q705</v>
      </c>
    </row>
    <row r="975" ht="26" customHeight="1">
      <c r="A975" s="2" t="str">
        <v>S2-00701-BH</v>
      </c>
      <c r="B975" s="2" t="str">
        <v>INP2101</v>
      </c>
      <c r="C975" s="20" t="str">
        <v>Chảo inox chống dính đúc nguyên khốiINP2101</v>
      </c>
      <c r="D975" s="2" t="str"/>
      <c r="E975" s="2" t="str">
        <v>20</v>
      </c>
      <c r="F975" s="2" t="str">
        <v>234259.26</v>
      </c>
      <c r="G975" s="19" t="n">
        <v>5060000</v>
      </c>
      <c r="H975" s="2" t="str">
        <v>2.xlsx | 订单!Q706</v>
      </c>
    </row>
    <row r="976" ht="26" customHeight="1">
      <c r="A976" s="2" t="str">
        <v>S2-00701-BH</v>
      </c>
      <c r="B976" s="2" t="str">
        <v>INP2102</v>
      </c>
      <c r="C976" s="20" t="str">
        <v>	Chảo inox chống dính đúc nguyên khốiINP2102</v>
      </c>
      <c r="D976" s="2" t="str"/>
      <c r="E976" s="2" t="str">
        <v>20</v>
      </c>
      <c r="F976" s="2" t="str">
        <v>256481.48</v>
      </c>
      <c r="G976" s="19" t="n">
        <v>5540000</v>
      </c>
      <c r="H976" s="2" t="str">
        <v>2.xlsx | 订单!Q707</v>
      </c>
    </row>
    <row r="977" ht="26" customHeight="1">
      <c r="A977" s="2" t="str">
        <v>S2-00701-BH</v>
      </c>
      <c r="B977" s="2" t="str">
        <v>INP2103</v>
      </c>
      <c r="C977" s="20" t="str">
        <v>	Chảo inox chống dính đúc nguyên khốiINP2103</v>
      </c>
      <c r="D977" s="2" t="str"/>
      <c r="E977" s="2" t="str">
        <v>20</v>
      </c>
      <c r="F977" s="2" t="str">
        <v>281481.48</v>
      </c>
      <c r="G977" s="19" t="n">
        <v>6080000</v>
      </c>
      <c r="H977" s="2" t="str">
        <v>2.xlsx | 订单!Q708</v>
      </c>
    </row>
    <row r="978" ht="26" customHeight="1">
      <c r="A978" s="2" t="str">
        <v>S2-00701-BH</v>
      </c>
      <c r="B978" s="2" t="str">
        <v>INP2105</v>
      </c>
      <c r="C978" s="20" t="str">
        <v>	Chảo inox chống dính đúc nguyên khốiINP2105</v>
      </c>
      <c r="D978" s="2" t="str"/>
      <c r="E978" s="2" t="str">
        <v>20</v>
      </c>
      <c r="F978" s="2" t="str">
        <v>227777.78</v>
      </c>
      <c r="G978" s="19" t="n">
        <v>4920000</v>
      </c>
      <c r="H978" s="2" t="str">
        <v>2.xlsx | 订单!Q709</v>
      </c>
    </row>
    <row r="979" ht="26" customHeight="1">
      <c r="A979" s="2" t="str">
        <v>S2-00701-BH</v>
      </c>
      <c r="B979" s="2" t="str">
        <v>INP2106</v>
      </c>
      <c r="C979" s="20" t="str">
        <v>	Chảo inox chống dính đúc nguyên khốiINP2106</v>
      </c>
      <c r="D979" s="2" t="str"/>
      <c r="E979" s="2" t="str">
        <v>20</v>
      </c>
      <c r="F979" s="2" t="str">
        <v>252777.78</v>
      </c>
      <c r="G979" s="19" t="n">
        <v>5460000</v>
      </c>
      <c r="H979" s="2" t="str">
        <v>2.xlsx | 订单!Q710</v>
      </c>
    </row>
    <row r="980" ht="26" customHeight="1">
      <c r="A980" s="2" t="str">
        <v>S2-00701-BH</v>
      </c>
      <c r="B980" s="2" t="str">
        <v>INP2108</v>
      </c>
      <c r="C980" s="20" t="str">
        <v>	Chảo inox chống dính đúc nguyên khốiINP2108</v>
      </c>
      <c r="D980" s="2" t="str"/>
      <c r="E980" s="2" t="str">
        <v>20</v>
      </c>
      <c r="F980" s="2" t="str">
        <v>256481.48</v>
      </c>
      <c r="G980" s="19" t="n">
        <v>5540000</v>
      </c>
      <c r="H980" s="2" t="str">
        <v>2.xlsx | 订单!Q711</v>
      </c>
    </row>
    <row r="981" ht="26" customHeight="1">
      <c r="A981" s="2" t="str">
        <v>S2-00701-BH</v>
      </c>
      <c r="B981" s="2" t="str">
        <v>INP2109</v>
      </c>
      <c r="C981" s="20" t="str">
        <v>	Chảo inox chống dính đúc nguyên khốiINP2109</v>
      </c>
      <c r="D981" s="2" t="str"/>
      <c r="E981" s="2" t="str">
        <v>20</v>
      </c>
      <c r="F981" s="2" t="str">
        <v>227777.78</v>
      </c>
      <c r="G981" s="19" t="n">
        <v>4920000</v>
      </c>
      <c r="H981" s="2" t="str">
        <v>2.xlsx | 订单!Q712</v>
      </c>
    </row>
    <row r="982" ht="26" customHeight="1">
      <c r="A982" s="2" t="str">
        <v>S2-00701-BH</v>
      </c>
      <c r="B982" s="2" t="str">
        <v>INP2110</v>
      </c>
      <c r="C982" s="20" t="str">
        <v>	Chảo inox chống dính đúc nguyên khốiINP2110</v>
      </c>
      <c r="D982" s="2" t="str"/>
      <c r="E982" s="2" t="str">
        <v>20</v>
      </c>
      <c r="F982" s="2" t="str">
        <v>252777.78</v>
      </c>
      <c r="G982" s="19" t="n">
        <v>5460000</v>
      </c>
      <c r="H982" s="2" t="str">
        <v>2.xlsx | 订单!Q713</v>
      </c>
    </row>
    <row r="983" ht="26" customHeight="1">
      <c r="A983" s="2" t="str">
        <v>S2-00701-BH</v>
      </c>
      <c r="B983" s="2" t="str">
        <v>INP2111</v>
      </c>
      <c r="C983" s="20" t="str">
        <v>	Chảo inox chống dính đúc nguyên khốiINP2111</v>
      </c>
      <c r="D983" s="2" t="str"/>
      <c r="E983" s="2" t="str">
        <v>20</v>
      </c>
      <c r="F983" s="2" t="str">
        <v>277777.78</v>
      </c>
      <c r="G983" s="19" t="n">
        <v>6000000</v>
      </c>
      <c r="H983" s="2" t="str">
        <v>2.xlsx | 订单!Q714</v>
      </c>
    </row>
    <row r="984" ht="26" customHeight="1">
      <c r="A984" s="2" t="str">
        <v>S2-00701-BH</v>
      </c>
      <c r="B984" s="2" t="str">
        <v>INP2202</v>
      </c>
      <c r="C984" s="20" t="str">
        <v>Nồi luộc gà inox đúc nguyên khốiINP2202</v>
      </c>
      <c r="D984" s="2" t="str"/>
      <c r="E984" s="2" t="str">
        <v>20</v>
      </c>
      <c r="F984" s="2" t="str">
        <v>844444.44</v>
      </c>
      <c r="G984" s="19" t="n">
        <v>18240000</v>
      </c>
      <c r="H984" s="2" t="str">
        <v>2.xlsx | 订单!Q715</v>
      </c>
    </row>
    <row r="985" ht="26" customHeight="1">
      <c r="A985" s="2" t="str">
        <v>S2-00701-BH</v>
      </c>
      <c r="B985" s="2" t="str">
        <v>INP3001</v>
      </c>
      <c r="C985" s="20" t="str">
        <v>Nồi gang tráng menINP3001</v>
      </c>
      <c r="D985" s="2" t="str"/>
      <c r="E985" s="2" t="str">
        <v>6</v>
      </c>
      <c r="F985" s="2" t="str">
        <v>659259.26</v>
      </c>
      <c r="G985" s="19" t="n">
        <v>4272000</v>
      </c>
      <c r="H985" s="2" t="str">
        <v>2.xlsx | 订单!Q716</v>
      </c>
    </row>
    <row r="986" ht="26" customHeight="1">
      <c r="A986" s="2" t="str">
        <v>S2-00701-BH</v>
      </c>
      <c r="B986" s="2" t="str">
        <v>INP3002</v>
      </c>
      <c r="C986" s="20" t="str">
        <v>Nồi gang tráng menINP3002</v>
      </c>
      <c r="D986" s="2" t="str"/>
      <c r="E986" s="2" t="str">
        <v>6</v>
      </c>
      <c r="F986" s="2" t="str">
        <v>569444.44</v>
      </c>
      <c r="G986" s="19" t="n">
        <v>3690000</v>
      </c>
      <c r="H986" s="2" t="str">
        <v>2.xlsx | 订单!Q717</v>
      </c>
    </row>
    <row r="987" ht="26" customHeight="1">
      <c r="A987" s="2" t="str">
        <v>S2-00701-BH</v>
      </c>
      <c r="B987" s="2" t="str">
        <v>INP3003</v>
      </c>
      <c r="C987" s="20" t="str">
        <v>Nồi gang tráng menINP3003</v>
      </c>
      <c r="D987" s="2" t="str"/>
      <c r="E987" s="2" t="str">
        <v>20</v>
      </c>
      <c r="F987" s="2" t="str">
        <v>564814.81</v>
      </c>
      <c r="G987" s="19" t="n">
        <v>12200000</v>
      </c>
      <c r="H987" s="2" t="str">
        <v>2.xlsx | 订单!Q718</v>
      </c>
    </row>
    <row r="988" ht="26" customHeight="1">
      <c r="A988" s="2" t="str">
        <v>S2-00701-BH</v>
      </c>
      <c r="B988" s="2" t="str">
        <v>INP3004</v>
      </c>
      <c r="C988" s="20" t="str">
        <v>Nồi gang tráng menINP3004</v>
      </c>
      <c r="D988" s="2" t="str"/>
      <c r="E988" s="2" t="str">
        <v>20</v>
      </c>
      <c r="F988" s="2" t="str">
        <v>358333.33</v>
      </c>
      <c r="G988" s="19" t="n">
        <v>7740000</v>
      </c>
      <c r="H988" s="2" t="str">
        <v>2.xlsx | 订单!Q719</v>
      </c>
    </row>
    <row r="989" ht="26" customHeight="1">
      <c r="A989" s="2" t="str">
        <v>S2-00701-BH</v>
      </c>
      <c r="B989" s="2" t="str">
        <v>INP3005</v>
      </c>
      <c r="C989" s="20" t="str">
        <v>Nồi gang tráng menINP3005</v>
      </c>
      <c r="D989" s="2" t="str"/>
      <c r="E989" s="2" t="str">
        <v>20</v>
      </c>
      <c r="F989" s="2" t="str">
        <v>398148.15</v>
      </c>
      <c r="G989" s="19" t="n">
        <v>8600000</v>
      </c>
      <c r="H989" s="2" t="str">
        <v>2.xlsx | 订单!Q720</v>
      </c>
    </row>
    <row r="990" ht="26" customHeight="1">
      <c r="A990" s="2" t="str">
        <v>S2-00701-BH</v>
      </c>
      <c r="B990" s="2" t="str">
        <v>INP3201</v>
      </c>
      <c r="C990" s="20" t="str">
        <v>Chảo gang tráng menINP3201</v>
      </c>
      <c r="D990" s="2" t="str"/>
      <c r="E990" s="2" t="str">
        <v>30</v>
      </c>
      <c r="F990" s="2" t="str">
        <v>194444.44</v>
      </c>
      <c r="G990" s="19" t="n">
        <v>6300000</v>
      </c>
      <c r="H990" s="2" t="str">
        <v>2.xlsx | 订单!Q721</v>
      </c>
    </row>
    <row r="991" ht="26" customHeight="1">
      <c r="A991" s="2" t="str">
        <v>S2-00701-BH</v>
      </c>
      <c r="B991" s="2" t="str">
        <v>INP6601</v>
      </c>
      <c r="C991" s="20" t="str">
        <v>Máy sấy bát đĩa INP6601</v>
      </c>
      <c r="D991" s="2" t="str"/>
      <c r="E991" s="2" t="str">
        <v>10</v>
      </c>
      <c r="F991" s="2" t="str">
        <v>1203703.7</v>
      </c>
      <c r="G991" s="19" t="n">
        <v>13000000</v>
      </c>
      <c r="H991" s="2" t="str">
        <v>2.xlsx | 订单!Q722</v>
      </c>
    </row>
    <row r="992" ht="26" customHeight="1">
      <c r="A992" s="2" t="str">
        <v>S2-00701-BH</v>
      </c>
      <c r="B992" s="2" t="str">
        <v>INP6602</v>
      </c>
      <c r="C992" s="20" t="str">
        <v>	
Máy sấy bát đĩa INP 6602</v>
      </c>
      <c r="D992" s="2" t="str"/>
      <c r="E992" s="2" t="str">
        <v>10</v>
      </c>
      <c r="F992" s="2" t="str">
        <v>1361111.11</v>
      </c>
      <c r="G992" s="19" t="n">
        <v>14700000</v>
      </c>
      <c r="H992" s="2" t="str">
        <v>2.xlsx | 订单!Q723</v>
      </c>
    </row>
    <row r="993" ht="26" customHeight="1">
      <c r="A993" s="2" t="str">
        <v>S2-00701-BH</v>
      </c>
      <c r="B993" s="2" t="str">
        <v>INP1003</v>
      </c>
      <c r="C993" s="20" t="str">
        <v>Bộ nồi  Inox INP1003</v>
      </c>
      <c r="D993" s="2" t="str"/>
      <c r="E993" s="2" t="str">
        <v>40</v>
      </c>
      <c r="F993" s="2" t="str">
        <v>324074</v>
      </c>
      <c r="G993" s="19" t="n">
        <v>13999996</v>
      </c>
      <c r="H993" s="2" t="str">
        <v>2.xlsx | 订单!Q724</v>
      </c>
    </row>
    <row r="994" ht="26" customHeight="1">
      <c r="A994" s="2" t="str">
        <v>S2-00726-BH</v>
      </c>
      <c r="B994" s="2" t="str">
        <v>INP1003</v>
      </c>
      <c r="C994" s="20" t="str">
        <v>Bộ nồi  Inox INP1003</v>
      </c>
      <c r="D994" s="2" t="str"/>
      <c r="E994" s="2" t="str">
        <v>100</v>
      </c>
      <c r="F994" s="2" t="str">
        <v>324074.07</v>
      </c>
      <c r="G994" s="19" t="n">
        <v>34999999</v>
      </c>
      <c r="H994" s="2" t="str">
        <v>2.xlsx | 订单!Q726</v>
      </c>
    </row>
    <row r="995" ht="26" customHeight="1">
      <c r="A995" s="2" t="str">
        <v>S2-00737-BH</v>
      </c>
      <c r="B995" s="2" t="str">
        <v>INP2202</v>
      </c>
      <c r="C995" s="20" t="str">
        <v>Nồi luộc gà inox đúc nguyên khốiINP2202</v>
      </c>
      <c r="D995" s="2" t="str"/>
      <c r="E995" s="2" t="str">
        <v>10</v>
      </c>
      <c r="F995" s="2" t="str">
        <v>844444.45</v>
      </c>
      <c r="G995" s="19" t="n">
        <v>9120000</v>
      </c>
      <c r="H995" s="2" t="str">
        <v>2.xlsx | 订单!Q737</v>
      </c>
    </row>
    <row r="996" ht="26" customHeight="1">
      <c r="A996" s="2" t="str">
        <v>S2-00737-BH</v>
      </c>
      <c r="B996" s="2" t="str">
        <v>INP2003</v>
      </c>
      <c r="C996" s="20" t="str">
        <v>Bộ nồi inox INP2003</v>
      </c>
      <c r="D996" s="2" t="str"/>
      <c r="E996" s="2" t="str">
        <v>8</v>
      </c>
      <c r="F996" s="2" t="str">
        <v>1185185.18</v>
      </c>
      <c r="G996" s="19" t="n">
        <v>10240000</v>
      </c>
      <c r="H996" s="2" t="str">
        <v>2.xlsx | 订单!Q738</v>
      </c>
    </row>
    <row r="997" ht="26" customHeight="1">
      <c r="A997" s="2" t="str">
        <v>S2-00739-BH</v>
      </c>
      <c r="B997" s="2" t="str">
        <v>INP6701</v>
      </c>
      <c r="C997" s="20" t="str">
        <v>Máy xay thực phẩm INP6701</v>
      </c>
      <c r="D997" s="2" t="str"/>
      <c r="E997" s="2" t="str">
        <v>64</v>
      </c>
      <c r="F997" s="2" t="str">
        <v>361111.11</v>
      </c>
      <c r="G997" s="19" t="n">
        <v>24960000</v>
      </c>
      <c r="H997" s="2" t="str">
        <v>2.xlsx | 订单!Q739</v>
      </c>
    </row>
    <row r="998" ht="26" customHeight="1">
      <c r="A998" s="2" t="str">
        <v>S2-00729-BH</v>
      </c>
      <c r="B998" s="2" t="str">
        <v>INP1001</v>
      </c>
      <c r="C998" s="20" t="str">
        <v>	
Bộ nồi inox INP1001</v>
      </c>
      <c r="D998" s="2" t="str"/>
      <c r="E998" s="2" t="str">
        <v>20</v>
      </c>
      <c r="F998" s="2" t="str">
        <v>480555.55</v>
      </c>
      <c r="G998" s="19" t="n">
        <v>10380000</v>
      </c>
      <c r="H998" s="2" t="str">
        <v>2.xlsx | 订单!Q729</v>
      </c>
    </row>
    <row r="999" ht="26" customHeight="1">
      <c r="A999" s="2" t="str">
        <v>S2-00729-BH</v>
      </c>
      <c r="B999" s="2" t="str">
        <v>INP1101</v>
      </c>
      <c r="C999" s="20" t="str">
        <v>	
Bộ nồi inox  INP1101</v>
      </c>
      <c r="D999" s="2" t="str"/>
      <c r="E999" s="2" t="str">
        <v>20</v>
      </c>
      <c r="F999" s="2" t="str">
        <v>483333.33</v>
      </c>
      <c r="G999" s="19" t="n">
        <v>10440000</v>
      </c>
      <c r="H999" s="2" t="str">
        <v>2.xlsx | 订单!Q730</v>
      </c>
    </row>
    <row r="1000" ht="26" customHeight="1">
      <c r="A1000" s="2" t="str">
        <v>S2-00729-BH</v>
      </c>
      <c r="B1000" s="2" t="str">
        <v>INP1002</v>
      </c>
      <c r="C1000" s="20" t="str">
        <v>Bộ nồi inox INP1002</v>
      </c>
      <c r="D1000" s="2" t="str"/>
      <c r="E1000" s="2" t="str">
        <v>10</v>
      </c>
      <c r="F1000" s="2" t="str">
        <v>647222.22</v>
      </c>
      <c r="G1000" s="19" t="n">
        <v>6990000</v>
      </c>
      <c r="H1000" s="2" t="str">
        <v>2.xlsx | 订单!Q731</v>
      </c>
    </row>
    <row r="1001" ht="26" customHeight="1">
      <c r="A1001" s="2" t="str">
        <v>S2-00729-BH</v>
      </c>
      <c r="B1001" s="2" t="str">
        <v>INP2003</v>
      </c>
      <c r="C1001" s="20" t="str">
        <v>Bộ nồi inox đúc nguyên khối INP2003 </v>
      </c>
      <c r="D1001" s="2" t="str"/>
      <c r="E1001" s="2" t="str">
        <v>10</v>
      </c>
      <c r="F1001" s="2" t="str">
        <v>1185185.18</v>
      </c>
      <c r="G1001" s="19" t="n">
        <v>12800000</v>
      </c>
      <c r="H1001" s="2" t="str">
        <v>2.xlsx | 订单!Q732</v>
      </c>
    </row>
    <row r="1002" ht="26" customHeight="1">
      <c r="A1002" s="2" t="str">
        <v>S2-00729-BH</v>
      </c>
      <c r="B1002" s="2" t="str">
        <v>INP1003</v>
      </c>
      <c r="C1002" s="20" t="str">
        <v>	
Bộ nồi  Inox INP1003 </v>
      </c>
      <c r="D1002" s="2" t="str"/>
      <c r="E1002" s="2" t="str">
        <v>100</v>
      </c>
      <c r="F1002" s="2" t="str">
        <v>324074.07</v>
      </c>
      <c r="G1002" s="19" t="n">
        <v>34999999</v>
      </c>
      <c r="H1002" s="2" t="str">
        <v>2.xlsx | 订单!Q733</v>
      </c>
    </row>
    <row r="1003" ht="26" customHeight="1">
      <c r="A1003" s="2" t="str">
        <v>S2-00772-TH</v>
      </c>
      <c r="B1003" s="2" t="str">
        <v>INP1003</v>
      </c>
      <c r="C1003" s="20" t="str">
        <v>	
Bộ nồi  Inox INP1003 </v>
      </c>
      <c r="D1003" s="2" t="str"/>
      <c r="E1003" s="2" t="str">
        <v>-20</v>
      </c>
      <c r="F1003" s="2" t="str">
        <v>324074.07</v>
      </c>
      <c r="G1003" s="19" t="n">
        <v>7000000</v>
      </c>
      <c r="H1003" s="2" t="str">
        <v>2.xlsx | 订单!Q772</v>
      </c>
    </row>
    <row r="1004" ht="26" customHeight="1">
      <c r="A1004" s="2" t="str">
        <v>S2-00742-BH</v>
      </c>
      <c r="B1004" s="2" t="str">
        <v>INP1003</v>
      </c>
      <c r="C1004" s="20" t="str">
        <v>	
Bộ nồi  Inox INP1003 </v>
      </c>
      <c r="D1004" s="2" t="str"/>
      <c r="E1004" s="2" t="str">
        <v>40</v>
      </c>
      <c r="F1004" s="2" t="str">
        <v>324074.07</v>
      </c>
      <c r="G1004" s="19" t="n">
        <v>14000000</v>
      </c>
      <c r="H1004" s="2" t="str">
        <v>2.xlsx | 订单!Q742</v>
      </c>
    </row>
    <row r="1005" ht="26" customHeight="1">
      <c r="A1005" s="2" t="str">
        <v>S2-00744-BH</v>
      </c>
      <c r="B1005" s="2" t="str">
        <v>INP6202</v>
      </c>
      <c r="C1005" s="20" t="str">
        <v>
Ấm điện siêu tốc INP6202 1,7 lít màu đen</v>
      </c>
      <c r="D1005" s="2" t="str"/>
      <c r="E1005" s="2" t="str">
        <v>36</v>
      </c>
      <c r="F1005" s="2" t="str">
        <v>325925.93</v>
      </c>
      <c r="G1005" s="19" t="n">
        <v>12672000</v>
      </c>
      <c r="H1005" s="2" t="str">
        <v>2.xlsx | 订单!Q744</v>
      </c>
    </row>
    <row r="1006" ht="26" customHeight="1">
      <c r="A1006" s="2" t="str">
        <v>S2-00744-BH</v>
      </c>
      <c r="B1006" s="2" t="str">
        <v>INP6206</v>
      </c>
      <c r="C1006" s="20" t="str">
        <v> Ấm đun nước INP6206, 1.7L</v>
      </c>
      <c r="D1006" s="2" t="str"/>
      <c r="E1006" s="2" t="str">
        <v>36</v>
      </c>
      <c r="F1006" s="2" t="str">
        <v>263888.89</v>
      </c>
      <c r="G1006" s="19" t="n">
        <v>10260000</v>
      </c>
      <c r="H1006" s="2" t="str">
        <v>2.xlsx | 订单!Q745</v>
      </c>
    </row>
    <row r="1007" ht="26" customHeight="1">
      <c r="A1007" s="2" t="str">
        <v>S2-00746-BH</v>
      </c>
      <c r="B1007" s="2" t="str">
        <v>INP1003</v>
      </c>
      <c r="C1007" s="20" t="str">
        <v>	
Bộ nồi  Inox INP1003 </v>
      </c>
      <c r="D1007" s="2" t="str"/>
      <c r="E1007" s="2" t="str">
        <v>40</v>
      </c>
      <c r="F1007" s="2" t="str">
        <v>324074.07</v>
      </c>
      <c r="G1007" s="19" t="n">
        <v>14000000</v>
      </c>
      <c r="H1007" s="2" t="str">
        <v>2.xlsx | 订单!Q746</v>
      </c>
    </row>
    <row r="1008" ht="26" customHeight="1">
      <c r="A1008" s="2" t="str">
        <v>S2-00746-BH</v>
      </c>
      <c r="B1008" s="2" t="str">
        <v>INP6001</v>
      </c>
      <c r="C1008" s="20" t="str">
        <v>Nồi cơm điện tử (Nồi cơm điện đa năng giảm
đường) INP6001</v>
      </c>
      <c r="D1008" s="2" t="str"/>
      <c r="E1008" s="2" t="str">
        <v>4</v>
      </c>
      <c r="F1008" s="2" t="str">
        <v>1138888.89</v>
      </c>
      <c r="G1008" s="19" t="n">
        <v>4920000</v>
      </c>
      <c r="H1008" s="2" t="str">
        <v>2.xlsx | 订单!Q747</v>
      </c>
    </row>
    <row r="1009" ht="26" customHeight="1">
      <c r="A1009" s="2" t="str">
        <v>S2-00746-BH</v>
      </c>
      <c r="B1009" s="2" t="str">
        <v>INP6003</v>
      </c>
      <c r="C1009" s="20" t="str">
        <v>Nồi cơm điện tử (Nồi cơm điện đa năng giảm
đường) INP6003</v>
      </c>
      <c r="D1009" s="2" t="str"/>
      <c r="E1009" s="2" t="str">
        <v>8</v>
      </c>
      <c r="F1009" s="2" t="str">
        <v>851851.85</v>
      </c>
      <c r="G1009" s="19" t="n">
        <v>7360000</v>
      </c>
      <c r="H1009" s="2" t="str">
        <v>2.xlsx | 订单!Q748</v>
      </c>
    </row>
    <row r="1010" ht="26" customHeight="1">
      <c r="A1010" s="2" t="str">
        <v>S2-00746-BH</v>
      </c>
      <c r="B1010" s="2" t="str">
        <v>INP2109</v>
      </c>
      <c r="C1010" s="20" t="str">
        <v>	Chảo inox chống dính đúc nguyên khốiINP2109</v>
      </c>
      <c r="D1010" s="2" t="str"/>
      <c r="E1010" s="2" t="str">
        <v>30</v>
      </c>
      <c r="F1010" s="2" t="str">
        <v>240740.74</v>
      </c>
      <c r="G1010" s="19" t="n">
        <v>7800000</v>
      </c>
      <c r="H1010" s="2" t="str">
        <v>2.xlsx | 订单!Q749</v>
      </c>
    </row>
    <row r="1011" ht="26" customHeight="1">
      <c r="A1011" s="2" t="str">
        <v>S2-00746-BH</v>
      </c>
      <c r="B1011" s="2" t="str">
        <v>INP2110</v>
      </c>
      <c r="C1011" s="20" t="str">
        <v>	Chảo inox chống dính đúc nguyên khốiINP2110</v>
      </c>
      <c r="D1011" s="2" t="str"/>
      <c r="E1011" s="2" t="str">
        <v>30</v>
      </c>
      <c r="F1011" s="2" t="str">
        <v>259259.26</v>
      </c>
      <c r="G1011" s="19" t="n">
        <v>8400000</v>
      </c>
      <c r="H1011" s="2" t="str">
        <v>2.xlsx | 订单!Q750</v>
      </c>
    </row>
    <row r="1012" ht="26" customHeight="1">
      <c r="A1012" s="2" t="str">
        <v>S2-00746-BH</v>
      </c>
      <c r="B1012" s="2" t="str">
        <v>INP2111</v>
      </c>
      <c r="C1012" s="20" t="str">
        <v>	Chảo inox chống dính đúc nguyên khốiINP2111</v>
      </c>
      <c r="D1012" s="2" t="str"/>
      <c r="E1012" s="2" t="str">
        <v>30</v>
      </c>
      <c r="F1012" s="2" t="str">
        <v>277777.78</v>
      </c>
      <c r="G1012" s="19" t="n">
        <v>9000000</v>
      </c>
      <c r="H1012" s="2" t="str">
        <v>2.xlsx | 订单!Q751</v>
      </c>
    </row>
    <row r="1013" ht="26" customHeight="1">
      <c r="A1013" s="2" t="str">
        <v>S2-00746-BH</v>
      </c>
      <c r="B1013" s="2" t="str">
        <v>INP6101</v>
      </c>
      <c r="C1013" s="20" t="str">
        <v>Bếp từ đơn INP6101( 2200W, mặt kính màu sữa )</v>
      </c>
      <c r="D1013" s="2" t="str"/>
      <c r="E1013" s="2" t="str">
        <v>6</v>
      </c>
      <c r="F1013" s="2" t="str">
        <v>601851.85</v>
      </c>
      <c r="G1013" s="19" t="n">
        <v>3900000</v>
      </c>
      <c r="H1013" s="2" t="str">
        <v>2.xlsx | 订单!Q752</v>
      </c>
    </row>
    <row r="1014" ht="26" customHeight="1">
      <c r="A1014" s="2" t="str">
        <v>S2-00746-BH</v>
      </c>
      <c r="B1014" s="2" t="str">
        <v>INP6102</v>
      </c>
      <c r="C1014" s="20" t="str">
        <v>Bếp từ đơn INP6102 ( 2500W), 2 quạt tản</v>
      </c>
      <c r="D1014" s="2" t="str"/>
      <c r="E1014" s="2" t="str">
        <v>6</v>
      </c>
      <c r="F1014" s="2" t="str">
        <v>937962.96</v>
      </c>
      <c r="G1014" s="19" t="n">
        <v>6078000</v>
      </c>
      <c r="H1014" s="2" t="str">
        <v>2.xlsx | 订单!Q753</v>
      </c>
    </row>
    <row r="1015" ht="26" customHeight="1">
      <c r="A1015" s="2" t="str">
        <v>S2-00746-BH</v>
      </c>
      <c r="B1015" s="2" t="str">
        <v>INP6103</v>
      </c>
      <c r="C1015" s="20" t="str">
        <v>Bếp từ đơn INP6103</v>
      </c>
      <c r="D1015" s="2" t="str"/>
      <c r="E1015" s="2" t="str">
        <v>6</v>
      </c>
      <c r="F1015" s="2" t="str">
        <v>799074.07</v>
      </c>
      <c r="G1015" s="19" t="n">
        <v>5178000</v>
      </c>
      <c r="H1015" s="2" t="str">
        <v>2.xlsx | 订单!Q754</v>
      </c>
    </row>
    <row r="1016" ht="26" customHeight="1">
      <c r="A1016" s="2" t="str">
        <v>S2-00746-BH</v>
      </c>
      <c r="B1016" s="2" t="str">
        <v>INP6104</v>
      </c>
      <c r="C1016" s="20" t="str">
        <v>Bếp từ đơn INP6104 ( 2500W ) </v>
      </c>
      <c r="D1016" s="2" t="str">
        <v>Cái</v>
      </c>
      <c r="E1016" s="2" t="str">
        <v>6</v>
      </c>
      <c r="F1016" s="2" t="str">
        <v>1007407.41</v>
      </c>
      <c r="G1016" s="19" t="n">
        <v>6528000</v>
      </c>
      <c r="H1016" s="2" t="str">
        <v>2.xlsx | 订单!Q755</v>
      </c>
    </row>
    <row r="1017" ht="26" customHeight="1">
      <c r="A1017" s="2" t="str">
        <v>S2-00746-BH</v>
      </c>
      <c r="B1017" s="2" t="str">
        <v>INP6201</v>
      </c>
      <c r="C1017" s="20" t="str">
        <v>Ấm điện siêu tốc INP6201 1,7 lít màu ghi</v>
      </c>
      <c r="D1017" s="2" t="str"/>
      <c r="E1017" s="2" t="str">
        <v>12</v>
      </c>
      <c r="F1017" s="2" t="str">
        <v>324074.07</v>
      </c>
      <c r="G1017" s="19" t="n">
        <v>4200000</v>
      </c>
      <c r="H1017" s="2" t="str">
        <v>2.xlsx | 订单!Q756</v>
      </c>
    </row>
    <row r="1018" ht="26" customHeight="1">
      <c r="A1018" s="2" t="str">
        <v>S2-00746-BH</v>
      </c>
      <c r="B1018" s="2" t="str">
        <v>INP6203</v>
      </c>
      <c r="C1018" s="20" t="str">
        <v>Ấm đun nước INP6203, 1.7L</v>
      </c>
      <c r="D1018" s="2" t="str"/>
      <c r="E1018" s="2" t="str">
        <v>12</v>
      </c>
      <c r="F1018" s="2" t="str">
        <v>349074.07</v>
      </c>
      <c r="G1018" s="19" t="n">
        <v>4524000</v>
      </c>
      <c r="H1018" s="2" t="str">
        <v>2.xlsx | 订单!Q757</v>
      </c>
    </row>
    <row r="1019" ht="26" customHeight="1">
      <c r="A1019" s="2" t="str">
        <v>S2-00746-BH</v>
      </c>
      <c r="B1019" s="2" t="str">
        <v>INP6204</v>
      </c>
      <c r="C1019" s="20" t="str">
        <v> Ấm đun nước INP6204, 1.0L</v>
      </c>
      <c r="D1019" s="2" t="str"/>
      <c r="E1019" s="2" t="str">
        <v>12</v>
      </c>
      <c r="F1019" s="2" t="str">
        <v>284259.26</v>
      </c>
      <c r="G1019" s="19" t="n">
        <v>3684000</v>
      </c>
      <c r="H1019" s="2" t="str">
        <v>2.xlsx | 订单!Q758</v>
      </c>
    </row>
    <row r="1020" ht="26" customHeight="1">
      <c r="A1020" s="2" t="str">
        <v>S2-00746-BH</v>
      </c>
      <c r="B1020" s="2" t="str">
        <v>INP6205</v>
      </c>
      <c r="C1020" s="20" t="str">
        <v> Ấm đun nước INP6205, 1.0L</v>
      </c>
      <c r="D1020" s="2" t="str"/>
      <c r="E1020" s="2" t="str">
        <v>12</v>
      </c>
      <c r="F1020" s="2" t="str">
        <v>280555.56</v>
      </c>
      <c r="G1020" s="19" t="n">
        <v>3636000</v>
      </c>
      <c r="H1020" s="2" t="str">
        <v>2.xlsx | 订单!Q759</v>
      </c>
    </row>
    <row r="1021" ht="26" customHeight="1">
      <c r="A1021" s="2" t="str">
        <v>S2-00762-TH</v>
      </c>
      <c r="B1021" s="2" t="str">
        <v>INP3201</v>
      </c>
      <c r="C1021" s="20" t="str">
        <v>Chảo gang tráng menINP3201</v>
      </c>
      <c r="D1021" s="2" t="str"/>
      <c r="E1021" s="2" t="str">
        <v>-22</v>
      </c>
      <c r="F1021" s="2" t="str">
        <v>194444.44</v>
      </c>
      <c r="G1021" s="19" t="n">
        <v>4620000</v>
      </c>
      <c r="H1021" s="2" t="str">
        <v>2.xlsx | 订单!Q762</v>
      </c>
    </row>
    <row r="1022" ht="26" customHeight="1">
      <c r="A1022" s="2" t="str">
        <v>S2-00763-BH</v>
      </c>
      <c r="B1022" s="2" t="str">
        <v>INP2101</v>
      </c>
      <c r="C1022" s="20" t="str">
        <v>	Chảo inox chống dính đúc nguyên khốiINP2101</v>
      </c>
      <c r="D1022" s="2" t="str"/>
      <c r="E1022" s="2" t="str">
        <v>40</v>
      </c>
      <c r="F1022" s="2" t="str">
        <v>234259.26</v>
      </c>
      <c r="G1022" s="19" t="n">
        <v>10120000</v>
      </c>
      <c r="H1022" s="2" t="str">
        <v>2.xlsx | 订单!Q763</v>
      </c>
    </row>
    <row r="1023" ht="26" customHeight="1">
      <c r="A1023" s="2" t="str">
        <v>S2-00763-BH</v>
      </c>
      <c r="B1023" s="2" t="str">
        <v>INP2102</v>
      </c>
      <c r="C1023" s="20" t="str">
        <v>	Chảo inox chống dính đúc nguyên khốiINP2102</v>
      </c>
      <c r="D1023" s="2" t="str"/>
      <c r="E1023" s="2" t="str">
        <v>40</v>
      </c>
      <c r="F1023" s="2" t="str">
        <v>256481.48</v>
      </c>
      <c r="G1023" s="19" t="n">
        <v>11080000</v>
      </c>
      <c r="H1023" s="2" t="str">
        <v>2.xlsx | 订单!Q764</v>
      </c>
    </row>
    <row r="1024" ht="26" customHeight="1">
      <c r="A1024" s="2" t="str">
        <v>S2-00763-BH</v>
      </c>
      <c r="B1024" s="2" t="str">
        <v>INP2103</v>
      </c>
      <c r="C1024" s="20" t="str">
        <v>	Chảo inox chống dính đúc nguyên khốiINP2103</v>
      </c>
      <c r="D1024" s="2" t="str"/>
      <c r="E1024" s="2" t="str">
        <v>40</v>
      </c>
      <c r="F1024" s="2" t="str">
        <v>281481.48</v>
      </c>
      <c r="G1024" s="19" t="n">
        <v>12160000</v>
      </c>
      <c r="H1024" s="2" t="str">
        <v>2.xlsx | 订单!Q765</v>
      </c>
    </row>
    <row r="1025" ht="26" customHeight="1">
      <c r="A1025" s="2" t="str">
        <v>S2-00763-BH</v>
      </c>
      <c r="B1025" s="2" t="str">
        <v>INP6001</v>
      </c>
      <c r="C1025" s="20" t="str">
        <v>Nồi cơm điện tử (Nồi cơm điện đa năng giảm
đường) INP6001</v>
      </c>
      <c r="D1025" s="2" t="str"/>
      <c r="E1025" s="2" t="str">
        <v>16</v>
      </c>
      <c r="F1025" s="2" t="str">
        <v>1138888.89</v>
      </c>
      <c r="G1025" s="19" t="n">
        <v>19680000</v>
      </c>
      <c r="H1025" s="2" t="str">
        <v>2.xlsx | 订单!Q766</v>
      </c>
    </row>
    <row r="1026" ht="26" customHeight="1">
      <c r="A1026" s="2" t="str">
        <v>S2-00763-BH</v>
      </c>
      <c r="B1026" s="2" t="str">
        <v>INP6002</v>
      </c>
      <c r="C1026" s="20" t="str">
        <v>Nồi cơm điện tử (Nồi cơm điện đa năng giảm
đường) INP6002</v>
      </c>
      <c r="D1026" s="2" t="str"/>
      <c r="E1026" s="2" t="str">
        <v>16</v>
      </c>
      <c r="F1026" s="2" t="str">
        <v>1097222.22</v>
      </c>
      <c r="G1026" s="19" t="n">
        <v>18960000</v>
      </c>
      <c r="H1026" s="2" t="str">
        <v>2.xlsx | 订单!Q767</v>
      </c>
    </row>
    <row r="1027" ht="26" customHeight="1">
      <c r="A1027" s="2" t="str">
        <v>S2-00763-BH</v>
      </c>
      <c r="B1027" s="2" t="str">
        <v>INP6103</v>
      </c>
      <c r="C1027" s="20" t="str">
        <v>Bếp từ đơn INP6103</v>
      </c>
      <c r="D1027" s="2" t="str"/>
      <c r="E1027" s="2" t="str">
        <v>12</v>
      </c>
      <c r="F1027" s="2" t="str">
        <v>799074.07</v>
      </c>
      <c r="G1027" s="19" t="n">
        <v>10356000</v>
      </c>
      <c r="H1027" s="2" t="str">
        <v>2.xlsx | 订单!Q768</v>
      </c>
    </row>
    <row r="1028" ht="26" customHeight="1">
      <c r="A1028" s="2" t="str">
        <v>S2-00770-BH</v>
      </c>
      <c r="B1028" s="2" t="str">
        <v>INP2104</v>
      </c>
      <c r="C1028" s="20" t="str">
        <v>	Chảo inox chống dính đúc nguyên khốiINP2104</v>
      </c>
      <c r="D1028" s="2" t="str"/>
      <c r="E1028" s="2" t="str">
        <v>40</v>
      </c>
      <c r="F1028" s="2" t="str">
        <v>298148.15</v>
      </c>
      <c r="G1028" s="19" t="n">
        <v>12880000</v>
      </c>
      <c r="H1028" s="2" t="str">
        <v>2.xlsx | 订单!Q770</v>
      </c>
    </row>
    <row r="1029" ht="26" customHeight="1">
      <c r="A1029" s="2" t="str">
        <v>S2-00773-BH</v>
      </c>
      <c r="B1029" s="2" t="str">
        <v>INP6701</v>
      </c>
      <c r="C1029" s="20" t="str">
        <v>Máy xay thực phẩm INP6701</v>
      </c>
      <c r="D1029" s="2" t="str"/>
      <c r="E1029" s="2" t="str">
        <v>96</v>
      </c>
      <c r="F1029" s="2" t="str">
        <v>361111.11</v>
      </c>
      <c r="G1029" s="19" t="n">
        <v>37440000</v>
      </c>
      <c r="H1029" s="2" t="str">
        <v>2.xlsx | 订单!Q773</v>
      </c>
    </row>
    <row r="1030" ht="26" customHeight="1">
      <c r="A1030" s="2" t="str">
        <v>S2-00773-BH</v>
      </c>
      <c r="B1030" s="2" t="str">
        <v>INP2101</v>
      </c>
      <c r="C1030" s="20" t="str">
        <v>Chảo inox chống dính đúc nguyên khốiINP2101</v>
      </c>
      <c r="D1030" s="2" t="str"/>
      <c r="E1030" s="2" t="str">
        <v>30</v>
      </c>
      <c r="F1030" s="2" t="str">
        <v>234259.26</v>
      </c>
      <c r="G1030" s="19" t="n">
        <v>7590000</v>
      </c>
      <c r="H1030" s="2" t="str">
        <v>2.xlsx | 订单!Q774</v>
      </c>
    </row>
    <row r="1031" ht="26" customHeight="1">
      <c r="A1031" s="2" t="str">
        <v>S2-00773-BH</v>
      </c>
      <c r="B1031" s="2" t="str">
        <v>INP2102</v>
      </c>
      <c r="C1031" s="20" t="str">
        <v>Chảo inox chống dính đúc nguyên khốiINP2102</v>
      </c>
      <c r="D1031" s="2" t="str"/>
      <c r="E1031" s="2" t="str">
        <v>30</v>
      </c>
      <c r="F1031" s="2" t="str">
        <v>256481.48</v>
      </c>
      <c r="G1031" s="19" t="n">
        <v>8310000</v>
      </c>
      <c r="H1031" s="2" t="str">
        <v>2.xlsx | 订单!Q775</v>
      </c>
    </row>
    <row r="1032" ht="26" customHeight="1">
      <c r="A1032" s="2" t="str">
        <v>S2-00773-BH</v>
      </c>
      <c r="B1032" s="2" t="str">
        <v>INP2103</v>
      </c>
      <c r="C1032" s="20" t="str">
        <v>Chảo inox chống dính đúc nguyên khốiINP2103</v>
      </c>
      <c r="D1032" s="2" t="str"/>
      <c r="E1032" s="2" t="str">
        <v>30</v>
      </c>
      <c r="F1032" s="2" t="str">
        <v>281481.48</v>
      </c>
      <c r="G1032" s="19" t="n">
        <v>9120000</v>
      </c>
      <c r="H1032" s="2" t="str">
        <v>2.xlsx | 订单!Q776</v>
      </c>
    </row>
    <row r="1033" ht="26" customHeight="1">
      <c r="A1033" s="2" t="str">
        <v>S2-00773-BH</v>
      </c>
      <c r="B1033" s="2" t="str">
        <v>INP2104</v>
      </c>
      <c r="C1033" s="20" t="str">
        <v>Chảo inox chống dính đúc nguyên khối INP2104</v>
      </c>
      <c r="D1033" s="2" t="str"/>
      <c r="E1033" s="2" t="str">
        <v>30</v>
      </c>
      <c r="F1033" s="2" t="str">
        <v>298148.15</v>
      </c>
      <c r="G1033" s="19" t="n">
        <v>9660000</v>
      </c>
      <c r="H1033" s="2" t="str">
        <v>2.xlsx | 订单!Q777</v>
      </c>
    </row>
    <row r="1034" ht="26" customHeight="1">
      <c r="A1034" s="2" t="str">
        <v>S2-00773-BH</v>
      </c>
      <c r="B1034" s="2" t="str">
        <v>INP6101</v>
      </c>
      <c r="C1034" s="20" t="str">
        <v>Bếp từ đơn INP6101( 2200W, mặt kính màu sữa )</v>
      </c>
      <c r="D1034" s="2" t="str"/>
      <c r="E1034" s="2" t="str">
        <v>18</v>
      </c>
      <c r="F1034" s="2" t="str">
        <v>601851.85</v>
      </c>
      <c r="G1034" s="19" t="n">
        <v>11700000</v>
      </c>
      <c r="H1034" s="2" t="str">
        <v>2.xlsx | 订单!Q778</v>
      </c>
    </row>
    <row r="1035" ht="26" customHeight="1">
      <c r="A1035" s="2" t="str">
        <v>S2-00780-BH</v>
      </c>
      <c r="B1035" s="2" t="str">
        <v>INP6403</v>
      </c>
      <c r="C1035" s="20" t="str">
        <v>Quạt điện đứng INP6403</v>
      </c>
      <c r="D1035" s="2" t="str"/>
      <c r="E1035" s="2" t="str">
        <v>20</v>
      </c>
      <c r="F1035" s="2" t="str">
        <v>694444.44</v>
      </c>
      <c r="G1035" s="19" t="n">
        <v>15000000</v>
      </c>
      <c r="H1035" s="2" t="str">
        <v>2.xlsx | 订单!Q780</v>
      </c>
    </row>
    <row r="1036" ht="26" customHeight="1">
      <c r="A1036" s="2" t="str">
        <v>S2-00781-BH</v>
      </c>
      <c r="B1036" s="2" t="str">
        <v>INP6902</v>
      </c>
      <c r="C1036" s="20" t="str">
        <v>Nồi áp suất điện INP6902</v>
      </c>
      <c r="D1036" s="2" t="str"/>
      <c r="E1036" s="2" t="str">
        <v>10</v>
      </c>
      <c r="F1036" s="2" t="str">
        <v>814814.81</v>
      </c>
      <c r="G1036" s="19" t="n">
        <v>8800000</v>
      </c>
      <c r="H1036" s="2" t="str">
        <v>2.xlsx | 订单!Q781</v>
      </c>
    </row>
    <row r="1037" ht="26" customHeight="1">
      <c r="A1037" s="2" t="str">
        <v>S2-00781-BH</v>
      </c>
      <c r="B1037" s="2" t="str">
        <v>INP6903</v>
      </c>
      <c r="C1037" s="20" t="str">
        <v>Nồi áp suất điện INP6903</v>
      </c>
      <c r="D1037" s="2" t="str"/>
      <c r="E1037" s="2" t="str">
        <v>6</v>
      </c>
      <c r="F1037" s="2" t="str">
        <v>907407.4</v>
      </c>
      <c r="G1037" s="19" t="n">
        <v>5880000</v>
      </c>
      <c r="H1037" s="2" t="str">
        <v>2.xlsx | 订单!Q782</v>
      </c>
    </row>
    <row r="1038" ht="26" customHeight="1">
      <c r="A1038" s="2" t="str">
        <v>S2-00785-BH</v>
      </c>
      <c r="B1038" s="2" t="str">
        <v>INP6902</v>
      </c>
      <c r="C1038" s="20" t="str">
        <v>Nồi áp suất điện INP6902</v>
      </c>
      <c r="D1038" s="2" t="str"/>
      <c r="E1038" s="2" t="str">
        <v>20</v>
      </c>
      <c r="F1038" s="2" t="str">
        <v>814814.81</v>
      </c>
      <c r="G1038" s="19" t="n">
        <v>17600000</v>
      </c>
      <c r="H1038" s="2" t="str">
        <v>2.xlsx | 订单!Q785</v>
      </c>
    </row>
    <row r="1039" ht="26" customHeight="1">
      <c r="A1039" s="2" t="str">
        <v>S2-00786-BH</v>
      </c>
      <c r="B1039" s="2" t="str">
        <v>INP2202</v>
      </c>
      <c r="C1039" s="20" t="str">
        <v>Nồi luộc gà inox đúc nguyên khốiINP2202</v>
      </c>
      <c r="D1039" s="2" t="str"/>
      <c r="E1039" s="2" t="str">
        <v>8</v>
      </c>
      <c r="F1039" s="2" t="str">
        <v>844444.45</v>
      </c>
      <c r="G1039" s="19" t="n">
        <v>7296000</v>
      </c>
      <c r="H1039" s="2" t="str">
        <v>2.xlsx | 订单!Q786</v>
      </c>
    </row>
    <row r="1040" ht="26" customHeight="1">
      <c r="A1040" s="2" t="str">
        <v>S2-00788-BH</v>
      </c>
      <c r="B1040" s="2" t="str">
        <v>INP2104</v>
      </c>
      <c r="C1040" s="20" t="str">
        <v>Chảo inox chống dính đúc nguyên khối INP2104</v>
      </c>
      <c r="D1040" s="2" t="str"/>
      <c r="E1040" s="2" t="str">
        <v>40</v>
      </c>
      <c r="F1040" s="2" t="str">
        <v>298148.15</v>
      </c>
      <c r="G1040" s="19" t="n">
        <v>12880000</v>
      </c>
      <c r="H1040" s="2" t="str">
        <v>2.xlsx | 订单!Q788</v>
      </c>
    </row>
    <row r="1041" ht="26" customHeight="1">
      <c r="A1041" s="2" t="str">
        <v>S2-00788-BH</v>
      </c>
      <c r="B1041" s="2" t="str">
        <v>INP6403</v>
      </c>
      <c r="C1041" s="20" t="str">
        <v>Quạt điện đứng INP6403</v>
      </c>
      <c r="D1041" s="2" t="str"/>
      <c r="E1041" s="2" t="str">
        <v>16</v>
      </c>
      <c r="F1041" s="2" t="str">
        <v>694444.44</v>
      </c>
      <c r="G1041" s="19" t="n">
        <v>12000000</v>
      </c>
      <c r="H1041" s="2" t="str">
        <v>2.xlsx | 订单!Q789</v>
      </c>
    </row>
    <row r="1042" ht="26" customHeight="1">
      <c r="A1042" s="2" t="str">
        <v>S2-00788-BH</v>
      </c>
      <c r="B1042" s="2" t="str">
        <v>INP6103</v>
      </c>
      <c r="C1042" s="20" t="str">
        <v>Bếp từ đơn INP6103</v>
      </c>
      <c r="D1042" s="2" t="str"/>
      <c r="E1042" s="2" t="str">
        <v>12</v>
      </c>
      <c r="F1042" s="2" t="str">
        <v>799074.07</v>
      </c>
      <c r="G1042" s="19" t="n">
        <v>10356000</v>
      </c>
      <c r="H1042" s="2" t="str">
        <v>2.xlsx | 订单!Q790</v>
      </c>
    </row>
    <row r="1043" ht="26" customHeight="1">
      <c r="A1043" s="2" t="str">
        <v>S2-00793-BH</v>
      </c>
      <c r="B1043" s="2" t="str">
        <v>INP1202</v>
      </c>
      <c r="C1043" s="20" t="str">
        <v>Nồi Inox INP1202</v>
      </c>
      <c r="D1043" s="2" t="str"/>
      <c r="E1043" s="2" t="str">
        <v>4</v>
      </c>
      <c r="F1043" s="2" t="str">
        <v>472222.22</v>
      </c>
      <c r="G1043" s="19" t="n">
        <v>2040000</v>
      </c>
      <c r="H1043" s="2" t="str">
        <v>2.xlsx | 订单!Q793</v>
      </c>
    </row>
    <row r="1044" ht="26" customHeight="1">
      <c r="A1044" s="2" t="str">
        <v>S2-00793-BH</v>
      </c>
      <c r="B1044" s="2" t="str">
        <v>INP1203</v>
      </c>
      <c r="C1044" s="20" t="str">
        <v>Nồi Inox INP1203</v>
      </c>
      <c r="D1044" s="2" t="str"/>
      <c r="E1044" s="2" t="str">
        <v>4</v>
      </c>
      <c r="F1044" s="2" t="str">
        <v>492592.59</v>
      </c>
      <c r="G1044" s="19" t="n">
        <v>2128000</v>
      </c>
      <c r="H1044" s="2" t="str">
        <v>2.xlsx | 订单!Q794</v>
      </c>
    </row>
    <row r="1045" ht="26" customHeight="1">
      <c r="A1045" s="2" t="str">
        <v>S2-00793-BH</v>
      </c>
      <c r="B1045" s="2" t="str">
        <v>INP2002</v>
      </c>
      <c r="C1045" s="20" t="str">
        <v>Bộ nồi inox INP2002</v>
      </c>
      <c r="D1045" s="2" t="str"/>
      <c r="E1045" s="2" t="str">
        <v>4</v>
      </c>
      <c r="F1045" s="2" t="str">
        <v>851851.85</v>
      </c>
      <c r="G1045" s="19" t="n">
        <v>3680000</v>
      </c>
      <c r="H1045" s="2" t="str">
        <v>2.xlsx | 订单!Q795</v>
      </c>
    </row>
    <row r="1046" ht="26" customHeight="1">
      <c r="A1046" s="2" t="str">
        <v>S2-00793-BH</v>
      </c>
      <c r="B1046" s="2" t="str">
        <v>INP2003</v>
      </c>
      <c r="C1046" s="20" t="str">
        <v>Bộ nồi inox INP2003</v>
      </c>
      <c r="D1046" s="2" t="str"/>
      <c r="E1046" s="2" t="str">
        <v>16</v>
      </c>
      <c r="F1046" s="2" t="str">
        <v>1185185.18</v>
      </c>
      <c r="G1046" s="19" t="n">
        <v>20480000</v>
      </c>
      <c r="H1046" s="2" t="str">
        <v>2.xlsx | 订单!Q796</v>
      </c>
    </row>
    <row r="1047" ht="26" customHeight="1">
      <c r="A1047" s="2" t="str">
        <v>S2-00793-BH</v>
      </c>
      <c r="B1047" s="2" t="str">
        <v>INP6403</v>
      </c>
      <c r="C1047" s="20" t="str">
        <v>Quạt điện đứng INP6403</v>
      </c>
      <c r="D1047" s="2" t="str"/>
      <c r="E1047" s="2" t="str">
        <v>20</v>
      </c>
      <c r="F1047" s="2" t="str">
        <v>694444.44</v>
      </c>
      <c r="G1047" s="19" t="n">
        <v>15000000</v>
      </c>
      <c r="H1047" s="2" t="str">
        <v>2.xlsx | 订单!Q797</v>
      </c>
    </row>
    <row r="1048" ht="26" customHeight="1">
      <c r="A1048" s="2" t="str">
        <v>S2-00798-BH</v>
      </c>
      <c r="B1048" s="2" t="str">
        <v>INP6902</v>
      </c>
      <c r="C1048" s="20" t="str">
        <v>Nồi áp suất điện INP6902</v>
      </c>
      <c r="D1048" s="2" t="str"/>
      <c r="E1048" s="2" t="str">
        <v>12</v>
      </c>
      <c r="F1048" s="2" t="str">
        <v>814814.81</v>
      </c>
      <c r="G1048" s="19" t="n">
        <v>10560000</v>
      </c>
      <c r="H1048" s="2" t="str">
        <v>2.xlsx | 订单!Q798</v>
      </c>
    </row>
    <row r="1049" ht="26" customHeight="1">
      <c r="A1049" s="2" t="str">
        <v>S2-00799-BH</v>
      </c>
      <c r="B1049" s="2" t="str">
        <v>INP6901</v>
      </c>
      <c r="C1049" s="20" t="str">
        <v>Nồi áp suất điện INP6901</v>
      </c>
      <c r="D1049" s="2" t="str"/>
      <c r="E1049" s="2" t="str">
        <v>20</v>
      </c>
      <c r="F1049" s="2" t="str">
        <v>861111.11</v>
      </c>
      <c r="G1049" s="19" t="n">
        <v>18600000</v>
      </c>
      <c r="H1049" s="2" t="str">
        <v>2.xlsx | 订单!Q799</v>
      </c>
    </row>
    <row r="1050" ht="26" customHeight="1">
      <c r="A1050" s="2" t="str">
        <v>S2-00801-BH</v>
      </c>
      <c r="B1050" s="2" t="str">
        <v>INP6403</v>
      </c>
      <c r="C1050" s="20" t="str">
        <v>Quạt điện đứng INP6403</v>
      </c>
      <c r="D1050" s="2" t="str"/>
      <c r="E1050" s="2" t="str">
        <v>6</v>
      </c>
      <c r="F1050" s="2" t="str">
        <v>694444.44</v>
      </c>
      <c r="G1050" s="19" t="n">
        <v>4500000</v>
      </c>
      <c r="H1050" s="2" t="str">
        <v>2.xlsx | 订单!Q801</v>
      </c>
    </row>
    <row r="1051" ht="26" customHeight="1">
      <c r="A1051" s="2" t="str">
        <v>S2-00802-BH</v>
      </c>
      <c r="B1051" s="2" t="str">
        <v>INP6902</v>
      </c>
      <c r="C1051" s="20" t="str">
        <v>Nồi áp suất điện INP6902</v>
      </c>
      <c r="D1051" s="2" t="str"/>
      <c r="E1051" s="2" t="str">
        <v>6</v>
      </c>
      <c r="F1051" s="2" t="str">
        <v>814814.81</v>
      </c>
      <c r="G1051" s="19" t="n">
        <v>5280000</v>
      </c>
      <c r="H1051" s="2" t="str">
        <v>2.xlsx | 订单!Q802</v>
      </c>
    </row>
    <row r="1052" ht="26" customHeight="1">
      <c r="A1052" s="2" t="str">
        <v>S2-00802-BH</v>
      </c>
      <c r="B1052" s="2" t="str">
        <v>INP6903</v>
      </c>
      <c r="C1052" s="20" t="str">
        <v>Nồi áp suất điện INP6903</v>
      </c>
      <c r="D1052" s="2" t="str"/>
      <c r="E1052" s="2" t="str">
        <v>4</v>
      </c>
      <c r="F1052" s="2" t="str">
        <v>907407.4</v>
      </c>
      <c r="G1052" s="19" t="n">
        <v>3920000</v>
      </c>
      <c r="H1052" s="2" t="str">
        <v>2.xlsx | 订单!Q803</v>
      </c>
    </row>
    <row r="1053" ht="26" customHeight="1">
      <c r="A1053" s="2" t="str">
        <v>S2-00804-BH</v>
      </c>
      <c r="B1053" s="2" t="str">
        <v>INP6901</v>
      </c>
      <c r="C1053" s="20" t="str">
        <v>Nồi áp suất điện INP6901</v>
      </c>
      <c r="D1053" s="2" t="str"/>
      <c r="E1053" s="2" t="str">
        <v>12</v>
      </c>
      <c r="F1053" s="2" t="str">
        <v>861111.11</v>
      </c>
      <c r="G1053" s="19" t="n">
        <v>11160000</v>
      </c>
      <c r="H1053" s="2" t="str">
        <v>2.xlsx | 订单!Q804</v>
      </c>
    </row>
    <row r="1054" ht="26" customHeight="1">
      <c r="A1054" s="2" t="str">
        <v>S2-00805-BH</v>
      </c>
      <c r="B1054" s="2" t="str">
        <v>INP6105</v>
      </c>
      <c r="C1054" s="20" t="str">
        <v>Bếp từ đơn INP6105</v>
      </c>
      <c r="D1054" s="2" t="str"/>
      <c r="E1054" s="2" t="str">
        <v>24</v>
      </c>
      <c r="F1054" s="2" t="str">
        <v>629629.63</v>
      </c>
      <c r="G1054" s="19" t="n">
        <v>16320000</v>
      </c>
      <c r="H1054" s="2" t="str">
        <v>2.xlsx | 订单!Q805</v>
      </c>
    </row>
    <row r="1055" ht="26" customHeight="1">
      <c r="A1055" s="2" t="str">
        <v>S2-00735-BH</v>
      </c>
      <c r="B1055" s="2" t="str">
        <v>INP2003</v>
      </c>
      <c r="C1055" s="20" t="str">
        <v>Bộ nồi inox đúc nguyên khối INP2003 </v>
      </c>
      <c r="D1055" s="2" t="str"/>
      <c r="E1055" s="2" t="str">
        <v>20</v>
      </c>
      <c r="F1055" s="2" t="str">
        <v>1185185.18</v>
      </c>
      <c r="G1055" s="19" t="n">
        <v>25600000</v>
      </c>
      <c r="H1055" s="2" t="str">
        <v>2.xlsx | 订单!Q735</v>
      </c>
    </row>
    <row r="1056" ht="26" customHeight="1">
      <c r="A1056" s="2" t="str">
        <v>S2-01040-BH</v>
      </c>
      <c r="B1056" s="2" t="str">
        <v>INP6004</v>
      </c>
      <c r="C1056" s="20" t="str">
        <v>Nồi cơm điện INP6004 (1,2L)</v>
      </c>
      <c r="D1056" s="2" t="str">
        <v>cái</v>
      </c>
      <c r="E1056" s="2" t="str">
        <v>15</v>
      </c>
      <c r="F1056" s="2" t="str">
        <v>542592.59</v>
      </c>
      <c r="G1056" s="19" t="n">
        <v>8790000</v>
      </c>
      <c r="H1056" s="2" t="str">
        <v>2.xlsx | 订单!Q1040</v>
      </c>
    </row>
    <row r="1057" ht="26" customHeight="1">
      <c r="A1057" s="2" t="str">
        <v>S2-01040-BH</v>
      </c>
      <c r="B1057" s="2" t="str">
        <v>INP6005</v>
      </c>
      <c r="C1057" s="20" t="str">
        <v>Nồi cơm điện INP6005 (1,8L)</v>
      </c>
      <c r="D1057" s="2" t="str">
        <v>cái</v>
      </c>
      <c r="E1057" s="2" t="str">
        <v>15</v>
      </c>
      <c r="F1057" s="2" t="str">
        <v>644444.44</v>
      </c>
      <c r="G1057" s="19" t="n">
        <v>10440000</v>
      </c>
      <c r="H1057" s="2" t="str">
        <v>2.xlsx | 订单!Q1041</v>
      </c>
    </row>
    <row r="1058" ht="26" customHeight="1">
      <c r="A1058" s="2" t="str">
        <v>S2-01042-BH</v>
      </c>
      <c r="B1058" s="2" t="str">
        <v>INP6006</v>
      </c>
      <c r="C1058" s="20" t="str">
        <v>Nồi cơm điện INP6006 (1,2L)</v>
      </c>
      <c r="D1058" s="2" t="str">
        <v>cái</v>
      </c>
      <c r="E1058" s="2" t="str">
        <v>15</v>
      </c>
      <c r="F1058" s="2" t="str">
        <v>527777.77</v>
      </c>
      <c r="G1058" s="19" t="n">
        <v>8550000</v>
      </c>
      <c r="H1058" s="2" t="str">
        <v>2.xlsx | 订单!Q1042</v>
      </c>
    </row>
    <row r="1059" ht="26" customHeight="1">
      <c r="A1059" s="2" t="str">
        <v>S2-01042-BH</v>
      </c>
      <c r="B1059" s="2" t="str">
        <v>INP6007</v>
      </c>
      <c r="C1059" s="20" t="str">
        <v>Nồi cơm điện INP6007 (1,8L)</v>
      </c>
      <c r="D1059" s="2" t="str">
        <v>cái</v>
      </c>
      <c r="E1059" s="2" t="str">
        <v>15</v>
      </c>
      <c r="F1059" s="2" t="str">
        <v>629629.63</v>
      </c>
      <c r="G1059" s="19" t="n">
        <v>10200000</v>
      </c>
      <c r="H1059" s="2" t="str">
        <v>2.xlsx | 订单!Q1043</v>
      </c>
    </row>
    <row r="1060" ht="26" customHeight="1">
      <c r="A1060" s="2" t="str">
        <v>S2-01042-BH</v>
      </c>
      <c r="B1060" s="2" t="str">
        <v>INP6008</v>
      </c>
      <c r="C1060" s="20" t="str">
        <v>Nồi cơm điện INP6008 (1,2L)</v>
      </c>
      <c r="D1060" s="2" t="str">
        <v>cái</v>
      </c>
      <c r="E1060" s="2" t="str">
        <v>15</v>
      </c>
      <c r="F1060" s="2" t="str">
        <v>574074.07</v>
      </c>
      <c r="G1060" s="19" t="n">
        <v>9300000</v>
      </c>
      <c r="H1060" s="2" t="str">
        <v>2.xlsx | 订单!Q1044</v>
      </c>
    </row>
    <row r="1061" ht="26" customHeight="1">
      <c r="A1061" s="2" t="str">
        <v>S2-01042-BH</v>
      </c>
      <c r="B1061" s="2" t="str">
        <v>INP6009</v>
      </c>
      <c r="C1061" s="20" t="str">
        <v>Nồi cơm điện INP6009 (1,8L)</v>
      </c>
      <c r="D1061" s="2" t="str">
        <v>cái</v>
      </c>
      <c r="E1061" s="2" t="str">
        <v>15</v>
      </c>
      <c r="F1061" s="2" t="str">
        <v>694444.44</v>
      </c>
      <c r="G1061" s="19" t="n">
        <v>11250000</v>
      </c>
      <c r="H1061" s="2" t="str">
        <v>2.xlsx | 订单!Q1045</v>
      </c>
    </row>
    <row r="1062" ht="26" customHeight="1">
      <c r="A1062" s="2" t="str">
        <v>S2-01042-BH</v>
      </c>
      <c r="B1062" s="2" t="str">
        <v>INP6010</v>
      </c>
      <c r="C1062" s="20" t="str">
        <v>Nồi cơm điện INP6010 (1,2L)</v>
      </c>
      <c r="D1062" s="2" t="str">
        <v>cái</v>
      </c>
      <c r="E1062" s="2" t="str">
        <v>15</v>
      </c>
      <c r="F1062" s="2" t="str">
        <v>481481.48</v>
      </c>
      <c r="G1062" s="19" t="n">
        <v>7800000</v>
      </c>
      <c r="H1062" s="2" t="str">
        <v>2.xlsx | 订单!Q1046</v>
      </c>
    </row>
    <row r="1063" ht="26" customHeight="1">
      <c r="A1063" s="2" t="str">
        <v>S2-01042-BH</v>
      </c>
      <c r="B1063" s="2" t="str">
        <v>INP6011</v>
      </c>
      <c r="C1063" s="20" t="str">
        <v>Nồi cơm điện INP6011 (1,8L)</v>
      </c>
      <c r="D1063" s="2" t="str">
        <v>cái</v>
      </c>
      <c r="E1063" s="2" t="str">
        <v>15</v>
      </c>
      <c r="F1063" s="2" t="str">
        <v>574074.07</v>
      </c>
      <c r="G1063" s="19" t="n">
        <v>9300000</v>
      </c>
      <c r="H1063" s="2" t="str">
        <v>2.xlsx | 订单!Q1047</v>
      </c>
    </row>
    <row r="1064" ht="26" customHeight="1">
      <c r="A1064" s="2" t="str">
        <v>S2-01048-BH</v>
      </c>
      <c r="B1064" s="2" t="str">
        <v>INP6902</v>
      </c>
      <c r="C1064" s="20" t="str">
        <v>Nồi áp suất điện INP6902</v>
      </c>
      <c r="D1064" s="2" t="str">
        <v>cái</v>
      </c>
      <c r="E1064" s="2" t="str">
        <v>30</v>
      </c>
      <c r="F1064" s="2" t="str">
        <v>814814.81</v>
      </c>
      <c r="G1064" s="19" t="n">
        <v>26400000</v>
      </c>
      <c r="H1064" s="2" t="str">
        <v>2.xlsx | 订单!Q1048</v>
      </c>
    </row>
    <row r="1065" ht="26" customHeight="1">
      <c r="A1065" s="2" t="str">
        <v>S2-01057-BH</v>
      </c>
      <c r="B1065" s="2" t="str">
        <v>INP6012</v>
      </c>
      <c r="C1065" s="20" t="str">
        <v>Nồi cơm điện INP6012 (1,8L)</v>
      </c>
      <c r="D1065" s="2" t="str">
        <v>cái</v>
      </c>
      <c r="E1065" s="2" t="str">
        <v>4</v>
      </c>
      <c r="F1065" s="2" t="str">
        <v>601851.85</v>
      </c>
      <c r="G1065" s="19" t="n">
        <v>2600000</v>
      </c>
      <c r="H1065" s="2" t="str">
        <v>2.xlsx | 订单!Q1057</v>
      </c>
    </row>
    <row r="1066" ht="26" customHeight="1">
      <c r="A1066" s="2" t="str">
        <v>S2-01082-BH</v>
      </c>
      <c r="B1066" s="2" t="str">
        <v>INP6004</v>
      </c>
      <c r="C1066" s="20" t="str">
        <v>Nồi cơm điện INP6004 (1,2L)</v>
      </c>
      <c r="D1066" s="2" t="str">
        <v>cái</v>
      </c>
      <c r="E1066" s="2" t="str">
        <v>15</v>
      </c>
      <c r="F1066" s="2" t="str">
        <v>542592.59</v>
      </c>
      <c r="G1066" s="19" t="n">
        <v>8790000</v>
      </c>
      <c r="H1066" s="2" t="str">
        <v>2.xlsx | 订单!Q1082</v>
      </c>
    </row>
    <row r="1067" ht="26" customHeight="1">
      <c r="A1067" s="2" t="str">
        <v>S2-01082-BH</v>
      </c>
      <c r="B1067" s="2" t="str">
        <v>INP6005</v>
      </c>
      <c r="C1067" s="20" t="str">
        <v>Nồi cơm điện INP6005 (1,8L)</v>
      </c>
      <c r="D1067" s="2" t="str">
        <v>cái</v>
      </c>
      <c r="E1067" s="2" t="str">
        <v>15</v>
      </c>
      <c r="F1067" s="2" t="str">
        <v>644444.44</v>
      </c>
      <c r="G1067" s="19" t="n">
        <v>10440000</v>
      </c>
      <c r="H1067" s="2" t="str">
        <v>2.xlsx | 订单!Q1083</v>
      </c>
    </row>
    <row r="1068" ht="26" customHeight="1">
      <c r="A1068" s="2" t="str">
        <v>S2-01082-BH</v>
      </c>
      <c r="B1068" s="2" t="str">
        <v>INP6006</v>
      </c>
      <c r="C1068" s="20" t="str">
        <v>Nồi cơm điện INP6006 (1,2L)</v>
      </c>
      <c r="D1068" s="2" t="str">
        <v>cái</v>
      </c>
      <c r="E1068" s="2" t="str">
        <v>15</v>
      </c>
      <c r="F1068" s="2" t="str">
        <v>527777.77</v>
      </c>
      <c r="G1068" s="19" t="n">
        <v>8550000</v>
      </c>
      <c r="H1068" s="2" t="str">
        <v>2.xlsx | 订单!Q1084</v>
      </c>
    </row>
    <row r="1069" ht="26" customHeight="1">
      <c r="A1069" s="2" t="str">
        <v>S2-01082-BH</v>
      </c>
      <c r="B1069" s="2" t="str">
        <v>INP6007</v>
      </c>
      <c r="C1069" s="20" t="str">
        <v>Nồi cơm điện INP6007 (1,8L)</v>
      </c>
      <c r="D1069" s="2" t="str">
        <v>cái</v>
      </c>
      <c r="E1069" s="2" t="str">
        <v>15</v>
      </c>
      <c r="F1069" s="2" t="str">
        <v>629629.63</v>
      </c>
      <c r="G1069" s="19" t="n">
        <v>10200000</v>
      </c>
      <c r="H1069" s="2" t="str">
        <v>2.xlsx | 订单!Q1085</v>
      </c>
    </row>
    <row r="1070" ht="26" customHeight="1">
      <c r="A1070" s="2" t="str">
        <v>S2-01082-BH</v>
      </c>
      <c r="B1070" s="2" t="str">
        <v>INP6008</v>
      </c>
      <c r="C1070" s="20" t="str">
        <v>Nồi cơm điện INP6008 (1,2L)</v>
      </c>
      <c r="D1070" s="2" t="str">
        <v>cái</v>
      </c>
      <c r="E1070" s="2" t="str">
        <v>15</v>
      </c>
      <c r="F1070" s="2" t="str">
        <v>574074.07</v>
      </c>
      <c r="G1070" s="19" t="n">
        <v>9300000</v>
      </c>
      <c r="H1070" s="2" t="str">
        <v>2.xlsx | 订单!Q1086</v>
      </c>
    </row>
    <row r="1071" ht="26" customHeight="1">
      <c r="A1071" s="2" t="str">
        <v>S2-01082-BH</v>
      </c>
      <c r="B1071" s="2" t="str">
        <v>INP6009</v>
      </c>
      <c r="C1071" s="20" t="str">
        <v>Nồi cơm điện INP6009 (1,8L)</v>
      </c>
      <c r="D1071" s="2" t="str">
        <v>cái</v>
      </c>
      <c r="E1071" s="2" t="str">
        <v>15</v>
      </c>
      <c r="F1071" s="2" t="str">
        <v>694444.44</v>
      </c>
      <c r="G1071" s="19" t="n">
        <v>11250000</v>
      </c>
      <c r="H1071" s="2" t="str">
        <v>2.xlsx | 订单!Q1087</v>
      </c>
    </row>
    <row r="1072" ht="26" customHeight="1">
      <c r="A1072" s="2" t="str">
        <v>S2-01082-BH</v>
      </c>
      <c r="B1072" s="2" t="str">
        <v>INP6010</v>
      </c>
      <c r="C1072" s="20" t="str">
        <v>Nồi cơm điện INP6010 (1,2L)</v>
      </c>
      <c r="D1072" s="2" t="str">
        <v>cái</v>
      </c>
      <c r="E1072" s="2" t="str">
        <v>15</v>
      </c>
      <c r="F1072" s="2" t="str">
        <v>481481.48</v>
      </c>
      <c r="G1072" s="19" t="n">
        <v>7800000</v>
      </c>
      <c r="H1072" s="2" t="str">
        <v>2.xlsx | 订单!Q1088</v>
      </c>
    </row>
    <row r="1073" ht="26" customHeight="1">
      <c r="A1073" s="2" t="str">
        <v>S2-01082-BH</v>
      </c>
      <c r="B1073" s="2" t="str">
        <v>INP6011</v>
      </c>
      <c r="C1073" s="20" t="str">
        <v>Nồi cơm điện INP6011 (1,8L)</v>
      </c>
      <c r="D1073" s="2" t="str">
        <v>cái</v>
      </c>
      <c r="E1073" s="2" t="str">
        <v>15</v>
      </c>
      <c r="F1073" s="2" t="str">
        <v>574074.07</v>
      </c>
      <c r="G1073" s="19" t="n">
        <v>9300000</v>
      </c>
      <c r="H1073" s="2" t="str">
        <v>2.xlsx | 订单!Q1089</v>
      </c>
    </row>
    <row r="1074" ht="26" customHeight="1">
      <c r="A1074" s="2" t="str">
        <v>S2-01082-BH</v>
      </c>
      <c r="B1074" s="2" t="str">
        <v>INP6012</v>
      </c>
      <c r="C1074" s="20" t="str">
        <v>Nồi cơm điện INP6012 (1,8L)</v>
      </c>
      <c r="D1074" s="2" t="str">
        <v>cái</v>
      </c>
      <c r="E1074" s="2" t="str">
        <v>4</v>
      </c>
      <c r="F1074" s="2" t="str">
        <v>601851.85</v>
      </c>
      <c r="G1074" s="19" t="n">
        <v>2600000</v>
      </c>
      <c r="H1074" s="2" t="str">
        <v>2.xlsx | 订单!Q1098</v>
      </c>
    </row>
    <row r="1075" ht="26" customHeight="1">
      <c r="A1075" s="2" t="str">
        <v>S2-01226-BH</v>
      </c>
      <c r="B1075" s="2" t="str">
        <v>INP6005</v>
      </c>
      <c r="C1075" s="20" t="str">
        <v>Nồi cơm điện INP6005 (1,8L)</v>
      </c>
      <c r="D1075" s="2" t="str">
        <v>Cái</v>
      </c>
      <c r="E1075" s="2" t="str">
        <v>15</v>
      </c>
      <c r="F1075" s="2" t="str">
        <v>644444.44</v>
      </c>
      <c r="G1075" s="19" t="n">
        <v>10440000</v>
      </c>
      <c r="H1075" s="2" t="str">
        <v>2.xlsx | 订单!Q1226</v>
      </c>
    </row>
    <row r="1076" ht="26" customHeight="1">
      <c r="A1076" s="2" t="str">
        <v>S2-01226-BH</v>
      </c>
      <c r="B1076" s="2" t="str">
        <v>INP6006</v>
      </c>
      <c r="C1076" s="20" t="str">
        <v>Nồi cơm điện INP6006 (1,2L)</v>
      </c>
      <c r="D1076" s="2" t="str">
        <v>Cái</v>
      </c>
      <c r="E1076" s="2" t="str">
        <v>15</v>
      </c>
      <c r="F1076" s="2" t="str">
        <v>527777.78</v>
      </c>
      <c r="G1076" s="19" t="n">
        <v>8550000</v>
      </c>
      <c r="H1076" s="2" t="str">
        <v>2.xlsx | 订单!Q1227</v>
      </c>
    </row>
    <row r="1077" ht="26" customHeight="1">
      <c r="A1077" s="2" t="str">
        <v>S2-01226-BH</v>
      </c>
      <c r="B1077" s="2" t="str">
        <v>INP6007</v>
      </c>
      <c r="C1077" s="20" t="str">
        <v>Nồi cơm điện INP6007 (1,8L)</v>
      </c>
      <c r="D1077" s="2" t="str">
        <v>Cái</v>
      </c>
      <c r="E1077" s="2" t="str">
        <v>15</v>
      </c>
      <c r="F1077" s="2" t="str">
        <v>629629.63</v>
      </c>
      <c r="G1077" s="19" t="n">
        <v>10200000</v>
      </c>
      <c r="H1077" s="2" t="str">
        <v>2.xlsx | 订单!Q1228</v>
      </c>
    </row>
    <row r="1078" ht="26" customHeight="1">
      <c r="A1078" s="2" t="str">
        <v>S2-01226-BH</v>
      </c>
      <c r="B1078" s="2" t="str">
        <v>INP6009</v>
      </c>
      <c r="C1078" s="20" t="str">
        <v>Nồi cơm điện INP6009 (1,8L)</v>
      </c>
      <c r="D1078" s="2" t="str">
        <v>Cái</v>
      </c>
      <c r="E1078" s="2" t="str">
        <v>15</v>
      </c>
      <c r="F1078" s="2" t="str">
        <v>694444.44</v>
      </c>
      <c r="G1078" s="19" t="n">
        <v>11250000</v>
      </c>
      <c r="H1078" s="2" t="str">
        <v>2.xlsx | 订单!Q1229</v>
      </c>
    </row>
    <row r="1079" ht="26" customHeight="1">
      <c r="A1079" s="2" t="str">
        <v>S2-01226-BH</v>
      </c>
      <c r="B1079" s="2" t="str">
        <v>INP6011</v>
      </c>
      <c r="C1079" s="20" t="str">
        <v>Nồi cơm điện INP6011 (1,8L)</v>
      </c>
      <c r="D1079" s="2" t="str">
        <v>Cái</v>
      </c>
      <c r="E1079" s="2" t="str">
        <v>15</v>
      </c>
      <c r="F1079" s="2" t="str">
        <v>574074.07</v>
      </c>
      <c r="G1079" s="19" t="n">
        <v>9300000</v>
      </c>
      <c r="H1079" s="2" t="str">
        <v>2.xlsx | 订单!Q1230</v>
      </c>
    </row>
    <row r="1080" ht="26" customHeight="1">
      <c r="A1080" s="2" t="str">
        <v>S2-01226-BH</v>
      </c>
      <c r="B1080" s="2" t="str">
        <v>INP6012</v>
      </c>
      <c r="C1080" s="20" t="str">
        <v>Nồi cơm điện INP6012 (1,8L)</v>
      </c>
      <c r="D1080" s="2" t="str">
        <v>Cái</v>
      </c>
      <c r="E1080" s="2" t="str">
        <v>7</v>
      </c>
      <c r="F1080" s="2" t="str">
        <v>601851.85</v>
      </c>
      <c r="G1080" s="19" t="n">
        <v>4550000</v>
      </c>
      <c r="H1080" s="2" t="str">
        <v>2.xlsx | 订单!Q1231</v>
      </c>
    </row>
    <row r="1081" ht="26" customHeight="1">
      <c r="A1081" s="2" t="str">
        <v>S2-01226-BH</v>
      </c>
      <c r="B1081" s="2" t="str">
        <v>INP1301</v>
      </c>
      <c r="C1081" s="20" t="str">
        <v>Nồi mã INP1301</v>
      </c>
      <c r="D1081" s="2" t="str">
        <v>Cái</v>
      </c>
      <c r="E1081" s="2" t="str">
        <v>30</v>
      </c>
      <c r="F1081" s="2" t="str">
        <v>78703.7</v>
      </c>
      <c r="G1081" s="19" t="n">
        <v>2550000</v>
      </c>
      <c r="H1081" s="2" t="str">
        <v>2.xlsx | 订单!Q1232</v>
      </c>
    </row>
    <row r="1082" ht="26" customHeight="1">
      <c r="A1082" s="2" t="str">
        <v>S2-01226-BH</v>
      </c>
      <c r="B1082" s="2" t="str">
        <v>INP1301</v>
      </c>
      <c r="C1082" s="20" t="str">
        <v>Nồi mã INP1301</v>
      </c>
      <c r="D1082" s="2" t="str">
        <v>Cái</v>
      </c>
      <c r="E1082" s="2" t="str">
        <v>10</v>
      </c>
      <c r="F1082" s="2" t="str">
        <v>101851.85</v>
      </c>
      <c r="G1082" s="19" t="n">
        <v>1100000</v>
      </c>
      <c r="H1082" s="2" t="str">
        <v>2.xlsx | 订单!Q1233</v>
      </c>
    </row>
    <row r="1083" ht="26" customHeight="1">
      <c r="A1083" s="2" t="str">
        <v>S2-01240-BH</v>
      </c>
      <c r="B1083" s="2" t="str">
        <v>INP6403</v>
      </c>
      <c r="C1083" s="20" t="str">
        <v>Quạt điện đứng INP6403</v>
      </c>
      <c r="D1083" s="2" t="str">
        <v>Cái</v>
      </c>
      <c r="E1083" s="2" t="str">
        <v>30</v>
      </c>
      <c r="F1083" s="2" t="str">
        <v>694444.44</v>
      </c>
      <c r="G1083" s="19" t="n">
        <v>22499999</v>
      </c>
      <c r="H1083" s="2" t="str">
        <v>2.xlsx | 订单!Q1240</v>
      </c>
    </row>
    <row r="1084" ht="26" customHeight="1">
      <c r="A1084" s="2" t="str">
        <v>S2-01330-BH</v>
      </c>
      <c r="B1084" s="2" t="str">
        <v>INP6006</v>
      </c>
      <c r="C1084" s="20" t="str">
        <v>Nồi cơm điện INP6006 (1,2L)</v>
      </c>
      <c r="D1084" s="2" t="str">
        <v>Cái</v>
      </c>
      <c r="E1084" s="2" t="str">
        <v>15</v>
      </c>
      <c r="F1084" s="2" t="str">
        <v>527777.78</v>
      </c>
      <c r="G1084" s="19" t="n">
        <v>8550000</v>
      </c>
      <c r="H1084" s="2" t="str">
        <v>2.xlsx | 订单!Q1330</v>
      </c>
    </row>
    <row r="1085" ht="26" customHeight="1">
      <c r="A1085" s="2" t="str">
        <v>S2-01330-BH</v>
      </c>
      <c r="B1085" s="2" t="str">
        <v>INP6007</v>
      </c>
      <c r="C1085" s="20" t="str">
        <v>Nồi cơm điện INP6007 (1,8L)</v>
      </c>
      <c r="D1085" s="2" t="str">
        <v>Cái</v>
      </c>
      <c r="E1085" s="2" t="str">
        <v>15</v>
      </c>
      <c r="F1085" s="2" t="str">
        <v>629629.63</v>
      </c>
      <c r="G1085" s="19" t="n">
        <v>10200000</v>
      </c>
      <c r="H1085" s="2" t="str">
        <v>2.xlsx | 订单!Q1331</v>
      </c>
    </row>
    <row r="1086" ht="26" customHeight="1">
      <c r="A1086" s="2" t="str">
        <v>S2-01330-BH</v>
      </c>
      <c r="B1086" s="2" t="str">
        <v>INP6011</v>
      </c>
      <c r="C1086" s="20" t="str">
        <v>Nồi cơm điện INP6011 (1,8L)</v>
      </c>
      <c r="D1086" s="2" t="str">
        <v>Cái</v>
      </c>
      <c r="E1086" s="2" t="str">
        <v>15</v>
      </c>
      <c r="F1086" s="2" t="str">
        <v>574074.07</v>
      </c>
      <c r="G1086" s="19" t="n">
        <v>9300000</v>
      </c>
      <c r="H1086" s="2" t="str">
        <v>2.xlsx | 订单!Q1332</v>
      </c>
    </row>
    <row r="1087" ht="26" customHeight="1">
      <c r="A1087" s="2" t="str">
        <v>S2-01330-BH</v>
      </c>
      <c r="B1087" s="2" t="str">
        <v>INP6403</v>
      </c>
      <c r="C1087" s="20" t="str">
        <v>Quạt điện đứng INP6403</v>
      </c>
      <c r="D1087" s="2" t="str">
        <v>Cái</v>
      </c>
      <c r="E1087" s="2" t="str">
        <v>5</v>
      </c>
      <c r="F1087" s="2" t="str">
        <v>694444.44</v>
      </c>
      <c r="G1087" s="19" t="n">
        <v>3750000</v>
      </c>
      <c r="H1087" s="2" t="str">
        <v>2.xlsx | 订单!Q1333</v>
      </c>
    </row>
    <row r="1088" ht="26" customHeight="1">
      <c r="A1088" s="2" t="str">
        <v>S2-01337-TH</v>
      </c>
      <c r="B1088" s="2" t="str">
        <v>INP3004</v>
      </c>
      <c r="C1088" s="20" t="str">
        <v>Nồi gang tráng menINP3004</v>
      </c>
      <c r="D1088" s="2" t="str">
        <v>Cái</v>
      </c>
      <c r="E1088" s="2" t="str">
        <v>-16</v>
      </c>
      <c r="F1088" s="2" t="str">
        <v>358333.33</v>
      </c>
      <c r="G1088" s="19" t="n">
        <v>6192000</v>
      </c>
      <c r="H1088" s="2" t="str">
        <v>2.xlsx | 订单!Q1337</v>
      </c>
    </row>
    <row r="1089" ht="26" customHeight="1">
      <c r="A1089" s="2" t="str">
        <v>S2-01337-TH</v>
      </c>
      <c r="B1089" s="2" t="str">
        <v>INP3002</v>
      </c>
      <c r="C1089" s="20" t="str">
        <v>Nồi gang tráng menINP3002</v>
      </c>
      <c r="D1089" s="2" t="str">
        <v>Cái</v>
      </c>
      <c r="E1089" s="2" t="str">
        <v>-4</v>
      </c>
      <c r="F1089" s="2" t="str">
        <v>569444.44</v>
      </c>
      <c r="G1089" s="19" t="n">
        <v>2460000</v>
      </c>
      <c r="H1089" s="2" t="str">
        <v>2.xlsx | 订单!Q1338</v>
      </c>
    </row>
    <row r="1090" ht="26" customHeight="1">
      <c r="A1090" s="2" t="str">
        <v>S2-01337-TH</v>
      </c>
      <c r="B1090" s="2" t="str">
        <v>INP3001</v>
      </c>
      <c r="C1090" s="20" t="str">
        <v>Nồi gang tráng menINP3001</v>
      </c>
      <c r="D1090" s="2" t="str">
        <v>Cái</v>
      </c>
      <c r="E1090" s="2" t="str">
        <v>-5</v>
      </c>
      <c r="F1090" s="2" t="str">
        <v>659259.26</v>
      </c>
      <c r="G1090" s="19" t="n">
        <v>3560000</v>
      </c>
      <c r="H1090" s="2" t="str">
        <v>2.xlsx | 订单!Q1339</v>
      </c>
    </row>
    <row r="1091" ht="26" customHeight="1">
      <c r="A1091" s="2" t="str">
        <v>S2-01337-TH</v>
      </c>
      <c r="B1091" s="2" t="str">
        <v>INP3003</v>
      </c>
      <c r="C1091" s="20" t="str">
        <v>Nồi gang tráng menINP3003</v>
      </c>
      <c r="D1091" s="2" t="str">
        <v>Cái</v>
      </c>
      <c r="E1091" s="2" t="str">
        <v>-13</v>
      </c>
      <c r="F1091" s="2" t="str">
        <v>564814.81</v>
      </c>
      <c r="G1091" s="19" t="n">
        <v>7930000</v>
      </c>
      <c r="H1091" s="2" t="str">
        <v>2.xlsx | 订单!Q1340</v>
      </c>
    </row>
    <row r="1092" ht="26" customHeight="1">
      <c r="A1092" s="2" t="str">
        <v>S2-01337-TH</v>
      </c>
      <c r="B1092" s="2" t="str">
        <v>INP1501</v>
      </c>
      <c r="C1092" s="20" t="str">
        <v>Ấm đun nước 3L INP1501</v>
      </c>
      <c r="D1092" s="2" t="str">
        <v>Cái</v>
      </c>
      <c r="E1092" s="2" t="str">
        <v>-42</v>
      </c>
      <c r="F1092" s="2" t="str">
        <v>111111.11</v>
      </c>
      <c r="G1092" s="19" t="n">
        <v>5040000</v>
      </c>
      <c r="H1092" s="2" t="str">
        <v>2.xlsx | 订单!Q1341</v>
      </c>
    </row>
    <row r="1093" ht="26" customHeight="1">
      <c r="A1093" s="2" t="str">
        <v>S2-01337-TH</v>
      </c>
      <c r="B1093" s="2" t="str">
        <v>INP1502</v>
      </c>
      <c r="C1093" s="20" t="str">
        <v> Ấm đun nước 4L INP1502</v>
      </c>
      <c r="D1093" s="2" t="str">
        <v>Cái</v>
      </c>
      <c r="E1093" s="2" t="str">
        <v>-59</v>
      </c>
      <c r="F1093" s="2" t="str">
        <v>120370.37</v>
      </c>
      <c r="G1093" s="19" t="n">
        <v>7670000</v>
      </c>
      <c r="H1093" s="2" t="str">
        <v>2.xlsx | 订单!Q1342</v>
      </c>
    </row>
    <row r="1094" ht="26" customHeight="1">
      <c r="A1094" s="2" t="str">
        <v>S2-01337-TH</v>
      </c>
      <c r="B1094" s="2" t="str">
        <v>INP1503</v>
      </c>
      <c r="C1094" s="20" t="str">
        <v>Ấm đun nước 5L INP1503</v>
      </c>
      <c r="D1094" s="2" t="str">
        <v>Cái</v>
      </c>
      <c r="E1094" s="2" t="str">
        <v>-33</v>
      </c>
      <c r="F1094" s="2" t="str">
        <v>129629.63</v>
      </c>
      <c r="G1094" s="19" t="n">
        <v>4620000</v>
      </c>
      <c r="H1094" s="2" t="str">
        <v>2.xlsx | 订单!Q1343</v>
      </c>
    </row>
    <row r="1095" ht="26" customHeight="1">
      <c r="A1095" s="2" t="str">
        <v>S2-01337-TH</v>
      </c>
      <c r="B1095" s="2" t="str">
        <v>INP3005</v>
      </c>
      <c r="C1095" s="20" t="str">
        <v>Nồi gang tráng menINP3005</v>
      </c>
      <c r="D1095" s="2" t="str">
        <v>Cái</v>
      </c>
      <c r="E1095" s="2" t="str">
        <v>-15</v>
      </c>
      <c r="F1095" s="2" t="str">
        <v>398148.15</v>
      </c>
      <c r="G1095" s="19" t="n">
        <v>6450000</v>
      </c>
      <c r="H1095" s="2" t="str">
        <v>2.xlsx | 订单!Q1344</v>
      </c>
    </row>
    <row r="1096" ht="26" customHeight="1">
      <c r="A1096" s="2" t="str">
        <v>S2-01388-BH</v>
      </c>
      <c r="B1096" s="2" t="str">
        <v>INP1301A</v>
      </c>
      <c r="C1096" s="20" t="str">
        <v>Nồi mã INP1301A</v>
      </c>
      <c r="D1096" s="2" t="str">
        <v>Cái</v>
      </c>
      <c r="E1096" s="2" t="str">
        <v>24</v>
      </c>
      <c r="F1096" s="2" t="str">
        <v>78703.7</v>
      </c>
      <c r="G1096" s="19" t="n">
        <v>2040000</v>
      </c>
      <c r="H1096" s="2" t="str">
        <v>2.xlsx | 订单!Q1388</v>
      </c>
    </row>
    <row r="1097" ht="26" customHeight="1">
      <c r="A1097" s="2" t="str">
        <v>S2-01583-BH</v>
      </c>
      <c r="B1097" s="2" t="str">
        <v>INP2002</v>
      </c>
      <c r="C1097" s="20" t="str">
        <v>Bộ nồi inox  INP2002</v>
      </c>
      <c r="D1097" s="2" t="str">
        <v>Cái</v>
      </c>
      <c r="E1097" s="2" t="str">
        <v>10</v>
      </c>
      <c r="F1097" s="2" t="str">
        <v>851851.85</v>
      </c>
      <c r="G1097" s="19" t="n">
        <v>9200000</v>
      </c>
      <c r="H1097" s="2" t="str">
        <v>2.xlsx | 订单!Q1583</v>
      </c>
    </row>
    <row r="1098" ht="26" customHeight="1">
      <c r="A1098" s="2" t="str">
        <v>S2-01763-BH</v>
      </c>
      <c r="B1098" s="2" t="str">
        <v>INP6011</v>
      </c>
      <c r="C1098" s="20" t="str">
        <v>Nồi cơm điện INP6011 (1,8L)</v>
      </c>
      <c r="D1098" s="2" t="str">
        <v>Cái</v>
      </c>
      <c r="E1098" s="2" t="str">
        <v>8</v>
      </c>
      <c r="F1098" s="2" t="str">
        <v>574074.07</v>
      </c>
      <c r="G1098" s="19" t="n">
        <v>4960000</v>
      </c>
      <c r="H1098" s="2" t="str">
        <v>2.xlsx | 订单!Q1763</v>
      </c>
    </row>
    <row r="1099" ht="26" customHeight="1">
      <c r="A1099" s="2" t="str">
        <v>S2-01778-BH</v>
      </c>
      <c r="B1099" s="2" t="str">
        <v>INP6005</v>
      </c>
      <c r="C1099" s="20" t="str">
        <v>Nồi cơm điện INP6005 (1,8L)</v>
      </c>
      <c r="D1099" s="2" t="str">
        <v>Cái</v>
      </c>
      <c r="E1099" s="2" t="str">
        <v>15</v>
      </c>
      <c r="F1099" s="2" t="str">
        <v>638888.89</v>
      </c>
      <c r="G1099" s="19" t="n">
        <v>10350000</v>
      </c>
      <c r="H1099" s="2" t="str">
        <v>2.xlsx | 订单!Q1778</v>
      </c>
    </row>
    <row r="1100" ht="26" customHeight="1">
      <c r="A1100" s="2" t="str">
        <v>S2-01778-BH</v>
      </c>
      <c r="B1100" s="2" t="str">
        <v>INP6008</v>
      </c>
      <c r="C1100" s="20" t="str">
        <v>Nồi cơm điện INP6008 (1,2L)</v>
      </c>
      <c r="D1100" s="2" t="str">
        <v>Cái</v>
      </c>
      <c r="E1100" s="2" t="str">
        <v>15</v>
      </c>
      <c r="F1100" s="2" t="str">
        <v>574074.07</v>
      </c>
      <c r="G1100" s="19" t="n">
        <v>9300000</v>
      </c>
      <c r="H1100" s="2" t="str">
        <v>2.xlsx | 订单!Q1779</v>
      </c>
    </row>
    <row r="1101" ht="26" customHeight="1">
      <c r="A1101" s="2" t="str">
        <v>S2-01778-BH</v>
      </c>
      <c r="B1101" s="2" t="str">
        <v>INP6009</v>
      </c>
      <c r="C1101" s="20" t="str">
        <v>Nồi cơm điện INP6009 (1,8L)</v>
      </c>
      <c r="D1101" s="2" t="str">
        <v>Cái</v>
      </c>
      <c r="E1101" s="2" t="str">
        <v>15</v>
      </c>
      <c r="F1101" s="2" t="str">
        <v>694444.44</v>
      </c>
      <c r="G1101" s="19" t="n">
        <v>11250000</v>
      </c>
      <c r="H1101" s="2" t="str">
        <v>2.xlsx | 订单!Q1780</v>
      </c>
    </row>
    <row r="1102" ht="26" customHeight="1">
      <c r="A1102" s="2" t="str">
        <v>S2-01778-BH</v>
      </c>
      <c r="B1102" s="2" t="str">
        <v>INP6010</v>
      </c>
      <c r="C1102" s="20" t="str">
        <v>Nồi cơm điện INP6010 (1,2L)</v>
      </c>
      <c r="D1102" s="2" t="str">
        <v>Cái</v>
      </c>
      <c r="E1102" s="2" t="str">
        <v>15</v>
      </c>
      <c r="F1102" s="2" t="str">
        <v>481481.48</v>
      </c>
      <c r="G1102" s="19" t="n">
        <v>7800000</v>
      </c>
      <c r="H1102" s="2" t="str">
        <v>2.xlsx | 订单!Q1781</v>
      </c>
    </row>
    <row r="1103" ht="26" customHeight="1">
      <c r="A1103" s="2" t="str">
        <v>S2-01778-BH</v>
      </c>
      <c r="B1103" s="2" t="str">
        <v>INP6011</v>
      </c>
      <c r="C1103" s="20" t="str">
        <v>Nồi cơm điện INP6011 (1,8L)</v>
      </c>
      <c r="D1103" s="2" t="str">
        <v>Cái</v>
      </c>
      <c r="E1103" s="2" t="str">
        <v>7</v>
      </c>
      <c r="F1103" s="2" t="str">
        <v>574074.07</v>
      </c>
      <c r="G1103" s="19" t="n">
        <v>4340000</v>
      </c>
      <c r="H1103" s="2" t="str">
        <v>2.xlsx | 订单!Q1782</v>
      </c>
    </row>
    <row r="1104" ht="26" customHeight="1">
      <c r="A1104" s="2" t="str">
        <v>S2-01778-BH</v>
      </c>
      <c r="B1104" s="2" t="str">
        <v>INP7952</v>
      </c>
      <c r="C1104" s="20" t="str">
        <v>Máy sấy tóc INP7952</v>
      </c>
      <c r="D1104" s="2" t="str">
        <v>Cái</v>
      </c>
      <c r="E1104" s="2" t="str">
        <v>50</v>
      </c>
      <c r="F1104" s="2" t="str">
        <v>292592.59</v>
      </c>
      <c r="G1104" s="19" t="n">
        <v>15800000</v>
      </c>
      <c r="H1104" s="2" t="str">
        <v>2.xlsx | 订单!Q1783</v>
      </c>
    </row>
    <row r="1105" ht="26" customHeight="1">
      <c r="A1105" s="2" t="str">
        <v>S2-01778-BH</v>
      </c>
      <c r="B1105" s="2" t="str">
        <v>INP7953</v>
      </c>
      <c r="C1105" s="20" t="str">
        <v>Máy sấy tóc INP7953</v>
      </c>
      <c r="D1105" s="2" t="str">
        <v>Cái</v>
      </c>
      <c r="E1105" s="2" t="str">
        <v>50</v>
      </c>
      <c r="F1105" s="2" t="str">
        <v>231481.48</v>
      </c>
      <c r="G1105" s="19" t="n">
        <v>12500000</v>
      </c>
      <c r="H1105" s="2" t="str">
        <v>2.xlsx | 订单!Q1784</v>
      </c>
    </row>
    <row r="1106" ht="26" customHeight="1">
      <c r="A1106" s="2" t="str">
        <v>S2-01900-BH</v>
      </c>
      <c r="B1106" s="2" t="str">
        <v>INP2003</v>
      </c>
      <c r="C1106" s="20" t="str">
        <v>Bộ nồi inox INP2003</v>
      </c>
      <c r="D1106" s="2" t="str">
        <v>Cái</v>
      </c>
      <c r="E1106" s="2" t="str">
        <v>6</v>
      </c>
      <c r="F1106" s="2" t="str">
        <v>1185185.19</v>
      </c>
      <c r="G1106" s="19" t="n">
        <v>7680000</v>
      </c>
      <c r="H1106" s="2" t="str">
        <v>2.xlsx | 订单!Q1900</v>
      </c>
    </row>
    <row r="1107" ht="26" customHeight="1">
      <c r="A1107" s="2" t="str">
        <v>S2-01900-BH</v>
      </c>
      <c r="B1107" s="2" t="str">
        <v>INP2103</v>
      </c>
      <c r="C1107" s="20" t="str">
        <v>Chảo inox chống dính đúc nguyên khốiINP2103</v>
      </c>
      <c r="D1107" s="2" t="str">
        <v>Cái</v>
      </c>
      <c r="E1107" s="2" t="str">
        <v>40</v>
      </c>
      <c r="F1107" s="2" t="str">
        <v>281481.48</v>
      </c>
      <c r="G1107" s="19" t="n">
        <v>12160000</v>
      </c>
      <c r="H1107" s="2" t="str">
        <v>2.xlsx | 订单!Q1901</v>
      </c>
    </row>
    <row r="1108" ht="26" customHeight="1">
      <c r="A1108" s="2" t="str">
        <v>S2-01900-BH</v>
      </c>
      <c r="B1108" s="2" t="str">
        <v>INP6007</v>
      </c>
      <c r="C1108" s="20" t="str">
        <v>Nồi cơm điện INP6007 (1,8L)</v>
      </c>
      <c r="D1108" s="2" t="str">
        <v>Cái</v>
      </c>
      <c r="E1108" s="2" t="str">
        <v>15</v>
      </c>
      <c r="F1108" s="2" t="str">
        <v>629629.63</v>
      </c>
      <c r="G1108" s="19" t="n">
        <v>10200000</v>
      </c>
      <c r="H1108" s="2" t="str">
        <v>2.xlsx | 订单!Q1902</v>
      </c>
    </row>
    <row r="1109" ht="26" customHeight="1">
      <c r="A1109" s="2" t="str">
        <v>S2-01947-BH</v>
      </c>
      <c r="B1109" s="2" t="str">
        <v>INP6403</v>
      </c>
      <c r="C1109" s="20" t="str">
        <v>Quạt điện đứng INP6403</v>
      </c>
      <c r="D1109" s="2" t="str">
        <v>Cái</v>
      </c>
      <c r="E1109" s="2" t="str">
        <v>20</v>
      </c>
      <c r="F1109" s="2" t="str">
        <v>694444.44</v>
      </c>
      <c r="G1109" s="19" t="n">
        <v>15000000</v>
      </c>
      <c r="H1109" s="2" t="str">
        <v>2.xlsx | 订单!Q1947</v>
      </c>
    </row>
    <row r="1110" ht="26" customHeight="1">
      <c r="A1110" s="2" t="str">
        <v>S2-01952-BH</v>
      </c>
      <c r="B1110" s="2" t="str">
        <v>INP6403</v>
      </c>
      <c r="C1110" s="20" t="str">
        <v>Quạt điện đứng INP6403</v>
      </c>
      <c r="D1110" s="2" t="str">
        <v>Cái</v>
      </c>
      <c r="E1110" s="2" t="str">
        <v>10</v>
      </c>
      <c r="F1110" s="2" t="str">
        <v>694444.44</v>
      </c>
      <c r="G1110" s="19" t="n">
        <v>7500000</v>
      </c>
      <c r="H1110" s="2" t="str">
        <v>2.xlsx | 订单!Q1952</v>
      </c>
    </row>
    <row r="1111" ht="26" customHeight="1">
      <c r="A1111" s="2" t="str">
        <v>S2-01608-BH</v>
      </c>
      <c r="B1111" s="2" t="str">
        <v>INP3202</v>
      </c>
      <c r="C1111" s="20" t="str">
        <v>Chảo gang tráng menINP3202</v>
      </c>
      <c r="D1111" s="2" t="str">
        <v>Cái</v>
      </c>
      <c r="E1111" s="2" t="str">
        <v>2</v>
      </c>
      <c r="F1111" s="2" t="str">
        <v>342592.59</v>
      </c>
      <c r="G1111" s="19" t="n">
        <v>740000</v>
      </c>
      <c r="H1111" s="2" t="str">
        <v>2.xlsx | 订单!Q1608</v>
      </c>
    </row>
    <row r="1112" ht="26" customHeight="1">
      <c r="A1112" s="2" t="str">
        <v>S2-01608-BH</v>
      </c>
      <c r="B1112" s="2" t="str">
        <v>INP2101</v>
      </c>
      <c r="C1112" s="20" t="str">
        <v>Chảo inox chống dính đúc nguyên khốiINP2101</v>
      </c>
      <c r="D1112" s="2" t="str">
        <v>Cái</v>
      </c>
      <c r="E1112" s="2" t="str">
        <v>2</v>
      </c>
      <c r="F1112" s="2" t="str">
        <v>273148.15</v>
      </c>
      <c r="G1112" s="19" t="n">
        <v>590000</v>
      </c>
      <c r="H1112" s="2" t="str">
        <v>2.xlsx | 订单!Q1609</v>
      </c>
    </row>
    <row r="1113" ht="26" customHeight="1">
      <c r="A1113" s="2" t="str">
        <v>S2-01608-BH</v>
      </c>
      <c r="B1113" s="2" t="str">
        <v>INP2102</v>
      </c>
      <c r="C1113" s="20" t="str">
        <v>Chảo inox chống dính đúc nguyên khốiINP2102</v>
      </c>
      <c r="D1113" s="2" t="str">
        <v>Cái</v>
      </c>
      <c r="E1113" s="2" t="str">
        <v>2</v>
      </c>
      <c r="F1113" s="2" t="str">
        <v>296296.3</v>
      </c>
      <c r="G1113" s="19" t="n">
        <v>640000</v>
      </c>
      <c r="H1113" s="2" t="str">
        <v>2.xlsx | 订单!Q1610</v>
      </c>
    </row>
    <row r="1114" ht="26" customHeight="1">
      <c r="A1114" s="2" t="str">
        <v>S2-01919-BH</v>
      </c>
      <c r="B1114" s="2" t="str">
        <v>INP6701</v>
      </c>
      <c r="C1114" s="20" t="str">
        <v>Máy xay thực phẩm INP6701</v>
      </c>
      <c r="D1114" s="2" t="str">
        <v>Cái</v>
      </c>
      <c r="E1114" s="2" t="str">
        <v>4</v>
      </c>
      <c r="F1114" s="2" t="str">
        <v>416666.66</v>
      </c>
      <c r="G1114" s="19" t="n">
        <v>1800000</v>
      </c>
      <c r="H1114" s="2" t="str">
        <v>2.xlsx | 订单!Q1919</v>
      </c>
    </row>
    <row r="1115" ht="26" customHeight="1">
      <c r="A1115" s="2" t="str">
        <v>S2-00430-BH</v>
      </c>
      <c r="B1115" s="2" t="str">
        <v>INP1003</v>
      </c>
      <c r="C1115" s="20" t="str">
        <v>	
Bộ nồi  Inox INP1003 </v>
      </c>
      <c r="D1115" s="2" t="str"/>
      <c r="E1115" s="2" t="str">
        <v>56</v>
      </c>
      <c r="F1115" s="2" t="str">
        <v>314814.82</v>
      </c>
      <c r="G1115" s="19" t="n">
        <v>19040000</v>
      </c>
      <c r="H1115" s="2" t="str">
        <v>2.xlsx | 订单!Q430</v>
      </c>
    </row>
    <row r="1116" ht="26" customHeight="1">
      <c r="A1116" s="2" t="str">
        <v>S2-00430-BH</v>
      </c>
      <c r="B1116" s="2" t="str">
        <v>INP2301</v>
      </c>
      <c r="C1116" s="20" t="str">
        <v>	
Chảo rán INP2301</v>
      </c>
      <c r="D1116" s="2" t="str"/>
      <c r="E1116" s="2" t="str">
        <v>20</v>
      </c>
      <c r="F1116" s="2" t="str">
        <v>416666.65</v>
      </c>
      <c r="G1116" s="19" t="n">
        <v>8999999</v>
      </c>
      <c r="H1116" s="2" t="str">
        <v>2.xlsx | 订单!Q431</v>
      </c>
    </row>
    <row r="1117" ht="26" customHeight="1">
      <c r="A1117" s="2" t="str">
        <v>S2-00430-BH</v>
      </c>
      <c r="B1117" s="2" t="str">
        <v>INP1401</v>
      </c>
      <c r="C1117" s="20" t="str">
        <v>Nồi áp suất 4.5L INP1401</v>
      </c>
      <c r="D1117" s="2" t="str">
        <v>Cái</v>
      </c>
      <c r="E1117" s="2" t="str">
        <v>20</v>
      </c>
      <c r="F1117" s="2" t="str">
        <v>824074.05</v>
      </c>
      <c r="G1117" s="19" t="n">
        <v>17799999</v>
      </c>
      <c r="H1117" s="2" t="str">
        <v>2.xlsx | 订单!Q432</v>
      </c>
    </row>
    <row r="1118" ht="26" customHeight="1">
      <c r="A1118" s="2" t="str">
        <v>S2-00430-BH</v>
      </c>
      <c r="B1118" s="2" t="str">
        <v>INP1402</v>
      </c>
      <c r="C1118" s="20" t="str">
        <v>Nồi áp suất 6L INP1402</v>
      </c>
      <c r="D1118" s="2" t="str"/>
      <c r="E1118" s="2" t="str">
        <v>20</v>
      </c>
      <c r="F1118" s="2" t="str">
        <v>937962.95</v>
      </c>
      <c r="G1118" s="19" t="n">
        <v>20259999</v>
      </c>
      <c r="H1118" s="2" t="str">
        <v>2.xlsx | 订单!Q433</v>
      </c>
    </row>
    <row r="1119" ht="26" customHeight="1">
      <c r="A1119" s="2" t="str">
        <v>S2-00430-BH</v>
      </c>
      <c r="B1119" s="2" t="str">
        <v>INP2003</v>
      </c>
      <c r="C1119" s="20" t="str">
        <v>Bộ nồi inox INP2003</v>
      </c>
      <c r="D1119" s="2" t="str"/>
      <c r="E1119" s="2" t="str">
        <v>30</v>
      </c>
      <c r="F1119" s="2" t="str">
        <v>1185185.19</v>
      </c>
      <c r="G1119" s="19" t="n">
        <v>38400000</v>
      </c>
      <c r="H1119" s="2" t="str">
        <v>2.xlsx | 订单!Q434</v>
      </c>
    </row>
    <row r="1120" ht="26" customHeight="1">
      <c r="A1120" s="2" t="str">
        <v>S2-00430-BH</v>
      </c>
      <c r="B1120" s="2" t="str">
        <v>INP2108</v>
      </c>
      <c r="C1120" s="20" t="str">
        <v>	Chảo inox chống dính đúc nguyên khốiINP2108</v>
      </c>
      <c r="D1120" s="2" t="str"/>
      <c r="E1120" s="2" t="str">
        <v>10</v>
      </c>
      <c r="F1120" s="2" t="str">
        <v>225000</v>
      </c>
      <c r="G1120" s="19" t="n">
        <v>2430000</v>
      </c>
      <c r="H1120" s="2" t="str">
        <v>2.xlsx | 订单!Q435</v>
      </c>
    </row>
    <row r="1121" ht="26" customHeight="1">
      <c r="A1121" s="2" t="str">
        <v>S2-00430-BH</v>
      </c>
      <c r="B1121" s="2" t="str">
        <v>INP2109</v>
      </c>
      <c r="C1121" s="20" t="str">
        <v>	Chảo inox chống dính đúc nguyên khốiINP2109</v>
      </c>
      <c r="D1121" s="2" t="str"/>
      <c r="E1121" s="2" t="str">
        <v>10</v>
      </c>
      <c r="F1121" s="2" t="str">
        <v>247222.22</v>
      </c>
      <c r="G1121" s="19" t="n">
        <v>2670000</v>
      </c>
      <c r="H1121" s="2" t="str">
        <v>2.xlsx | 订单!Q436</v>
      </c>
    </row>
    <row r="1122" ht="26" customHeight="1">
      <c r="A1122" s="2" t="str">
        <v>S2-00430-BH</v>
      </c>
      <c r="B1122" s="2" t="str">
        <v>INP2110</v>
      </c>
      <c r="C1122" s="20" t="str">
        <v>	Chảo inox chống dính đúc nguyên khốiINP2110</v>
      </c>
      <c r="D1122" s="2" t="str"/>
      <c r="E1122" s="2" t="str">
        <v>10</v>
      </c>
      <c r="F1122" s="2" t="str">
        <v>268518.52</v>
      </c>
      <c r="G1122" s="19" t="n">
        <v>2900000</v>
      </c>
      <c r="H1122" s="2" t="str">
        <v>2.xlsx | 订单!Q437</v>
      </c>
    </row>
    <row r="1123" ht="26" customHeight="1">
      <c r="A1123" s="2" t="str">
        <v>S2-00430-BH</v>
      </c>
      <c r="B1123" s="2" t="str">
        <v>INP2111</v>
      </c>
      <c r="C1123" s="20" t="str">
        <v>	Chảo inox chống dính đúc nguyên khốiINP2111</v>
      </c>
      <c r="D1123" s="2" t="str"/>
      <c r="E1123" s="2" t="str">
        <v>10</v>
      </c>
      <c r="F1123" s="2" t="str">
        <v>288888.89</v>
      </c>
      <c r="G1123" s="19" t="n">
        <v>3120000</v>
      </c>
      <c r="H1123" s="2" t="str">
        <v>2.xlsx | 订单!Q438</v>
      </c>
    </row>
    <row r="1124" ht="26" customHeight="1">
      <c r="A1124" s="2" t="str">
        <v>S2-00430-BH</v>
      </c>
      <c r="B1124" s="2" t="str">
        <v>INP2202</v>
      </c>
      <c r="C1124" s="20" t="str">
        <v>Nồi luộc gà inox đúc nguyên khốiINP2202</v>
      </c>
      <c r="D1124" s="2" t="str"/>
      <c r="E1124" s="2" t="str">
        <v>10</v>
      </c>
      <c r="F1124" s="2" t="str">
        <v>844444.5</v>
      </c>
      <c r="G1124" s="19" t="n">
        <v>9120000</v>
      </c>
      <c r="H1124" s="2" t="str">
        <v>2.xlsx | 订单!Q439</v>
      </c>
    </row>
    <row r="1125" ht="26" customHeight="1">
      <c r="A1125" s="2" t="str">
        <v>S2-00430-BH</v>
      </c>
      <c r="B1125" s="2" t="str">
        <v>INP6601</v>
      </c>
      <c r="C1125" s="20" t="str">
        <v>Máy sấy bát đĩa INP6601</v>
      </c>
      <c r="D1125" s="2" t="str"/>
      <c r="E1125" s="2" t="str">
        <v>6</v>
      </c>
      <c r="F1125" s="2" t="str">
        <v>1203703.75</v>
      </c>
      <c r="G1125" s="19" t="n">
        <v>7800000</v>
      </c>
      <c r="H1125" s="2" t="str">
        <v>2.xlsx | 订单!Q440</v>
      </c>
    </row>
    <row r="1126" ht="26" customHeight="1">
      <c r="A1126" s="2" t="str">
        <v>S2-00430-BH</v>
      </c>
      <c r="B1126" s="2" t="str">
        <v>INP6602</v>
      </c>
      <c r="C1126" s="20" t="str">
        <v>Máy sấy bát đĩa INP6602</v>
      </c>
      <c r="D1126" s="2" t="str"/>
      <c r="E1126" s="2" t="str">
        <v>6</v>
      </c>
      <c r="F1126" s="2" t="str">
        <v>1361111</v>
      </c>
      <c r="G1126" s="19" t="n">
        <v>8819999</v>
      </c>
      <c r="H1126" s="2" t="str">
        <v>2.xlsx | 订单!Q441</v>
      </c>
    </row>
    <row r="1127" ht="26" customHeight="1">
      <c r="A1127" s="2" t="str">
        <v>S2-00442-BH</v>
      </c>
      <c r="B1127" s="2" t="str">
        <v>INP6701</v>
      </c>
      <c r="C1127" s="20" t="str">
        <v>Máy xay thực phẩm INP6701</v>
      </c>
      <c r="D1127" s="2" t="str"/>
      <c r="E1127" s="2" t="str">
        <v>40</v>
      </c>
      <c r="F1127" s="2" t="str">
        <v>361111.11</v>
      </c>
      <c r="G1127" s="19" t="n">
        <v>15600000</v>
      </c>
      <c r="H1127" s="2" t="str">
        <v>2.xlsx | 订单!Q442</v>
      </c>
    </row>
    <row r="1128" ht="26" customHeight="1">
      <c r="A1128" s="2" t="str">
        <v>S2-00444-BH</v>
      </c>
      <c r="B1128" s="2" t="str">
        <v>INP6003</v>
      </c>
      <c r="C1128" s="20" t="str">
        <v>Nồi cơm điện tử (Nồi cơm điện đa năng giảm
đường) INP6003</v>
      </c>
      <c r="D1128" s="2" t="str"/>
      <c r="E1128" s="2" t="str">
        <v>40</v>
      </c>
      <c r="F1128" s="2" t="str">
        <v>851851.85</v>
      </c>
      <c r="G1128" s="19" t="n">
        <v>36800000</v>
      </c>
      <c r="H1128" s="2" t="str">
        <v>2.xlsx | 订单!Q444</v>
      </c>
    </row>
    <row r="1129" ht="26" customHeight="1">
      <c r="A1129" s="2" t="str">
        <v>S2-00444-BH</v>
      </c>
      <c r="B1129" s="2" t="str">
        <v>INP6001</v>
      </c>
      <c r="C1129" s="20" t="str">
        <v>Nồi cơm điện tử (Nồi cơm điện đa năng giảm
đường) INP6001</v>
      </c>
      <c r="D1129" s="2" t="str"/>
      <c r="E1129" s="2" t="str">
        <v>20</v>
      </c>
      <c r="F1129" s="2" t="str">
        <v>1138888.89</v>
      </c>
      <c r="G1129" s="19" t="n">
        <v>24600000</v>
      </c>
      <c r="H1129" s="2" t="str">
        <v>2.xlsx | 订单!Q446</v>
      </c>
    </row>
    <row r="1130" ht="26" customHeight="1">
      <c r="A1130" s="2" t="str">
        <v>S2-00444-BH</v>
      </c>
      <c r="B1130" s="2" t="str">
        <v>INP6602</v>
      </c>
      <c r="C1130" s="20" t="str">
        <v>Máy sấy bát đĩa INP6602</v>
      </c>
      <c r="D1130" s="2" t="str"/>
      <c r="E1130" s="2" t="str">
        <v>20</v>
      </c>
      <c r="F1130" s="2" t="str">
        <v>1361111.11</v>
      </c>
      <c r="G1130" s="19" t="n">
        <v>29400000</v>
      </c>
      <c r="H1130" s="2" t="str">
        <v>2.xlsx | 订单!Q447</v>
      </c>
    </row>
    <row r="1131" ht="26" customHeight="1">
      <c r="A1131" s="2" t="str">
        <v>S2-00444-BH</v>
      </c>
      <c r="B1131" s="2" t="str">
        <v>INP2301</v>
      </c>
      <c r="C1131" s="20" t="str">
        <v>Chảo rán INP2301</v>
      </c>
      <c r="D1131" s="2" t="str"/>
      <c r="E1131" s="2" t="str">
        <v>100</v>
      </c>
      <c r="F1131" s="2" t="str">
        <v>416666.67</v>
      </c>
      <c r="G1131" s="19" t="n">
        <v>45000000</v>
      </c>
      <c r="H1131" s="2" t="str">
        <v>2.xlsx | 订单!Q448</v>
      </c>
    </row>
    <row r="1132" ht="26" customHeight="1">
      <c r="A1132" s="2" t="str">
        <v>S2-00445-BH</v>
      </c>
      <c r="B1132" s="2" t="str">
        <v>INP6002</v>
      </c>
      <c r="C1132" s="20" t="str">
        <v>Nồi cơm điện tử (Nồi cơm điện đa năng giảm
đường) INP6002</v>
      </c>
      <c r="D1132" s="2" t="str"/>
      <c r="E1132" s="2" t="str">
        <v>8</v>
      </c>
      <c r="F1132" s="2" t="str">
        <v>1097222.22</v>
      </c>
      <c r="G1132" s="19" t="n">
        <v>9480000</v>
      </c>
      <c r="H1132" s="2" t="str">
        <v>2.xlsx | 订单!Q445</v>
      </c>
    </row>
    <row r="1133" ht="26" customHeight="1">
      <c r="A1133" s="2" t="str">
        <v>S2-00449-BH</v>
      </c>
      <c r="B1133" s="2" t="str">
        <v>INP6802</v>
      </c>
      <c r="C1133" s="20" t="str">
        <v>Thùng đựng gạo inoxpran INP6802</v>
      </c>
      <c r="D1133" s="2" t="str"/>
      <c r="E1133" s="2" t="str">
        <v>20</v>
      </c>
      <c r="F1133" s="2" t="str">
        <v>882407.4</v>
      </c>
      <c r="G1133" s="19" t="n">
        <v>19060000</v>
      </c>
      <c r="H1133" s="2" t="str">
        <v>2.xlsx | 订单!Q449</v>
      </c>
    </row>
    <row r="1134" ht="26" customHeight="1">
      <c r="A1134" s="2" t="str">
        <v>S2-00451-BH</v>
      </c>
      <c r="B1134" s="2" t="str">
        <v>INP1001</v>
      </c>
      <c r="C1134" s="20" t="str">
        <v>Bộ nồi inox INP1001</v>
      </c>
      <c r="D1134" s="2" t="str"/>
      <c r="E1134" s="2" t="str">
        <v>30</v>
      </c>
      <c r="F1134" s="2" t="str">
        <v>480555.55</v>
      </c>
      <c r="G1134" s="19" t="n">
        <v>15570000</v>
      </c>
      <c r="H1134" s="2" t="str">
        <v>2.xlsx | 订单!Q451</v>
      </c>
    </row>
    <row r="1135" ht="26" customHeight="1">
      <c r="A1135" s="2" t="str">
        <v>S2-00451-BH</v>
      </c>
      <c r="B1135" s="2" t="str">
        <v>INP1002</v>
      </c>
      <c r="C1135" s="20" t="str">
        <v>Bộ nồi inox INP1002</v>
      </c>
      <c r="D1135" s="2" t="str"/>
      <c r="E1135" s="2" t="str">
        <v>20</v>
      </c>
      <c r="F1135" s="2" t="str">
        <v>647222.22</v>
      </c>
      <c r="G1135" s="19" t="n">
        <v>13980000</v>
      </c>
      <c r="H1135" s="2" t="str">
        <v>2.xlsx | 订单!Q452</v>
      </c>
    </row>
    <row r="1136" ht="26" customHeight="1">
      <c r="A1136" s="2" t="str">
        <v>S2-00451-BH</v>
      </c>
      <c r="B1136" s="2" t="str">
        <v>INP1003</v>
      </c>
      <c r="C1136" s="20" t="str">
        <v>Bộ nồi inox INP1003</v>
      </c>
      <c r="D1136" s="2" t="str"/>
      <c r="E1136" s="2" t="str">
        <v>52</v>
      </c>
      <c r="F1136" s="2" t="str">
        <v>324074.07</v>
      </c>
      <c r="G1136" s="19" t="n">
        <v>18200000</v>
      </c>
      <c r="H1136" s="2" t="str">
        <v>2.xlsx | 订单!Q453</v>
      </c>
    </row>
    <row r="1137" ht="26" customHeight="1">
      <c r="A1137" s="2" t="str">
        <v>S2-00451-BH</v>
      </c>
      <c r="B1137" s="2" t="str">
        <v>INP1101</v>
      </c>
      <c r="C1137" s="20" t="str">
        <v>Bộ nồi inox INP1101</v>
      </c>
      <c r="D1137" s="2" t="str"/>
      <c r="E1137" s="2" t="str">
        <v>30</v>
      </c>
      <c r="F1137" s="2" t="str">
        <v>483333.33</v>
      </c>
      <c r="G1137" s="19" t="n">
        <v>15660000</v>
      </c>
      <c r="H1137" s="2" t="str">
        <v>2.xlsx | 订单!Q454</v>
      </c>
    </row>
    <row r="1138" ht="26" customHeight="1">
      <c r="A1138" s="2" t="str">
        <v>S2-00451-BH</v>
      </c>
      <c r="B1138" s="2" t="str">
        <v>INP6501</v>
      </c>
      <c r="C1138" s="20" t="str">
        <v>Máy làm tỏi đen đa năng INP6501</v>
      </c>
      <c r="D1138" s="2" t="str"/>
      <c r="E1138" s="2" t="str">
        <v>40</v>
      </c>
      <c r="F1138" s="2" t="str">
        <v>847222.22</v>
      </c>
      <c r="G1138" s="19" t="n">
        <v>36600000</v>
      </c>
      <c r="H1138" s="2" t="str">
        <v>2.xlsx | 订单!Q455</v>
      </c>
    </row>
    <row r="1139" ht="26" customHeight="1">
      <c r="A1139" s="2" t="str">
        <v>S2-00456-BH</v>
      </c>
      <c r="B1139" s="2" t="str">
        <v>INP6001</v>
      </c>
      <c r="C1139" s="20" t="str">
        <v>Nồi cơm điện tử (Nồi cơm điện đa năng giảm
đường) INP6001</v>
      </c>
      <c r="D1139" s="2" t="str"/>
      <c r="E1139" s="2" t="str">
        <v>10</v>
      </c>
      <c r="F1139" s="2" t="str">
        <v>1138888.89</v>
      </c>
      <c r="G1139" s="19" t="n">
        <v>12300000</v>
      </c>
      <c r="H1139" s="2" t="str">
        <v>2.xlsx | 订单!Q456</v>
      </c>
    </row>
    <row r="1140" ht="26" customHeight="1">
      <c r="A1140" s="2" t="str">
        <v>S2-00457-BH</v>
      </c>
      <c r="B1140" s="2" t="str">
        <v>INP6002</v>
      </c>
      <c r="C1140" s="20" t="str">
        <v>Nồi cơm điện tử (Nồi cơm điện đa năng giảm
đường) INP6002</v>
      </c>
      <c r="D1140" s="2" t="str"/>
      <c r="E1140" s="2" t="str">
        <v>30</v>
      </c>
      <c r="F1140" s="2" t="str">
        <v>1097222.22</v>
      </c>
      <c r="G1140" s="19" t="n">
        <v>35550000</v>
      </c>
      <c r="H1140" s="2" t="str">
        <v>2.xlsx | 订单!Q457</v>
      </c>
    </row>
    <row r="1141" ht="26" customHeight="1">
      <c r="A1141" s="2" t="str">
        <v>S2-00459-BH</v>
      </c>
      <c r="B1141" s="2" t="str">
        <v>INP1401</v>
      </c>
      <c r="C1141" s="20" t="str">
        <v>Nồi áp suất 4.5L INP1401</v>
      </c>
      <c r="D1141" s="2" t="str">
        <v>Cái</v>
      </c>
      <c r="E1141" s="2" t="str">
        <v>16</v>
      </c>
      <c r="F1141" s="2" t="str">
        <v>824074.05</v>
      </c>
      <c r="G1141" s="19" t="n">
        <v>14239999</v>
      </c>
      <c r="H1141" s="2" t="str">
        <v>2.xlsx | 订单!Q459</v>
      </c>
    </row>
    <row r="1142" ht="26" customHeight="1">
      <c r="A1142" s="2" t="str">
        <v>S2-00459-BH</v>
      </c>
      <c r="B1142" s="2" t="str">
        <v>INP1402</v>
      </c>
      <c r="C1142" s="20" t="str">
        <v>Nồi áp suất 6L INP1402</v>
      </c>
      <c r="D1142" s="2" t="str"/>
      <c r="E1142" s="2" t="str">
        <v>16</v>
      </c>
      <c r="F1142" s="2" t="str">
        <v>937962.95</v>
      </c>
      <c r="G1142" s="19" t="n">
        <v>16208000</v>
      </c>
      <c r="H1142" s="2" t="str">
        <v>2.xlsx | 订单!Q460</v>
      </c>
    </row>
    <row r="1143" ht="26" customHeight="1">
      <c r="A1143" s="2" t="str">
        <v>S2-00459-BH</v>
      </c>
      <c r="B1143" s="2" t="str">
        <v>INP2002</v>
      </c>
      <c r="C1143" s="20" t="str">
        <v>Bộ nồi inox INP2002</v>
      </c>
      <c r="D1143" s="2" t="str"/>
      <c r="E1143" s="2" t="str">
        <v>16</v>
      </c>
      <c r="F1143" s="2" t="str">
        <v>851851.85</v>
      </c>
      <c r="G1143" s="19" t="n">
        <v>14720000</v>
      </c>
      <c r="H1143" s="2" t="str">
        <v>2.xlsx | 订单!Q461</v>
      </c>
    </row>
    <row r="1144" ht="26" customHeight="1">
      <c r="A1144" s="2" t="str">
        <v>S2-00462-TH</v>
      </c>
      <c r="B1144" s="2" t="str">
        <v>INP6802</v>
      </c>
      <c r="C1144" s="20" t="str">
        <v>Thùng đựng gạo inoxpran INP6802</v>
      </c>
      <c r="D1144" s="2" t="str"/>
      <c r="E1144" s="2" t="str">
        <v>-20</v>
      </c>
      <c r="F1144" s="2" t="str">
        <v>882407.4</v>
      </c>
      <c r="G1144" s="19" t="n">
        <v>19060000</v>
      </c>
      <c r="H1144" s="2" t="str">
        <v>2.xlsx | 订单!Q462</v>
      </c>
    </row>
    <row r="1145" ht="26" customHeight="1">
      <c r="A1145" s="2" t="str">
        <v>S2-00462-TH</v>
      </c>
      <c r="B1145" s="2" t="str">
        <v>INP6501</v>
      </c>
      <c r="C1145" s="20" t="str">
        <v>Máy làm tỏi đen đa năng INP6501</v>
      </c>
      <c r="D1145" s="2" t="str"/>
      <c r="E1145" s="2" t="str">
        <v>-37</v>
      </c>
      <c r="F1145" s="2" t="str">
        <v>847222.22</v>
      </c>
      <c r="G1145" s="19" t="n">
        <v>33855000</v>
      </c>
      <c r="H1145" s="2" t="str">
        <v>2.xlsx | 订单!Q463</v>
      </c>
    </row>
    <row r="1146" ht="26" customHeight="1">
      <c r="A1146" s="2" t="str">
        <v>S2-00464-BH</v>
      </c>
      <c r="B1146" s="2" t="str">
        <v>INP6001</v>
      </c>
      <c r="C1146" s="20" t="str">
        <v>Nồi cơm điện tử (Nồi cơm điện đa năng giảm
đường) INP6001</v>
      </c>
      <c r="D1146" s="2" t="str"/>
      <c r="E1146" s="2" t="str">
        <v>50</v>
      </c>
      <c r="F1146" s="2" t="str">
        <v>1138888.88</v>
      </c>
      <c r="G1146" s="19" t="n">
        <v>61499999</v>
      </c>
      <c r="H1146" s="2" t="str">
        <v>2.xlsx | 订单!Q464</v>
      </c>
    </row>
    <row r="1147" ht="26" customHeight="1">
      <c r="A1147" s="2" t="str">
        <v>S2-00464-BH</v>
      </c>
      <c r="B1147" s="2" t="str">
        <v>INP6003</v>
      </c>
      <c r="C1147" s="20" t="str">
        <v>Nồi cơm điện tử (Nồi cơm điện đa năng giảm
đường) INP6003</v>
      </c>
      <c r="D1147" s="2" t="str"/>
      <c r="E1147" s="2" t="str">
        <v>20</v>
      </c>
      <c r="F1147" s="2" t="str">
        <v>851851.85</v>
      </c>
      <c r="G1147" s="19" t="n">
        <v>18400000</v>
      </c>
      <c r="H1147" s="2" t="str">
        <v>2.xlsx | 订单!Q465</v>
      </c>
    </row>
    <row r="1148" ht="26" customHeight="1">
      <c r="A1148" s="2" t="str">
        <v>S2-00464-BH</v>
      </c>
      <c r="B1148" s="2" t="str">
        <v>INP6102</v>
      </c>
      <c r="C1148" s="20" t="str">
        <v>Bếp từ đơn INP6102 ( 2500W), 2 quạt tản</v>
      </c>
      <c r="D1148" s="2" t="str"/>
      <c r="E1148" s="2" t="str">
        <v>20</v>
      </c>
      <c r="F1148" s="2" t="str">
        <v>937962.96</v>
      </c>
      <c r="G1148" s="19" t="n">
        <v>20260000</v>
      </c>
      <c r="H1148" s="2" t="str">
        <v>2.xlsx | 订单!Q466</v>
      </c>
    </row>
    <row r="1149" ht="26" customHeight="1">
      <c r="A1149" s="2" t="str">
        <v>S2-00464-BH</v>
      </c>
      <c r="B1149" s="2" t="str">
        <v>INP6104</v>
      </c>
      <c r="C1149" s="20" t="str">
        <v>Bếp từ đơn INP6104 ( 2500W ) </v>
      </c>
      <c r="D1149" s="2" t="str">
        <v>Cái</v>
      </c>
      <c r="E1149" s="2" t="str">
        <v>20</v>
      </c>
      <c r="F1149" s="2" t="str">
        <v>1007407.4</v>
      </c>
      <c r="G1149" s="19" t="n">
        <v>21760000</v>
      </c>
      <c r="H1149" s="2" t="str">
        <v>2.xlsx | 订单!Q467</v>
      </c>
    </row>
    <row r="1150" ht="26" customHeight="1">
      <c r="A1150" s="2" t="str">
        <v>S2-00464-BH</v>
      </c>
      <c r="B1150" s="2" t="str">
        <v>INP2002</v>
      </c>
      <c r="C1150" s="20" t="str">
        <v>Bộ nồi inox  INP2002</v>
      </c>
      <c r="D1150" s="2" t="str"/>
      <c r="E1150" s="2" t="str">
        <v>20</v>
      </c>
      <c r="F1150" s="2" t="str">
        <v>851851.85</v>
      </c>
      <c r="G1150" s="19" t="n">
        <v>18400000</v>
      </c>
      <c r="H1150" s="2" t="str">
        <v>2.xlsx | 订单!Q468</v>
      </c>
    </row>
    <row r="1151" ht="26" customHeight="1">
      <c r="A1151" s="2" t="str">
        <v>S2-00464-BH</v>
      </c>
      <c r="B1151" s="2" t="str">
        <v>INP6701</v>
      </c>
      <c r="C1151" s="20" t="str">
        <v>Máy xay thực phẩm INP6701</v>
      </c>
      <c r="D1151" s="2" t="str"/>
      <c r="E1151" s="2" t="str">
        <v>80</v>
      </c>
      <c r="F1151" s="2" t="str">
        <v>361111.11</v>
      </c>
      <c r="G1151" s="19" t="n">
        <v>31200000</v>
      </c>
      <c r="H1151" s="2" t="str">
        <v>2.xlsx | 订单!Q469</v>
      </c>
    </row>
    <row r="1152" ht="26" customHeight="1">
      <c r="A1152" s="2" t="str">
        <v>S2-00464-BH</v>
      </c>
      <c r="B1152" s="2" t="str">
        <v>INP2002</v>
      </c>
      <c r="C1152" s="20" t="str">
        <v>Bộ nồi inox  INP2002</v>
      </c>
      <c r="D1152" s="2" t="str"/>
      <c r="E1152" s="2" t="str">
        <v>30</v>
      </c>
      <c r="F1152" s="2" t="str">
        <v>851851.85</v>
      </c>
      <c r="G1152" s="19" t="n">
        <v>27600000</v>
      </c>
      <c r="H1152" s="2" t="str">
        <v>2.xlsx | 订单!Q471</v>
      </c>
    </row>
    <row r="1153" ht="26" customHeight="1">
      <c r="A1153" s="2" t="str">
        <v>S2-00474-BH</v>
      </c>
      <c r="B1153" s="2" t="str">
        <v>INP6401</v>
      </c>
      <c r="C1153" s="20" t="str">
        <v>Quạt đứng INP6401</v>
      </c>
      <c r="D1153" s="2" t="str">
        <v>cái</v>
      </c>
      <c r="E1153" s="2" t="str">
        <v>131</v>
      </c>
      <c r="F1153" s="2" t="str">
        <v>509259.26</v>
      </c>
      <c r="G1153" s="19" t="n">
        <v>72050000</v>
      </c>
      <c r="H1153" s="2" t="str">
        <v>2.xlsx | 订单!Q474</v>
      </c>
    </row>
    <row r="1154" ht="26" customHeight="1">
      <c r="A1154" s="2" t="str">
        <v>S2-00475-BH</v>
      </c>
      <c r="B1154" s="2" t="str">
        <v>INP6902</v>
      </c>
      <c r="C1154" s="20" t="str">
        <v>Nồi áp suất điện INP6902</v>
      </c>
      <c r="D1154" s="2" t="str"/>
      <c r="E1154" s="2" t="str">
        <v>15</v>
      </c>
      <c r="F1154" s="2" t="str">
        <v>814814.81</v>
      </c>
      <c r="G1154" s="19" t="n">
        <v>13200000</v>
      </c>
      <c r="H1154" s="2" t="str">
        <v>2.xlsx | 订单!Q475</v>
      </c>
    </row>
    <row r="1155" ht="26" customHeight="1">
      <c r="A1155" s="2" t="str">
        <v>S2-00475-BH</v>
      </c>
      <c r="B1155" s="2" t="str">
        <v>INP6903</v>
      </c>
      <c r="C1155" s="20" t="str">
        <v>Nồi áp suất điện INP6903</v>
      </c>
      <c r="D1155" s="2" t="str"/>
      <c r="E1155" s="2" t="str">
        <v>15</v>
      </c>
      <c r="F1155" s="2" t="str">
        <v>907407.41</v>
      </c>
      <c r="G1155" s="19" t="n">
        <v>14700000</v>
      </c>
      <c r="H1155" s="2" t="str">
        <v>2.xlsx | 订单!Q476</v>
      </c>
    </row>
    <row r="1156" ht="26" customHeight="1">
      <c r="A1156" s="2" t="str">
        <v>S2-00477-BH</v>
      </c>
      <c r="B1156" s="2" t="str">
        <v>INP6902</v>
      </c>
      <c r="C1156" s="20" t="str">
        <v>Nồi áp suất điện INP6902</v>
      </c>
      <c r="D1156" s="2" t="str"/>
      <c r="E1156" s="2" t="str">
        <v>15</v>
      </c>
      <c r="F1156" s="2" t="str">
        <v>814814.81</v>
      </c>
      <c r="G1156" s="19" t="n">
        <v>13200000</v>
      </c>
      <c r="H1156" s="2" t="str">
        <v>2.xlsx | 订单!Q477</v>
      </c>
    </row>
    <row r="1157" ht="26" customHeight="1">
      <c r="A1157" s="2" t="str">
        <v>S2-00477-BH</v>
      </c>
      <c r="B1157" s="2" t="str">
        <v>INP6903</v>
      </c>
      <c r="C1157" s="20" t="str">
        <v>Nồi áp suất điện INP6903</v>
      </c>
      <c r="D1157" s="2" t="str"/>
      <c r="E1157" s="2" t="str">
        <v>15</v>
      </c>
      <c r="F1157" s="2" t="str">
        <v>907407.41</v>
      </c>
      <c r="G1157" s="19" t="n">
        <v>14700000</v>
      </c>
      <c r="H1157" s="2" t="str">
        <v>2.xlsx | 订单!Q478</v>
      </c>
    </row>
    <row r="1158" ht="26" customHeight="1">
      <c r="A1158" s="2" t="str">
        <v>S2-00477-BH</v>
      </c>
      <c r="B1158" s="2" t="str">
        <v>INP6701</v>
      </c>
      <c r="C1158" s="20" t="str">
        <v>Máy xay thực phẩm INP6701</v>
      </c>
      <c r="D1158" s="2" t="str"/>
      <c r="E1158" s="2" t="str">
        <v>80</v>
      </c>
      <c r="F1158" s="2" t="str">
        <v>361111.11</v>
      </c>
      <c r="G1158" s="19" t="n">
        <v>31200000</v>
      </c>
      <c r="H1158" s="2" t="str">
        <v>2.xlsx | 订单!Q479</v>
      </c>
    </row>
    <row r="1159" ht="26" customHeight="1">
      <c r="A1159" s="2" t="str">
        <v>S2-00480-BH</v>
      </c>
      <c r="B1159" s="2" t="str">
        <v>INP6402</v>
      </c>
      <c r="C1159" s="20" t="str">
        <v>	
Quạt điện đứng INP6402</v>
      </c>
      <c r="D1159" s="2" t="str">
        <v>cái</v>
      </c>
      <c r="E1159" s="2" t="str">
        <v>20</v>
      </c>
      <c r="F1159" s="2" t="str">
        <v>574074.07</v>
      </c>
      <c r="G1159" s="19" t="n">
        <v>12400000</v>
      </c>
      <c r="H1159" s="2" t="str">
        <v>2.xlsx | 订单!Q480</v>
      </c>
    </row>
    <row r="1160" ht="26" customHeight="1">
      <c r="A1160" s="2" t="str">
        <v>S2-00480-BH</v>
      </c>
      <c r="B1160" s="2" t="str">
        <v>INP6403</v>
      </c>
      <c r="C1160" s="20" t="str">
        <v>Quạt điện đứng INP6403</v>
      </c>
      <c r="D1160" s="2" t="str"/>
      <c r="E1160" s="2" t="str">
        <v>50</v>
      </c>
      <c r="F1160" s="2" t="str">
        <v>694444.44</v>
      </c>
      <c r="G1160" s="19" t="n">
        <v>37500000</v>
      </c>
      <c r="H1160" s="2" t="str">
        <v>2.xlsx | 订单!Q481</v>
      </c>
    </row>
    <row r="1161" ht="26" customHeight="1">
      <c r="A1161" s="2" t="str">
        <v>S2-00482-BH</v>
      </c>
      <c r="B1161" s="2" t="str">
        <v>INP6407</v>
      </c>
      <c r="C1161" s="20" t="str">
        <v>Quạt để bàn mini INP6407</v>
      </c>
      <c r="D1161" s="2" t="str"/>
      <c r="E1161" s="2" t="str">
        <v>36</v>
      </c>
      <c r="F1161" s="2" t="str">
        <v>231481.48</v>
      </c>
      <c r="G1161" s="19" t="n">
        <v>9000000</v>
      </c>
      <c r="H1161" s="2" t="str">
        <v>2.xlsx | 订单!Q482</v>
      </c>
    </row>
    <row r="1162" ht="26" customHeight="1">
      <c r="A1162" s="2" t="str">
        <v>S2-00482-BH</v>
      </c>
      <c r="B1162" s="2" t="str">
        <v>INP6408</v>
      </c>
      <c r="C1162" s="20" t="str">
        <v>Quạt hai đầu đa năng để bàn INP6408</v>
      </c>
      <c r="D1162" s="2" t="str"/>
      <c r="E1162" s="2" t="str">
        <v>40</v>
      </c>
      <c r="F1162" s="2" t="str">
        <v>231481.5</v>
      </c>
      <c r="G1162" s="19" t="n">
        <v>10000001</v>
      </c>
      <c r="H1162" s="2" t="str">
        <v>2.xlsx | 订单!Q483</v>
      </c>
    </row>
    <row r="1163" ht="26" customHeight="1">
      <c r="A1163" s="2" t="str">
        <v>S2-00482-BH</v>
      </c>
      <c r="B1163" s="2" t="str">
        <v>INP6410</v>
      </c>
      <c r="C1163" s="20" t="str">
        <v>Quạt để bàn mini INP6410</v>
      </c>
      <c r="D1163" s="2" t="str"/>
      <c r="E1163" s="2" t="str">
        <v>60</v>
      </c>
      <c r="F1163" s="2" t="str">
        <v>231481.48</v>
      </c>
      <c r="G1163" s="19" t="n">
        <v>15000000</v>
      </c>
      <c r="H1163" s="2" t="str">
        <v>2.xlsx | 订单!Q484</v>
      </c>
    </row>
    <row r="1164" ht="26" customHeight="1">
      <c r="A1164" s="2" t="str">
        <v>S2-00482-BH</v>
      </c>
      <c r="B1164" s="2" t="str">
        <v>INP6411</v>
      </c>
      <c r="C1164" s="20" t="str">
        <v>Quạt tích điện INP6411</v>
      </c>
      <c r="D1164" s="2" t="str"/>
      <c r="E1164" s="2" t="str">
        <v>40</v>
      </c>
      <c r="F1164" s="2" t="str">
        <v>425925.92</v>
      </c>
      <c r="G1164" s="19" t="n">
        <v>18399999</v>
      </c>
      <c r="H1164" s="2" t="str">
        <v>2.xlsx | 订单!Q485</v>
      </c>
    </row>
    <row r="1165" ht="26" customHeight="1">
      <c r="A1165" s="2" t="str">
        <v>S2-00482-BH</v>
      </c>
      <c r="B1165" s="2" t="str">
        <v>INP6409</v>
      </c>
      <c r="C1165" s="20" t="str">
        <v>	
Quạt để bàn mini INP6409</v>
      </c>
      <c r="D1165" s="2" t="str"/>
      <c r="E1165" s="2" t="str">
        <v>60</v>
      </c>
      <c r="F1165" s="2" t="str">
        <v>203703.7</v>
      </c>
      <c r="G1165" s="19" t="n">
        <v>13200000</v>
      </c>
      <c r="H1165" s="2" t="str">
        <v>2.xlsx | 订单!Q486</v>
      </c>
    </row>
    <row r="1166" ht="26" customHeight="1">
      <c r="A1166" s="2" t="str">
        <v>S2-00482-BH</v>
      </c>
      <c r="B1166" s="2" t="str">
        <v>INP7901</v>
      </c>
      <c r="C1166" s="20" t="str">
        <v>Vợt muỗi điện INP7901</v>
      </c>
      <c r="D1166" s="2" t="str"/>
      <c r="E1166" s="2" t="str">
        <v>80</v>
      </c>
      <c r="F1166" s="2" t="str">
        <v>69444.44</v>
      </c>
      <c r="G1166" s="19" t="n">
        <v>6000000</v>
      </c>
      <c r="H1166" s="2" t="str">
        <v>2.xlsx | 订单!Q487</v>
      </c>
    </row>
    <row r="1167" ht="26" customHeight="1">
      <c r="A1167" s="2" t="str">
        <v>S2-00482-BH</v>
      </c>
      <c r="B1167" s="2" t="str">
        <v>INP7902</v>
      </c>
      <c r="C1167" s="20" t="str">
        <v>Vợt muỗi điện INP7902</v>
      </c>
      <c r="D1167" s="2" t="str"/>
      <c r="E1167" s="2" t="str">
        <v>80</v>
      </c>
      <c r="F1167" s="2" t="str">
        <v>97222.22</v>
      </c>
      <c r="G1167" s="19" t="n">
        <v>8400000</v>
      </c>
      <c r="H1167" s="2" t="str">
        <v>2.xlsx | 订单!Q488</v>
      </c>
    </row>
    <row r="1168" ht="26" customHeight="1">
      <c r="A1168" s="2" t="str">
        <v>S2-00490-BH</v>
      </c>
      <c r="B1168" s="2" t="str">
        <v>INP6901</v>
      </c>
      <c r="C1168" s="20" t="str">
        <v>Nồi áp suất điện INP6901</v>
      </c>
      <c r="D1168" s="2" t="str"/>
      <c r="E1168" s="2" t="str">
        <v>40</v>
      </c>
      <c r="F1168" s="2" t="str">
        <v>861111.11</v>
      </c>
      <c r="G1168" s="19" t="n">
        <v>37200000</v>
      </c>
      <c r="H1168" s="2" t="str">
        <v>2.xlsx | 订单!Q490</v>
      </c>
    </row>
    <row r="1169" ht="26" customHeight="1">
      <c r="A1169" s="2" t="str">
        <v>S2-00490-BH</v>
      </c>
      <c r="B1169" s="2" t="str">
        <v>INP6105</v>
      </c>
      <c r="C1169" s="20" t="str">
        <v>Bếp từ đơn INP6105</v>
      </c>
      <c r="D1169" s="2" t="str"/>
      <c r="E1169" s="2" t="str">
        <v>18</v>
      </c>
      <c r="F1169" s="2" t="str">
        <v>675925.93</v>
      </c>
      <c r="G1169" s="19" t="n">
        <v>13140000</v>
      </c>
      <c r="H1169" s="2" t="str">
        <v>2.xlsx | 订单!Q491</v>
      </c>
    </row>
    <row r="1170" ht="26" customHeight="1">
      <c r="A1170" s="2" t="str">
        <v>S2-01013-BH</v>
      </c>
      <c r="B1170" s="2" t="str">
        <v>INP6401</v>
      </c>
      <c r="C1170" s="20" t="str">
        <v>Quạt đứng INP6401</v>
      </c>
      <c r="D1170" s="2" t="str">
        <v>cái</v>
      </c>
      <c r="E1170" s="2" t="str">
        <v>100</v>
      </c>
      <c r="F1170" s="2" t="str">
        <v>509259.26</v>
      </c>
      <c r="G1170" s="19" t="n">
        <v>55000000</v>
      </c>
      <c r="H1170" s="2" t="str">
        <v>2.xlsx | 订单!Q1013</v>
      </c>
    </row>
    <row r="1171" ht="26" customHeight="1">
      <c r="A1171" s="2" t="str">
        <v>S2-01014-TH</v>
      </c>
      <c r="B1171" s="2" t="str">
        <v>INP6401</v>
      </c>
      <c r="C1171" s="20" t="str">
        <v>Quạt đứng INP6401</v>
      </c>
      <c r="D1171" s="2" t="str">
        <v>cái</v>
      </c>
      <c r="E1171" s="2" t="str">
        <v>-140</v>
      </c>
      <c r="F1171" s="2" t="str">
        <v>509259.26</v>
      </c>
      <c r="G1171" s="19" t="n">
        <v>77000000</v>
      </c>
      <c r="H1171" s="2" t="str">
        <v>2.xlsx | 订单!Q1014</v>
      </c>
    </row>
    <row r="1172" ht="26" customHeight="1">
      <c r="A1172" s="2" t="str">
        <v>S2-01015-BH</v>
      </c>
      <c r="B1172" s="2" t="str">
        <v>INP6004</v>
      </c>
      <c r="C1172" s="20" t="str">
        <v>Nồi cơm điện INP6004 (1,2L)</v>
      </c>
      <c r="D1172" s="2" t="str">
        <v>cái</v>
      </c>
      <c r="E1172" s="2" t="str">
        <v>30</v>
      </c>
      <c r="F1172" s="2" t="str">
        <v>542592.59</v>
      </c>
      <c r="G1172" s="19" t="n">
        <v>17580000</v>
      </c>
      <c r="H1172" s="2" t="str">
        <v>2.xlsx | 订单!Q1015</v>
      </c>
    </row>
    <row r="1173" ht="26" customHeight="1">
      <c r="A1173" s="2" t="str">
        <v>S2-01015-BH</v>
      </c>
      <c r="B1173" s="2" t="str">
        <v>INP6005</v>
      </c>
      <c r="C1173" s="20" t="str">
        <v>Nồi cơm điện INP6005</v>
      </c>
      <c r="D1173" s="2" t="str">
        <v>cái</v>
      </c>
      <c r="E1173" s="2" t="str">
        <v>15</v>
      </c>
      <c r="F1173" s="2" t="str">
        <v>644444.44</v>
      </c>
      <c r="G1173" s="19" t="n">
        <v>10440000</v>
      </c>
      <c r="H1173" s="2" t="str">
        <v>2.xlsx | 订单!Q1016</v>
      </c>
    </row>
    <row r="1174" ht="26" customHeight="1">
      <c r="A1174" s="2" t="str">
        <v>S2-01015-BH</v>
      </c>
      <c r="B1174" s="2" t="str">
        <v>INP6006</v>
      </c>
      <c r="C1174" s="20" t="str">
        <v>Nồi cơm điện INP6006 (1,2L)</v>
      </c>
      <c r="D1174" s="2" t="str">
        <v>cái</v>
      </c>
      <c r="E1174" s="2" t="str">
        <v>30</v>
      </c>
      <c r="F1174" s="2" t="str">
        <v>527777.77</v>
      </c>
      <c r="G1174" s="19" t="n">
        <v>17100000</v>
      </c>
      <c r="H1174" s="2" t="str">
        <v>2.xlsx | 订单!Q1017</v>
      </c>
    </row>
    <row r="1175" ht="26" customHeight="1">
      <c r="A1175" s="2" t="str">
        <v>S2-01015-BH</v>
      </c>
      <c r="B1175" s="2" t="str">
        <v>INP6007</v>
      </c>
      <c r="C1175" s="20" t="str">
        <v>Nồi cơm điện INP6007 (1,8L)</v>
      </c>
      <c r="D1175" s="2" t="str">
        <v>cái</v>
      </c>
      <c r="E1175" s="2" t="str">
        <v>15</v>
      </c>
      <c r="F1175" s="2" t="str">
        <v>629629.63</v>
      </c>
      <c r="G1175" s="19" t="n">
        <v>10200000</v>
      </c>
      <c r="H1175" s="2" t="str">
        <v>2.xlsx | 订单!Q1018</v>
      </c>
    </row>
    <row r="1176" ht="26" customHeight="1">
      <c r="A1176" s="2" t="str">
        <v>S2-01015-BH</v>
      </c>
      <c r="B1176" s="2" t="str">
        <v>INP6012</v>
      </c>
      <c r="C1176" s="20" t="str">
        <v>Nồi cơm điện INP6012 (1,8L)</v>
      </c>
      <c r="D1176" s="2" t="str">
        <v>cái</v>
      </c>
      <c r="E1176" s="2" t="str">
        <v>4</v>
      </c>
      <c r="F1176" s="2" t="str">
        <v>601851.85</v>
      </c>
      <c r="G1176" s="19" t="n">
        <v>2600000</v>
      </c>
      <c r="H1176" s="2" t="str">
        <v>2.xlsx | 订单!Q1019</v>
      </c>
    </row>
    <row r="1177" ht="26" customHeight="1">
      <c r="A1177" s="2" t="str">
        <v>S2-01015-BH</v>
      </c>
      <c r="B1177" s="2" t="str">
        <v>INP6008</v>
      </c>
      <c r="C1177" s="20" t="str">
        <v>Nồi cơm điện INP6008 (1,2L)</v>
      </c>
      <c r="D1177" s="2" t="str">
        <v>cái</v>
      </c>
      <c r="E1177" s="2" t="str">
        <v>30</v>
      </c>
      <c r="F1177" s="2" t="str">
        <v>574074.07</v>
      </c>
      <c r="G1177" s="19" t="n">
        <v>18600000</v>
      </c>
      <c r="H1177" s="2" t="str">
        <v>2.xlsx | 订单!Q1020</v>
      </c>
    </row>
    <row r="1178" ht="26" customHeight="1">
      <c r="A1178" s="2" t="str">
        <v>S2-01015-BH</v>
      </c>
      <c r="B1178" s="2" t="str">
        <v>INP6009</v>
      </c>
      <c r="C1178" s="20" t="str">
        <v>Nồi cơm điện INP6009 (1,8L)</v>
      </c>
      <c r="D1178" s="2" t="str">
        <v>cái</v>
      </c>
      <c r="E1178" s="2" t="str">
        <v>15</v>
      </c>
      <c r="F1178" s="2" t="str">
        <v>694444.44</v>
      </c>
      <c r="G1178" s="19" t="n">
        <v>11250000</v>
      </c>
      <c r="H1178" s="2" t="str">
        <v>2.xlsx | 订单!Q1021</v>
      </c>
    </row>
    <row r="1179" ht="26" customHeight="1">
      <c r="A1179" s="2" t="str">
        <v>S2-01015-BH</v>
      </c>
      <c r="B1179" s="2" t="str">
        <v>INP6011</v>
      </c>
      <c r="C1179" s="20" t="str">
        <v>Nồi cơm điện INP6011 (1,8L)</v>
      </c>
      <c r="D1179" s="2" t="str">
        <v>cái</v>
      </c>
      <c r="E1179" s="2" t="str">
        <v>15</v>
      </c>
      <c r="F1179" s="2" t="str">
        <v>574074.07</v>
      </c>
      <c r="G1179" s="19" t="n">
        <v>9300000</v>
      </c>
      <c r="H1179" s="2" t="str">
        <v>2.xlsx | 订单!Q1023</v>
      </c>
    </row>
    <row r="1180" ht="26" customHeight="1">
      <c r="A1180" s="2" t="str">
        <v>S2-01022-BH</v>
      </c>
      <c r="B1180" s="2" t="str">
        <v>INP6010</v>
      </c>
      <c r="C1180" s="20" t="str">
        <v>Nồi cơm điện INP6010 (1,2L)</v>
      </c>
      <c r="D1180" s="2" t="str">
        <v>cái</v>
      </c>
      <c r="E1180" s="2" t="str">
        <v>30</v>
      </c>
      <c r="F1180" s="2" t="str">
        <v>481481.48</v>
      </c>
      <c r="G1180" s="19" t="n">
        <v>15600000</v>
      </c>
      <c r="H1180" s="2" t="str">
        <v>2.xlsx | 订单!Q1022</v>
      </c>
    </row>
    <row r="1181" ht="26" customHeight="1">
      <c r="A1181" s="2" t="str">
        <v>S2-01022-BH</v>
      </c>
      <c r="B1181" s="2" t="str">
        <v>INP6403</v>
      </c>
      <c r="C1181" s="20" t="str">
        <v>Quạt điện đứng INP6403</v>
      </c>
      <c r="D1181" s="2" t="str">
        <v>cái</v>
      </c>
      <c r="E1181" s="2" t="str">
        <v>15</v>
      </c>
      <c r="F1181" s="2" t="str">
        <v>694444.44</v>
      </c>
      <c r="G1181" s="19" t="n">
        <v>11250000</v>
      </c>
      <c r="H1181" s="2" t="str">
        <v>2.xlsx | 订单!Q1032</v>
      </c>
    </row>
    <row r="1182" ht="26" customHeight="1">
      <c r="A1182" s="2" t="str">
        <v>S2-01553-BH</v>
      </c>
      <c r="B1182" s="2" t="str">
        <v>INP6102</v>
      </c>
      <c r="C1182" s="20" t="str">
        <v>Bếp từ đơn INP6102 ( 2500W), 2 quạt tản</v>
      </c>
      <c r="D1182" s="2" t="str">
        <v>Cái</v>
      </c>
      <c r="E1182" s="2" t="str">
        <v>24</v>
      </c>
      <c r="F1182" s="2" t="str">
        <v>937962.96</v>
      </c>
      <c r="G1182" s="19" t="n">
        <v>24312000</v>
      </c>
      <c r="H1182" s="2" t="str">
        <v>2.xlsx | 订单!Q1553</v>
      </c>
    </row>
    <row r="1183" ht="26" customHeight="1">
      <c r="A1183" s="2" t="str">
        <v>S2-01553-BH</v>
      </c>
      <c r="B1183" s="2" t="str">
        <v>INP6902</v>
      </c>
      <c r="C1183" s="20" t="str">
        <v>Nồi áp suất điện INP6902</v>
      </c>
      <c r="D1183" s="2" t="str">
        <v>Cái</v>
      </c>
      <c r="E1183" s="2" t="str">
        <v>20</v>
      </c>
      <c r="F1183" s="2" t="str">
        <v>814814.81</v>
      </c>
      <c r="G1183" s="19" t="n">
        <v>17600000</v>
      </c>
      <c r="H1183" s="2" t="str">
        <v>2.xlsx | 订单!Q1555</v>
      </c>
    </row>
    <row r="1184" ht="26" customHeight="1">
      <c r="A1184" s="2" t="str">
        <v>S2-01553-BH</v>
      </c>
      <c r="B1184" s="2" t="str">
        <v>INP6105</v>
      </c>
      <c r="C1184" s="20" t="str">
        <v>Bếp từ đơn INP6105</v>
      </c>
      <c r="D1184" s="2" t="str">
        <v>Cái</v>
      </c>
      <c r="E1184" s="2" t="str">
        <v>24</v>
      </c>
      <c r="F1184" s="2" t="str">
        <v>675925.93</v>
      </c>
      <c r="G1184" s="19" t="n">
        <v>17520000</v>
      </c>
      <c r="H1184" s="2" t="str">
        <v>2.xlsx | 订单!Q1554</v>
      </c>
    </row>
    <row r="1185" ht="26" customHeight="1">
      <c r="A1185" s="2" t="str">
        <v>S2-01553-BH</v>
      </c>
      <c r="B1185" s="2" t="str">
        <v>INP6010</v>
      </c>
      <c r="C1185" s="20" t="str">
        <v>Nồi cơm điện INP6010 (1,2L)</v>
      </c>
      <c r="D1185" s="2" t="str">
        <v>Cái</v>
      </c>
      <c r="E1185" s="2" t="str">
        <v>45</v>
      </c>
      <c r="F1185" s="2" t="str">
        <v>481481.48</v>
      </c>
      <c r="G1185" s="19" t="n">
        <v>23400000</v>
      </c>
      <c r="H1185" s="2" t="str">
        <v>2.xlsx | 订单!Q1556</v>
      </c>
    </row>
    <row r="1186" ht="26" customHeight="1">
      <c r="A1186" s="2" t="str">
        <v>S2-01553-BH</v>
      </c>
      <c r="B1186" s="2" t="str">
        <v>INP6011</v>
      </c>
      <c r="C1186" s="20" t="str">
        <v>Nồi cơm điện INP6011 (1,8L)</v>
      </c>
      <c r="D1186" s="2" t="str">
        <v>Cái</v>
      </c>
      <c r="E1186" s="2" t="str">
        <v>15</v>
      </c>
      <c r="F1186" s="2" t="str">
        <v>574074.07</v>
      </c>
      <c r="G1186" s="19" t="n">
        <v>9300000</v>
      </c>
      <c r="H1186" s="2" t="str">
        <v>2.xlsx | 订单!Q1557</v>
      </c>
    </row>
    <row r="1187" ht="26" customHeight="1">
      <c r="A1187" s="2" t="str">
        <v>S2-01628-TH</v>
      </c>
      <c r="B1187" s="2" t="str">
        <v>INP6408</v>
      </c>
      <c r="C1187" s="20" t="str">
        <v>Quạt hai đầu đa năng để bàn INP6408</v>
      </c>
      <c r="D1187" s="2" t="str">
        <v>Cái</v>
      </c>
      <c r="E1187" s="2" t="str">
        <v>-20</v>
      </c>
      <c r="F1187" s="2" t="str">
        <v>231481.5</v>
      </c>
      <c r="G1187" s="19" t="n">
        <v>5000001</v>
      </c>
      <c r="H1187" s="2" t="str">
        <v>2.xlsx | 订单!Q1628</v>
      </c>
    </row>
    <row r="1188" ht="26" customHeight="1">
      <c r="A1188" s="2" t="str">
        <v>S2-01628-TH</v>
      </c>
      <c r="B1188" s="2" t="str">
        <v>INP7901</v>
      </c>
      <c r="C1188" s="20" t="str">
        <v>Vợt muỗi điện INP7901</v>
      </c>
      <c r="D1188" s="2" t="str">
        <v>Cái</v>
      </c>
      <c r="E1188" s="2" t="str">
        <v>-80</v>
      </c>
      <c r="F1188" s="2" t="str">
        <v>69444.44</v>
      </c>
      <c r="G1188" s="19" t="n">
        <v>6000000</v>
      </c>
      <c r="H1188" s="2" t="str">
        <v>2.xlsx | 订单!Q1629</v>
      </c>
    </row>
    <row r="1189" ht="26" customHeight="1">
      <c r="A1189" s="2" t="str">
        <v>S2-01628-TH</v>
      </c>
      <c r="B1189" s="2" t="str">
        <v>INP7902</v>
      </c>
      <c r="C1189" s="20" t="str">
        <v>Vợt muỗi điện INP7902</v>
      </c>
      <c r="D1189" s="2" t="str">
        <v>Cái</v>
      </c>
      <c r="E1189" s="2" t="str">
        <v>-80</v>
      </c>
      <c r="F1189" s="2" t="str">
        <v>97222.22</v>
      </c>
      <c r="G1189" s="19" t="n">
        <v>8400000</v>
      </c>
      <c r="H1189" s="2" t="str">
        <v>2.xlsx | 订单!Q1630</v>
      </c>
    </row>
    <row r="1190" ht="26" customHeight="1">
      <c r="A1190" s="2" t="str">
        <v>S2-01628-TH</v>
      </c>
      <c r="B1190" s="2" t="str">
        <v>INP6402</v>
      </c>
      <c r="C1190" s="20" t="str">
        <v>	
Quạt điện đứng INP6402</v>
      </c>
      <c r="D1190" s="2" t="str">
        <v>Cái</v>
      </c>
      <c r="E1190" s="2" t="str">
        <v>-20</v>
      </c>
      <c r="F1190" s="2" t="str">
        <v>574074.07</v>
      </c>
      <c r="G1190" s="19" t="n">
        <v>12400000</v>
      </c>
      <c r="H1190" s="2" t="str">
        <v>2.xlsx | 订单!Q1632</v>
      </c>
    </row>
    <row r="1191" ht="26" customHeight="1">
      <c r="A1191" s="2" t="str">
        <v>S2-01628-TH</v>
      </c>
      <c r="B1191" s="2" t="str">
        <v>INP6401(XANH)</v>
      </c>
      <c r="C1191" s="20" t="str">
        <v>Quạt đứng INP6401</v>
      </c>
      <c r="D1191" s="2" t="str">
        <v>Cái</v>
      </c>
      <c r="E1191" s="2" t="str">
        <v>-36</v>
      </c>
      <c r="F1191" s="2" t="str">
        <v>509259.26</v>
      </c>
      <c r="G1191" s="19" t="n">
        <v>19800000</v>
      </c>
      <c r="H1191" s="2" t="str">
        <v>2.xlsx | 订单!Q1633</v>
      </c>
    </row>
    <row r="1192" ht="26" customHeight="1">
      <c r="A1192" s="2" t="str">
        <v>S2-01628-TH</v>
      </c>
      <c r="B1192" s="2" t="str">
        <v>INP6401(ĐEN)</v>
      </c>
      <c r="C1192" s="20" t="str">
        <v>Quạt đứng INP6401</v>
      </c>
      <c r="D1192" s="2" t="str">
        <v>Cái</v>
      </c>
      <c r="E1192" s="2" t="str">
        <v>-27</v>
      </c>
      <c r="F1192" s="2" t="str">
        <v>509259.26</v>
      </c>
      <c r="G1192" s="19" t="n">
        <v>14850000</v>
      </c>
      <c r="H1192" s="2" t="str">
        <v>2.xlsx | 订单!Q1634</v>
      </c>
    </row>
    <row r="1193" ht="26" customHeight="1">
      <c r="A1193" s="2" t="str">
        <v>S2-01628-TH</v>
      </c>
      <c r="B1193" s="2" t="str">
        <v>INP6901</v>
      </c>
      <c r="C1193" s="20" t="str">
        <v>Nồi áp suất điện INP6901</v>
      </c>
      <c r="D1193" s="2" t="str">
        <v>Cái</v>
      </c>
      <c r="E1193" s="2" t="str">
        <v>-32</v>
      </c>
      <c r="F1193" s="2" t="str">
        <v>861111.11</v>
      </c>
      <c r="G1193" s="19" t="n">
        <v>29760000</v>
      </c>
      <c r="H1193" s="2" t="str">
        <v>2.xlsx | 订单!Q1637</v>
      </c>
    </row>
    <row r="1194" ht="26" customHeight="1">
      <c r="A1194" s="2" t="str">
        <v>S2-01641-BH</v>
      </c>
      <c r="B1194" s="2" t="str">
        <v>INP6102</v>
      </c>
      <c r="C1194" s="20" t="str">
        <v>Bếp từ đơn INP6102 ( 2500W), 2 quạt tản</v>
      </c>
      <c r="D1194" s="2" t="str">
        <v>Cái</v>
      </c>
      <c r="E1194" s="2" t="str">
        <v>32</v>
      </c>
      <c r="F1194" s="2" t="str">
        <v>937962.96</v>
      </c>
      <c r="G1194" s="19" t="n">
        <v>32416000</v>
      </c>
      <c r="H1194" s="2" t="str">
        <v>2.xlsx | 订单!Q1641</v>
      </c>
    </row>
    <row r="1195" ht="26" customHeight="1">
      <c r="A1195" s="2" t="str">
        <v>S2-01641-BH</v>
      </c>
      <c r="B1195" s="2" t="str">
        <v>INP6101</v>
      </c>
      <c r="C1195" s="20" t="str">
        <v>Bếp từ đơn INP6101( 2200W, mặt kính màu sữa )</v>
      </c>
      <c r="D1195" s="2" t="str">
        <v>Cái</v>
      </c>
      <c r="E1195" s="2" t="str">
        <v>30</v>
      </c>
      <c r="F1195" s="2" t="str">
        <v>601851.85</v>
      </c>
      <c r="G1195" s="19" t="n">
        <v>19500000</v>
      </c>
      <c r="H1195" s="2" t="str">
        <v>2.xlsx | 订单!Q1643</v>
      </c>
    </row>
    <row r="1196" ht="26" customHeight="1">
      <c r="A1196" s="2" t="str">
        <v>S2-01641-BH</v>
      </c>
      <c r="B1196" s="2" t="str">
        <v>INP6105</v>
      </c>
      <c r="C1196" s="20" t="str">
        <v>Bếp từ đơn INP6105</v>
      </c>
      <c r="D1196" s="2" t="str">
        <v>Cái</v>
      </c>
      <c r="E1196" s="2" t="str">
        <v>60</v>
      </c>
      <c r="F1196" s="2" t="str">
        <v>675925.93</v>
      </c>
      <c r="G1196" s="19" t="n">
        <v>43800000</v>
      </c>
      <c r="H1196" s="2" t="str">
        <v>2.xlsx | 订单!Q1642</v>
      </c>
    </row>
    <row r="1197" ht="26" customHeight="1">
      <c r="A1197" s="2" t="str">
        <v>S2-01840-BH</v>
      </c>
      <c r="B1197" s="2" t="str">
        <v>INP6004</v>
      </c>
      <c r="C1197" s="20" t="str">
        <v>Nồi cơm điện INP6004 (1,2L)</v>
      </c>
      <c r="D1197" s="2" t="str">
        <v>Cái</v>
      </c>
      <c r="E1197" s="2" t="str">
        <v>30</v>
      </c>
      <c r="F1197" s="2" t="str">
        <v>537037.04</v>
      </c>
      <c r="G1197" s="19" t="n">
        <v>17400000</v>
      </c>
      <c r="H1197" s="2" t="str">
        <v>2.xlsx | 订单!Q1840</v>
      </c>
    </row>
    <row r="1198" ht="26" customHeight="1">
      <c r="A1198" s="2" t="str">
        <v>S2-01840-BH</v>
      </c>
      <c r="B1198" s="2" t="str">
        <v>INP6005</v>
      </c>
      <c r="C1198" s="20" t="str">
        <v>Nồi cơm điện INP6005 (1,8L)</v>
      </c>
      <c r="D1198" s="2" t="str">
        <v>Cái</v>
      </c>
      <c r="E1198" s="2" t="str">
        <v>15</v>
      </c>
      <c r="F1198" s="2" t="str">
        <v>638888.89</v>
      </c>
      <c r="G1198" s="19" t="n">
        <v>10350000</v>
      </c>
      <c r="H1198" s="2" t="str">
        <v>2.xlsx | 订单!Q1841</v>
      </c>
    </row>
    <row r="1199" ht="26" customHeight="1">
      <c r="A1199" s="2" t="str">
        <v>S2-01840-BH</v>
      </c>
      <c r="B1199" s="2" t="str">
        <v>INP7951</v>
      </c>
      <c r="C1199" s="20" t="str">
        <v>Máy sấy tóc INP7951</v>
      </c>
      <c r="D1199" s="2" t="str">
        <v>Cái</v>
      </c>
      <c r="E1199" s="2" t="str">
        <v>30</v>
      </c>
      <c r="F1199" s="2" t="str">
        <v>388888.89</v>
      </c>
      <c r="G1199" s="19" t="n">
        <v>12600000</v>
      </c>
      <c r="H1199" s="2" t="str">
        <v>2.xlsx | 订单!Q1846</v>
      </c>
    </row>
    <row r="1200" ht="26" customHeight="1">
      <c r="A1200" s="2" t="str">
        <v>S2-01840-BH</v>
      </c>
      <c r="B1200" s="2" t="str">
        <v>INP7952</v>
      </c>
      <c r="C1200" s="20" t="str">
        <v>Máy sấy tóc INP7952</v>
      </c>
      <c r="D1200" s="2" t="str">
        <v>Cái</v>
      </c>
      <c r="E1200" s="2" t="str">
        <v>50</v>
      </c>
      <c r="F1200" s="2" t="str">
        <v>292592.59</v>
      </c>
      <c r="G1200" s="19" t="n">
        <v>15800000</v>
      </c>
      <c r="H1200" s="2" t="str">
        <v>2.xlsx | 订单!Q1847</v>
      </c>
    </row>
    <row r="1201" ht="26" customHeight="1">
      <c r="A1201" s="2" t="str">
        <v>S2-01840-BH</v>
      </c>
      <c r="B1201" s="2" t="str">
        <v>INP7953</v>
      </c>
      <c r="C1201" s="20" t="str">
        <v>Máy sấy tóc INP7953</v>
      </c>
      <c r="D1201" s="2" t="str">
        <v>Cái</v>
      </c>
      <c r="E1201" s="2" t="str">
        <v>50</v>
      </c>
      <c r="F1201" s="2" t="str">
        <v>231481.48</v>
      </c>
      <c r="G1201" s="19" t="n">
        <v>12500000</v>
      </c>
      <c r="H1201" s="2" t="str">
        <v>2.xlsx | 订单!Q1848</v>
      </c>
    </row>
    <row r="1202" ht="26" customHeight="1">
      <c r="A1202" s="2" t="str">
        <v>S2-01840-BH</v>
      </c>
      <c r="B1202" s="2" t="str">
        <v>INP6006</v>
      </c>
      <c r="C1202" s="20" t="str">
        <v>Nồi cơm điện INP6006 (1,2L)</v>
      </c>
      <c r="D1202" s="2" t="str">
        <v>Cái</v>
      </c>
      <c r="E1202" s="2" t="str">
        <v>30</v>
      </c>
      <c r="F1202" s="2" t="str">
        <v>527777.78</v>
      </c>
      <c r="G1202" s="19" t="n">
        <v>17100000</v>
      </c>
      <c r="H1202" s="2" t="str">
        <v>2.xlsx | 订单!Q1842</v>
      </c>
    </row>
    <row r="1203" ht="26" customHeight="1">
      <c r="A1203" s="2" t="str">
        <v>S2-01840-BH</v>
      </c>
      <c r="B1203" s="2" t="str">
        <v>INP6007</v>
      </c>
      <c r="C1203" s="20" t="str">
        <v>Nồi cơm điện INP6007 (1,8L)</v>
      </c>
      <c r="D1203" s="2" t="str">
        <v>Cái</v>
      </c>
      <c r="E1203" s="2" t="str">
        <v>15</v>
      </c>
      <c r="F1203" s="2" t="str">
        <v>629629.63</v>
      </c>
      <c r="G1203" s="19" t="n">
        <v>10200000</v>
      </c>
      <c r="H1203" s="2" t="str">
        <v>2.xlsx | 订单!Q1843</v>
      </c>
    </row>
    <row r="1204" ht="26" customHeight="1">
      <c r="A1204" s="2" t="str">
        <v>S2-01840-BH</v>
      </c>
      <c r="B1204" s="2" t="str">
        <v>INP6010</v>
      </c>
      <c r="C1204" s="20" t="str">
        <v>Nồi cơm điện INP6010 (1,2L)</v>
      </c>
      <c r="D1204" s="2" t="str">
        <v>Cái</v>
      </c>
      <c r="E1204" s="2" t="str">
        <v>60</v>
      </c>
      <c r="F1204" s="2" t="str">
        <v>481481.48</v>
      </c>
      <c r="G1204" s="19" t="n">
        <v>31200000</v>
      </c>
      <c r="H1204" s="2" t="str">
        <v>2.xlsx | 订单!Q1844</v>
      </c>
    </row>
    <row r="1205" ht="26" customHeight="1">
      <c r="A1205" s="2" t="str">
        <v>S2-01840-BH</v>
      </c>
      <c r="B1205" s="2" t="str">
        <v>INP6011</v>
      </c>
      <c r="C1205" s="20" t="str">
        <v>Nồi cơm điện INP6011 (1,8L)</v>
      </c>
      <c r="D1205" s="2" t="str">
        <v>Cái</v>
      </c>
      <c r="E1205" s="2" t="str">
        <v>30</v>
      </c>
      <c r="F1205" s="2" t="str">
        <v>574074.07</v>
      </c>
      <c r="G1205" s="19" t="n">
        <v>18600000</v>
      </c>
      <c r="H1205" s="2" t="str">
        <v>2.xlsx | 订单!Q1845</v>
      </c>
    </row>
    <row r="1206" ht="26" customHeight="1">
      <c r="A1206" s="2" t="str">
        <v>S2-02031-BH</v>
      </c>
      <c r="B1206" s="2" t="str">
        <v>INP1001</v>
      </c>
      <c r="C1206" s="20" t="str">
        <v>Bộ nồi inox INP1001</v>
      </c>
      <c r="D1206" s="2" t="str">
        <v>Bộ</v>
      </c>
      <c r="E1206" s="2" t="str">
        <v>20</v>
      </c>
      <c r="F1206" s="2" t="str">
        <v>480555.56</v>
      </c>
      <c r="G1206" s="19" t="n">
        <v>10380000.1</v>
      </c>
      <c r="H1206" s="2" t="str">
        <v>2.xlsx | 订单!Q2031</v>
      </c>
    </row>
    <row r="1207" ht="26" customHeight="1">
      <c r="A1207" s="2" t="str">
        <v>S2-02031-BH</v>
      </c>
      <c r="B1207" s="2" t="str">
        <v>INP1101</v>
      </c>
      <c r="C1207" s="20" t="str">
        <v>Bộ nồi inox  INP1101</v>
      </c>
      <c r="D1207" s="2" t="str">
        <v>Bộ</v>
      </c>
      <c r="E1207" s="2" t="str">
        <v>20</v>
      </c>
      <c r="F1207" s="2" t="str">
        <v>483333.33</v>
      </c>
      <c r="G1207" s="19" t="n">
        <v>10439999.93</v>
      </c>
      <c r="H1207" s="2" t="str">
        <v>2.xlsx | 订单!Q2032</v>
      </c>
    </row>
    <row r="1208" ht="26" customHeight="1">
      <c r="A1208" s="2" t="str">
        <v>S2-02031-BH</v>
      </c>
      <c r="B1208" s="2" t="str">
        <v>INP6151</v>
      </c>
      <c r="C1208" s="20" t="str">
        <v>Bếp hồng ngoại INP6151</v>
      </c>
      <c r="D1208" s="2" t="str">
        <v>Cái</v>
      </c>
      <c r="E1208" s="2" t="str">
        <v>2</v>
      </c>
      <c r="F1208" s="2" t="str">
        <v>537037.04</v>
      </c>
      <c r="G1208" s="19" t="n">
        <v>1160000.01</v>
      </c>
      <c r="H1208" s="2" t="str">
        <v>2.xlsx | 订单!Q2033</v>
      </c>
    </row>
    <row r="1209" ht="26" customHeight="1">
      <c r="A1209" s="2" t="str">
        <v>S2-02031-BH</v>
      </c>
      <c r="B1209" s="2" t="str">
        <v>INP6152</v>
      </c>
      <c r="C1209" s="20" t="str">
        <v>Bếp hồng ngoại INP6152</v>
      </c>
      <c r="D1209" s="2" t="str">
        <v>Cái</v>
      </c>
      <c r="E1209" s="2" t="str">
        <v>2</v>
      </c>
      <c r="F1209" s="2" t="str">
        <v>500000</v>
      </c>
      <c r="G1209" s="19" t="n">
        <v>1080000</v>
      </c>
      <c r="H1209" s="2" t="str">
        <v>2.xlsx | 订单!Q2034</v>
      </c>
    </row>
    <row r="1210" ht="26" customHeight="1">
      <c r="A1210" s="2" t="str">
        <v>S2-02031-BH</v>
      </c>
      <c r="B1210" s="2" t="str">
        <v>INP6153</v>
      </c>
      <c r="C1210" s="20" t="str">
        <v>Bếp hồng ngoại INP6153</v>
      </c>
      <c r="D1210" s="2" t="str">
        <v>Cái</v>
      </c>
      <c r="E1210" s="2" t="str">
        <v>2</v>
      </c>
      <c r="F1210" s="2" t="str">
        <v>555555.56</v>
      </c>
      <c r="G1210" s="19" t="n">
        <v>1200000.01</v>
      </c>
      <c r="H1210" s="2" t="str">
        <v>2.xlsx | 订单!Q2035</v>
      </c>
    </row>
    <row r="1211" ht="26" customHeight="1">
      <c r="A1211" s="2" t="str">
        <v>S2-02031-BH</v>
      </c>
      <c r="B1211" s="2" t="str">
        <v>INP6154</v>
      </c>
      <c r="C1211" s="20" t="str">
        <v>Bếp hồng ngoại INP6154</v>
      </c>
      <c r="D1211" s="2" t="str">
        <v>Cái</v>
      </c>
      <c r="E1211" s="2" t="str">
        <v>2</v>
      </c>
      <c r="F1211" s="2" t="str">
        <v>564814.81</v>
      </c>
      <c r="G1211" s="19" t="n">
        <v>1219999.99</v>
      </c>
      <c r="H1211" s="2" t="str">
        <v>2.xlsx | 订单!Q2036</v>
      </c>
    </row>
    <row r="1212" ht="26" customHeight="1">
      <c r="A1212" s="2" t="str">
        <v>S2-02031-BH</v>
      </c>
      <c r="B1212" s="2" t="str">
        <v>INP6207</v>
      </c>
      <c r="C1212" s="20" t="str">
        <v>Ấm siêu tốc INP6207</v>
      </c>
      <c r="D1212" s="2" t="str">
        <v>Cái</v>
      </c>
      <c r="E1212" s="2" t="str">
        <v>2</v>
      </c>
      <c r="F1212" s="2" t="str">
        <v>203703.07</v>
      </c>
      <c r="G1212" s="19" t="n">
        <v>439998.63</v>
      </c>
      <c r="H1212" s="2" t="str">
        <v>2.xlsx | 订单!Q2037</v>
      </c>
    </row>
    <row r="1213" ht="26" customHeight="1">
      <c r="A1213" s="2" t="str">
        <v>S2-02031-BH</v>
      </c>
      <c r="B1213" s="2" t="str">
        <v>INP6208</v>
      </c>
      <c r="C1213" s="20" t="str">
        <v>Ấm siêu tốc INP6208</v>
      </c>
      <c r="D1213" s="2" t="str">
        <v>Cái</v>
      </c>
      <c r="E1213" s="2" t="str">
        <v>2</v>
      </c>
      <c r="F1213" s="2" t="str">
        <v>203703.07</v>
      </c>
      <c r="G1213" s="19" t="n">
        <v>439998.63</v>
      </c>
      <c r="H1213" s="2" t="str">
        <v>2.xlsx | 订单!Q2038</v>
      </c>
    </row>
    <row r="1214" ht="26" customHeight="1">
      <c r="A1214" s="2" t="str">
        <v>S2-02031-BH</v>
      </c>
      <c r="B1214" s="2" t="str">
        <v>INP6209</v>
      </c>
      <c r="C1214" s="20" t="str">
        <v>Ấm siêu tốc INP6209</v>
      </c>
      <c r="D1214" s="2" t="str">
        <v>Cái</v>
      </c>
      <c r="E1214" s="2" t="str">
        <v>2</v>
      </c>
      <c r="F1214" s="2" t="str">
        <v>212962.96</v>
      </c>
      <c r="G1214" s="19" t="n">
        <v>459999.99</v>
      </c>
      <c r="H1214" s="2" t="str">
        <v>2.xlsx | 订单!Q2039</v>
      </c>
    </row>
    <row r="1215" ht="26" customHeight="1">
      <c r="A1215" s="2" t="str">
        <v>S2-01191-BH</v>
      </c>
      <c r="B1215" s="2" t="str">
        <v>INP6001</v>
      </c>
      <c r="C1215" s="20" t="str">
        <v>Nồi cơm điện tử (Nồi cơm điện đa năng giảm đường) INP6001</v>
      </c>
      <c r="D1215" s="2" t="str">
        <v>Cái</v>
      </c>
      <c r="E1215" s="2" t="str">
        <v>8</v>
      </c>
      <c r="F1215" s="2" t="str">
        <v>1222222.22</v>
      </c>
      <c r="G1215" s="19" t="n">
        <v>10560000</v>
      </c>
      <c r="H1215" s="2" t="str">
        <v>2.xlsx | 订单!Q1191</v>
      </c>
    </row>
    <row r="1216" ht="26" customHeight="1">
      <c r="A1216" s="2" t="str">
        <v>S2-01191-BH</v>
      </c>
      <c r="B1216" s="2" t="str">
        <v>INP1501</v>
      </c>
      <c r="C1216" s="20" t="str">
        <v>Ấm đun nước 3L INP1501</v>
      </c>
      <c r="D1216" s="2" t="str">
        <v>Cái</v>
      </c>
      <c r="E1216" s="2" t="str">
        <v>24</v>
      </c>
      <c r="F1216" s="2" t="str">
        <v>129629.63</v>
      </c>
      <c r="G1216" s="19" t="n">
        <v>3360000</v>
      </c>
      <c r="H1216" s="2" t="str">
        <v>2.xlsx | 订单!Q1192</v>
      </c>
    </row>
    <row r="1217" ht="26" customHeight="1">
      <c r="A1217" s="2" t="str">
        <v>S2-01191-BH</v>
      </c>
      <c r="B1217" s="2" t="str">
        <v>INP1503</v>
      </c>
      <c r="C1217" s="20" t="str">
        <v>Ấm đun nước 5L INP1503</v>
      </c>
      <c r="D1217" s="2" t="str">
        <v>Cái</v>
      </c>
      <c r="E1217" s="2" t="str">
        <v>24</v>
      </c>
      <c r="F1217" s="2" t="str">
        <v>148148.15</v>
      </c>
      <c r="G1217" s="19" t="n">
        <v>3840000</v>
      </c>
      <c r="H1217" s="2" t="str">
        <v>2.xlsx | 订单!Q1193</v>
      </c>
    </row>
    <row r="1218" ht="26" customHeight="1">
      <c r="A1218" s="2" t="str">
        <v>S2-01683-BH</v>
      </c>
      <c r="B1218" s="2" t="str">
        <v>INP1501</v>
      </c>
      <c r="C1218" s="20" t="str">
        <v>Ấm đun nước 3L INP1501</v>
      </c>
      <c r="D1218" s="2" t="str">
        <v>Cái</v>
      </c>
      <c r="E1218" s="2" t="str">
        <v>36</v>
      </c>
      <c r="F1218" s="2" t="str">
        <v>129629.63</v>
      </c>
      <c r="G1218" s="19" t="n">
        <v>5040000</v>
      </c>
      <c r="H1218" s="2" t="str">
        <v>2.xlsx | 订单!Q1683</v>
      </c>
    </row>
    <row r="1219" ht="26" customHeight="1">
      <c r="A1219" s="2" t="str">
        <v>S2-01683-BH</v>
      </c>
      <c r="B1219" s="2" t="str">
        <v>INP6003</v>
      </c>
      <c r="C1219" s="20" t="str">
        <v>Nồi cơm điện tử (Nồi cơm điện đa năng giảm đường) INP6003</v>
      </c>
      <c r="D1219" s="2" t="str">
        <v>Cái</v>
      </c>
      <c r="E1219" s="2" t="str">
        <v>8</v>
      </c>
      <c r="F1219" s="2" t="str">
        <v>879629.63</v>
      </c>
      <c r="G1219" s="19" t="n">
        <v>7600000</v>
      </c>
      <c r="H1219" s="2" t="str">
        <v>2.xlsx | 订单!Q1684</v>
      </c>
    </row>
    <row r="1220" ht="26" customHeight="1">
      <c r="A1220" s="2" t="str">
        <v>S2-01962-BH</v>
      </c>
      <c r="B1220" s="2" t="str">
        <v>INP6001</v>
      </c>
      <c r="C1220" s="20" t="str">
        <v>Nồi cơm điện tử (Nồi cơm điện đa năng giảm đường) INP6001</v>
      </c>
      <c r="D1220" s="2" t="str">
        <v>Cái</v>
      </c>
      <c r="E1220" s="2" t="str">
        <v>12</v>
      </c>
      <c r="F1220" s="2" t="str">
        <v>1138888.89</v>
      </c>
      <c r="G1220" s="19" t="n">
        <v>14760000</v>
      </c>
      <c r="H1220" s="2" t="str">
        <v>2.xlsx | 订单!Q1962</v>
      </c>
    </row>
    <row r="1221" ht="26" customHeight="1">
      <c r="A1221" s="2" t="str">
        <v>S2-01962-BH</v>
      </c>
      <c r="B1221" s="2" t="str">
        <v>INP1501</v>
      </c>
      <c r="C1221" s="20" t="str">
        <v>Ấm đun nước 3L INP1501</v>
      </c>
      <c r="D1221" s="2" t="str">
        <v>Cái</v>
      </c>
      <c r="E1221" s="2" t="str">
        <v>24</v>
      </c>
      <c r="F1221" s="2" t="str">
        <v>129629.63</v>
      </c>
      <c r="G1221" s="19" t="n">
        <v>3360000</v>
      </c>
      <c r="H1221" s="2" t="str">
        <v>2.xlsx | 订单!Q1963</v>
      </c>
    </row>
    <row r="1222" ht="26" customHeight="1">
      <c r="A1222" s="2" t="str">
        <v>S2-01962-BH</v>
      </c>
      <c r="B1222" s="2" t="str">
        <v>INP1502</v>
      </c>
      <c r="C1222" s="20" t="str">
        <v>Ấm đun nước 4L INP1502</v>
      </c>
      <c r="D1222" s="2" t="str">
        <v>Cái</v>
      </c>
      <c r="E1222" s="2" t="str">
        <v>24</v>
      </c>
      <c r="F1222" s="2" t="str">
        <v>138888.89</v>
      </c>
      <c r="G1222" s="19" t="n">
        <v>3600000</v>
      </c>
      <c r="H1222" s="2" t="str">
        <v>2.xlsx | 订单!Q1964</v>
      </c>
    </row>
    <row r="1223" ht="26" customHeight="1">
      <c r="A1223" s="2" t="str">
        <v>S2-01962-BH</v>
      </c>
      <c r="B1223" s="2" t="str">
        <v>INP1503</v>
      </c>
      <c r="C1223" s="20" t="str">
        <v>Ấm đun nước 5L INP1503</v>
      </c>
      <c r="D1223" s="2" t="str">
        <v>Cái</v>
      </c>
      <c r="E1223" s="2" t="str">
        <v>36</v>
      </c>
      <c r="F1223" s="2" t="str">
        <v>148148.15</v>
      </c>
      <c r="G1223" s="19" t="n">
        <v>5760001</v>
      </c>
      <c r="H1223" s="2" t="str">
        <v>2.xlsx | 订单!Q1965</v>
      </c>
    </row>
    <row r="1224" ht="26" customHeight="1">
      <c r="A1224" s="2" t="str">
        <v>S2-02059-BH</v>
      </c>
      <c r="B1224" s="2" t="str">
        <v>INP1501</v>
      </c>
      <c r="C1224" s="20" t="str">
        <v>Ấm đun nước 3L INP1501</v>
      </c>
      <c r="D1224" s="2" t="str">
        <v>Cái</v>
      </c>
      <c r="E1224" s="2" t="str">
        <v>120</v>
      </c>
      <c r="F1224" s="2" t="str">
        <v>129629.63</v>
      </c>
      <c r="G1224" s="19" t="n">
        <v>16800000.05</v>
      </c>
      <c r="H1224" s="2" t="str">
        <v>2.xlsx | 订单!Q2059</v>
      </c>
    </row>
    <row r="1225" ht="26" customHeight="1">
      <c r="A1225" s="2" t="str">
        <v>S2-02059-BH</v>
      </c>
      <c r="B1225" s="2" t="str">
        <v>INP1502</v>
      </c>
      <c r="C1225" s="20" t="str">
        <v>Ấm đun nước 4L INP1502</v>
      </c>
      <c r="D1225" s="2" t="str">
        <v>Cái</v>
      </c>
      <c r="E1225" s="2" t="str">
        <v>120</v>
      </c>
      <c r="F1225" s="2" t="str">
        <v>138888.89</v>
      </c>
      <c r="G1225" s="19" t="n">
        <v>18000000.14</v>
      </c>
      <c r="H1225" s="2" t="str">
        <v>2.xlsx | 订单!Q2060</v>
      </c>
    </row>
    <row r="1226" ht="26" customHeight="1">
      <c r="A1226" s="2" t="str">
        <v>S2-02059-BH</v>
      </c>
      <c r="B1226" s="2" t="str">
        <v>INP1503</v>
      </c>
      <c r="C1226" s="20" t="str">
        <v>Ấm đun nước 5L INP1503</v>
      </c>
      <c r="D1226" s="2" t="str">
        <v>Cái</v>
      </c>
      <c r="E1226" s="2" t="str">
        <v>120</v>
      </c>
      <c r="F1226" s="2" t="str">
        <v>148148.15</v>
      </c>
      <c r="G1226" s="19" t="n">
        <v>19200000.24</v>
      </c>
      <c r="H1226" s="2" t="str">
        <v>2.xlsx | 订单!Q2061</v>
      </c>
    </row>
    <row r="1227" ht="26" customHeight="1">
      <c r="A1227" s="2" t="str">
        <v>S2-00840-BH</v>
      </c>
      <c r="B1227" s="2" t="str">
        <v>INP6003</v>
      </c>
      <c r="C1227" s="20" t="str">
        <v>Nồi cơm điện tử (Nồi cơm điện đa năng giảm đường) INP6003</v>
      </c>
      <c r="D1227" s="2" t="str">
        <v>Cái</v>
      </c>
      <c r="E1227" s="2" t="str">
        <v>4</v>
      </c>
      <c r="F1227" s="2" t="str">
        <v>870370.38</v>
      </c>
      <c r="G1227" s="19" t="n">
        <v>3760000</v>
      </c>
      <c r="H1227" s="2" t="str">
        <v>2.xlsx | 订单!Q840</v>
      </c>
    </row>
    <row r="1228" ht="26" customHeight="1">
      <c r="A1228" s="2" t="str">
        <v>S2-00841-BH</v>
      </c>
      <c r="B1228" s="2" t="str">
        <v>INP1402</v>
      </c>
      <c r="C1228" s="20" t="str">
        <v>Nồi áp suất 6L INP1402</v>
      </c>
      <c r="D1228" s="2" t="str">
        <v>Cái</v>
      </c>
      <c r="E1228" s="2" t="str">
        <v>4</v>
      </c>
      <c r="F1228" s="2" t="str">
        <v>937963</v>
      </c>
      <c r="G1228" s="19" t="n">
        <v>4052000</v>
      </c>
      <c r="H1228" s="2" t="str">
        <v>2.xlsx | 订单!Q841</v>
      </c>
    </row>
    <row r="1229" ht="26" customHeight="1">
      <c r="A1229" s="2" t="str">
        <v>S2-00841-BH</v>
      </c>
      <c r="B1229" s="2" t="str">
        <v>INP2003</v>
      </c>
      <c r="C1229" s="20" t="str">
        <v>Bộ nồi inox đúc nguyên khối INP2003 </v>
      </c>
      <c r="D1229" s="2" t="str">
        <v>Bộ</v>
      </c>
      <c r="E1229" s="2" t="str">
        <v>6</v>
      </c>
      <c r="F1229" s="2" t="str">
        <v>1059260</v>
      </c>
      <c r="G1229" s="19" t="n">
        <v>6864005</v>
      </c>
      <c r="H1229" s="2" t="str">
        <v>2.xlsx | 订单!Q842</v>
      </c>
    </row>
    <row r="1230" ht="26" customHeight="1">
      <c r="A1230" s="2" t="str">
        <v>S2-00841-BH</v>
      </c>
      <c r="B1230" s="2" t="str">
        <v>INP2102</v>
      </c>
      <c r="C1230" s="20" t="str">
        <v>Chảo inox chống dính đúc nguyên khốiINP2102</v>
      </c>
      <c r="D1230" s="2" t="str">
        <v>Cái</v>
      </c>
      <c r="E1230" s="2" t="str">
        <v>10</v>
      </c>
      <c r="F1230" s="2" t="str">
        <v>2564.81</v>
      </c>
      <c r="G1230" s="19" t="n">
        <v>2769995</v>
      </c>
      <c r="H1230" s="2" t="str">
        <v>2.xlsx | 订单!Q843</v>
      </c>
    </row>
    <row r="1231" ht="26" customHeight="1">
      <c r="A1231" s="2" t="str">
        <v>S2-00841-BH</v>
      </c>
      <c r="B1231" s="2" t="str">
        <v>INP2103</v>
      </c>
      <c r="C1231" s="20" t="str">
        <v>Chảo inox chống dính đúc nguyên khốiINP2103</v>
      </c>
      <c r="D1231" s="2" t="str">
        <v>Cái</v>
      </c>
      <c r="E1231" s="2" t="str">
        <v>10</v>
      </c>
      <c r="F1231" s="2" t="str">
        <v>281481</v>
      </c>
      <c r="G1231" s="19" t="n">
        <v>3039995</v>
      </c>
      <c r="H1231" s="2" t="str">
        <v>2.xlsx | 订单!Q844</v>
      </c>
    </row>
    <row r="1232" ht="26" customHeight="1">
      <c r="A1232" s="2" t="str">
        <v>S2-00841-BH</v>
      </c>
      <c r="B1232" s="2" t="str">
        <v>INP2106</v>
      </c>
      <c r="C1232" s="20" t="str">
        <v>Chảo inox đúc nguyên khối (không chống dính)INP2106</v>
      </c>
      <c r="D1232" s="2" t="str">
        <v>Cái</v>
      </c>
      <c r="E1232" s="2" t="str">
        <v>10</v>
      </c>
      <c r="F1232" s="2" t="str">
        <v>252778</v>
      </c>
      <c r="G1232" s="19" t="n">
        <v>2730003</v>
      </c>
      <c r="H1232" s="2" t="str">
        <v>2.xlsx | 订单!Q845</v>
      </c>
    </row>
    <row r="1233" ht="26" customHeight="1">
      <c r="A1233" s="2" t="str">
        <v>S2-00841-BH</v>
      </c>
      <c r="B1233" s="2" t="str">
        <v>INP2108</v>
      </c>
      <c r="C1233" s="20" t="str">
        <v>Chảo inox đúc nguyên khối (không chống dính)INP2108</v>
      </c>
      <c r="D1233" s="2" t="str">
        <v>Cái</v>
      </c>
      <c r="E1233" s="2" t="str">
        <v>10</v>
      </c>
      <c r="F1233" s="2" t="str">
        <v>256481</v>
      </c>
      <c r="G1233" s="19" t="n">
        <v>2769995</v>
      </c>
      <c r="H1233" s="2" t="str">
        <v>2.xlsx | 订单!Q846</v>
      </c>
    </row>
    <row r="1234" ht="26" customHeight="1">
      <c r="A1234" s="2" t="str">
        <v>S2-00841-BH</v>
      </c>
      <c r="B1234" s="2" t="str">
        <v>INP2109</v>
      </c>
      <c r="C1234" s="20" t="str">
        <v>Chảo inox đúc nguyên khối (không chống dính)INP2109</v>
      </c>
      <c r="D1234" s="2" t="str">
        <v>Cái</v>
      </c>
      <c r="E1234" s="2" t="str">
        <v>10</v>
      </c>
      <c r="F1234" s="2" t="str">
        <v>227778</v>
      </c>
      <c r="G1234" s="19" t="n">
        <v>2460002</v>
      </c>
      <c r="H1234" s="2" t="str">
        <v>2.xlsx | 订单!Q847</v>
      </c>
    </row>
    <row r="1235" ht="26" customHeight="1">
      <c r="A1235" s="2" t="str">
        <v>S2-00841-BH</v>
      </c>
      <c r="B1235" s="2" t="str">
        <v>INP2110</v>
      </c>
      <c r="C1235" s="20" t="str">
        <v>Chảo inox đúc nguyên khối (không chống dính)INP2110</v>
      </c>
      <c r="D1235" s="2" t="str">
        <v>Cái</v>
      </c>
      <c r="E1235" s="2" t="str">
        <v>10</v>
      </c>
      <c r="F1235" s="2" t="str">
        <v>252778</v>
      </c>
      <c r="G1235" s="19" t="n">
        <v>2730002</v>
      </c>
      <c r="H1235" s="2" t="str">
        <v>2.xlsx | 订单!Q848</v>
      </c>
    </row>
    <row r="1236" ht="26" customHeight="1">
      <c r="A1236" s="2" t="str">
        <v>S2-00841-BH</v>
      </c>
      <c r="B1236" s="2" t="str">
        <v>INP2111</v>
      </c>
      <c r="C1236" s="20" t="str">
        <v>Chảo inox đúc nguyên khối (không chống dính)INP2111</v>
      </c>
      <c r="D1236" s="2" t="str">
        <v>Cái</v>
      </c>
      <c r="E1236" s="2" t="str">
        <v>10</v>
      </c>
      <c r="F1236" s="2" t="str">
        <v>277778</v>
      </c>
      <c r="G1236" s="19" t="n">
        <v>3000002</v>
      </c>
      <c r="H1236" s="2" t="str">
        <v>2.xlsx | 订单!Q849</v>
      </c>
    </row>
    <row r="1237" ht="26" customHeight="1">
      <c r="A1237" s="2" t="str">
        <v>S2-00841-BH</v>
      </c>
      <c r="B1237" s="2" t="str">
        <v>INP2202</v>
      </c>
      <c r="C1237" s="20" t="str">
        <v>Nồi luộc gà inox đúc nguyên khốiINP2202</v>
      </c>
      <c r="D1237" s="2" t="str">
        <v>Cái</v>
      </c>
      <c r="E1237" s="2" t="str">
        <v>6</v>
      </c>
      <c r="F1237" s="2" t="str">
        <v>844444</v>
      </c>
      <c r="G1237" s="19" t="n">
        <v>5471997</v>
      </c>
      <c r="H1237" s="2" t="str">
        <v>2.xlsx | 订单!Q850</v>
      </c>
    </row>
    <row r="1238" ht="26" customHeight="1">
      <c r="A1238" s="2" t="str">
        <v>S2-00841-BH</v>
      </c>
      <c r="B1238" s="2" t="str">
        <v>INP3002</v>
      </c>
      <c r="C1238" s="20" t="str">
        <v>Nồi gang tráng menINP3002</v>
      </c>
      <c r="D1238" s="2" t="str">
        <v>Cái</v>
      </c>
      <c r="E1238" s="2" t="str">
        <v>2</v>
      </c>
      <c r="F1238" s="2" t="str">
        <v>569444</v>
      </c>
      <c r="G1238" s="19" t="n">
        <v>1229999</v>
      </c>
      <c r="H1238" s="2" t="str">
        <v>2.xlsx | 订单!Q851</v>
      </c>
    </row>
    <row r="1239" ht="26" customHeight="1">
      <c r="A1239" s="2" t="str">
        <v>S2-00841-BH</v>
      </c>
      <c r="B1239" s="2" t="str">
        <v>INP3003</v>
      </c>
      <c r="C1239" s="20" t="str">
        <v>Nồi gang tráng menINP3003</v>
      </c>
      <c r="D1239" s="2" t="str">
        <v>Cái</v>
      </c>
      <c r="E1239" s="2" t="str">
        <v>2</v>
      </c>
      <c r="F1239" s="2" t="str">
        <v>564814</v>
      </c>
      <c r="G1239" s="19" t="n">
        <v>1219998</v>
      </c>
      <c r="H1239" s="2" t="str">
        <v>2.xlsx | 订单!Q852</v>
      </c>
    </row>
    <row r="1240" ht="26" customHeight="1">
      <c r="A1240" s="2" t="str">
        <v>S2-00841-BH</v>
      </c>
      <c r="B1240" s="2" t="str">
        <v>INP3201</v>
      </c>
      <c r="C1240" s="20" t="str">
        <v>Chảo gang tráng menINP3201</v>
      </c>
      <c r="D1240" s="2" t="str">
        <v>Cái</v>
      </c>
      <c r="E1240" s="2" t="str">
        <v>6</v>
      </c>
      <c r="F1240" s="2" t="str">
        <v>194444</v>
      </c>
      <c r="G1240" s="19" t="n">
        <v>1259997</v>
      </c>
      <c r="H1240" s="2" t="str">
        <v>2.xlsx | 订单!Q853</v>
      </c>
    </row>
    <row r="1241" ht="26" customHeight="1">
      <c r="A1241" s="2" t="str">
        <v>S2-00841-BH</v>
      </c>
      <c r="B1241" s="2" t="str">
        <v>INP6003</v>
      </c>
      <c r="C1241" s="20" t="str">
        <v>Nồi cơm điện tử (Nồi cơm điện đa năng giảm đường) INP6003</v>
      </c>
      <c r="D1241" s="2" t="str">
        <v>Cái</v>
      </c>
      <c r="E1241" s="2" t="str">
        <v>2</v>
      </c>
      <c r="F1241" s="2" t="str">
        <v>851852</v>
      </c>
      <c r="G1241" s="19" t="n">
        <v>1840000</v>
      </c>
      <c r="H1241" s="2" t="str">
        <v>2.xlsx | 订单!Q854</v>
      </c>
    </row>
    <row r="1242" ht="26" customHeight="1">
      <c r="A1242" s="2" t="str">
        <v>S2-00841-BH</v>
      </c>
      <c r="B1242" s="2" t="str">
        <v>INP6101</v>
      </c>
      <c r="C1242" s="20" t="str">
        <v>Bếp từ đơn INP6101( 2200W, mặt kính màu sữa )</v>
      </c>
      <c r="D1242" s="2" t="str">
        <v>Cái</v>
      </c>
      <c r="E1242" s="2" t="str">
        <v>12</v>
      </c>
      <c r="F1242" s="2" t="str">
        <v>601852</v>
      </c>
      <c r="G1242" s="19" t="n">
        <v>7800002</v>
      </c>
      <c r="H1242" s="2" t="str">
        <v>2.xlsx | 订单!Q855</v>
      </c>
    </row>
    <row r="1243" ht="26" customHeight="1">
      <c r="A1243" s="2" t="str">
        <v>S2-00841-BH</v>
      </c>
      <c r="B1243" s="2" t="str">
        <v>INP6102</v>
      </c>
      <c r="C1243" s="20" t="str">
        <v>Bếp từ đơn INP6102 ( 2500W), 2 quạt tản</v>
      </c>
      <c r="D1243" s="2" t="str">
        <v>Cái</v>
      </c>
      <c r="E1243" s="2" t="str">
        <v>12</v>
      </c>
      <c r="F1243" s="2" t="str">
        <v>937963</v>
      </c>
      <c r="G1243" s="19" t="n">
        <v>12156001</v>
      </c>
      <c r="H1243" s="2" t="str">
        <v>2.xlsx | 订单!Q856</v>
      </c>
    </row>
    <row r="1244" ht="26" customHeight="1">
      <c r="A1244" s="2" t="str">
        <v>S2-00841-BH</v>
      </c>
      <c r="B1244" s="2" t="str">
        <v>INP6104</v>
      </c>
      <c r="C1244" s="20" t="str">
        <v>Bếp từ đơn INP6104 ( 2500W ) </v>
      </c>
      <c r="D1244" s="2" t="str">
        <v>Cái</v>
      </c>
      <c r="E1244" s="2" t="str">
        <v>6</v>
      </c>
      <c r="F1244" s="2" t="str">
        <v>1007407</v>
      </c>
      <c r="G1244" s="19" t="n">
        <v>6527997</v>
      </c>
      <c r="H1244" s="2" t="str">
        <v>2.xlsx | 订单!Q857</v>
      </c>
    </row>
    <row r="1245" ht="26" customHeight="1">
      <c r="A1245" s="2" t="str">
        <v>S2-00841-BH</v>
      </c>
      <c r="B1245" s="2" t="str">
        <v>INP6201</v>
      </c>
      <c r="C1245" s="20" t="str">
        <v>Ấm điện siêu tốc INP6201 1,7 lít màu ghi </v>
      </c>
      <c r="D1245" s="2" t="str">
        <v>Cái</v>
      </c>
      <c r="E1245" s="2" t="str">
        <v>12</v>
      </c>
      <c r="F1245" s="2" t="str">
        <v>324074</v>
      </c>
      <c r="G1245" s="19" t="n">
        <v>4199999</v>
      </c>
      <c r="H1245" s="2" t="str">
        <v>2.xlsx | 订单!Q858</v>
      </c>
    </row>
    <row r="1246" ht="26" customHeight="1">
      <c r="A1246" s="2" t="str">
        <v>S2-00841-BH</v>
      </c>
      <c r="B1246" s="2" t="str">
        <v>INP6202</v>
      </c>
      <c r="C1246" s="20" t="str">
        <v>Ấm điện siêu tốc INP6202 1,7 lít màu đen</v>
      </c>
      <c r="D1246" s="2" t="str">
        <v>Cái</v>
      </c>
      <c r="E1246" s="2" t="str">
        <v>12</v>
      </c>
      <c r="F1246" s="2" t="str">
        <v>325926</v>
      </c>
      <c r="G1246" s="19" t="n">
        <v>4224001</v>
      </c>
      <c r="H1246" s="2" t="str">
        <v>2.xlsx | 订单!Q859</v>
      </c>
    </row>
    <row r="1247" ht="26" customHeight="1">
      <c r="A1247" s="2" t="str">
        <v>S2-00841-BH</v>
      </c>
      <c r="B1247" s="2" t="str">
        <v>INP6602</v>
      </c>
      <c r="C1247" s="20" t="str">
        <v>Máy sấy bát đĩa INP6602</v>
      </c>
      <c r="D1247" s="2" t="str">
        <v>Cái</v>
      </c>
      <c r="E1247" s="2" t="str">
        <v>5</v>
      </c>
      <c r="F1247" s="2" t="str">
        <v>1361111</v>
      </c>
      <c r="G1247" s="19" t="n">
        <v>7349999</v>
      </c>
      <c r="H1247" s="2" t="str">
        <v>2.xlsx | 订单!Q860</v>
      </c>
    </row>
    <row r="1248" ht="26" customHeight="1">
      <c r="A1248" s="2" t="str">
        <v>S2-00841-BH</v>
      </c>
      <c r="B1248" s="2" t="str">
        <v>INP6001</v>
      </c>
      <c r="C1248" s="20" t="str">
        <v>Nồi cơm điện tử (Nồi cơm điện đa năng giảm đường) INP6001</v>
      </c>
      <c r="D1248" s="2" t="str">
        <v>Cái</v>
      </c>
      <c r="E1248" s="2" t="str">
        <v>2</v>
      </c>
      <c r="F1248" s="2" t="str">
        <v>1138889</v>
      </c>
      <c r="G1248" s="19" t="n">
        <v>2460000</v>
      </c>
      <c r="H1248" s="2" t="str">
        <v>2.xlsx | 订单!Q861</v>
      </c>
    </row>
    <row r="1249" ht="26" customHeight="1">
      <c r="A1249" s="2" t="str">
        <v>S2-00841-BH</v>
      </c>
      <c r="B1249" s="2" t="str">
        <v>INP6003</v>
      </c>
      <c r="C1249" s="20" t="str">
        <v>Nồi cơm điện tử (Nồi cơm điện đa năng giảm đường) INP6003</v>
      </c>
      <c r="D1249" s="2" t="str">
        <v>Cái</v>
      </c>
      <c r="E1249" s="2" t="str">
        <v>4</v>
      </c>
      <c r="F1249" s="2" t="str">
        <v>910185</v>
      </c>
      <c r="G1249" s="19" t="n">
        <v>3931999</v>
      </c>
      <c r="H1249" s="2" t="str">
        <v>2.xlsx | 订单!Q862</v>
      </c>
    </row>
    <row r="1250" ht="26" customHeight="1">
      <c r="A1250" s="2" t="str">
        <v>S2-00865-BH</v>
      </c>
      <c r="B1250" s="2" t="str">
        <v>INP1501</v>
      </c>
      <c r="C1250" s="20" t="str">
        <v>Ấm đun nước 3L INP1501</v>
      </c>
      <c r="D1250" s="2" t="str">
        <v>Cái</v>
      </c>
      <c r="E1250" s="2" t="str">
        <v>12</v>
      </c>
      <c r="F1250" s="2" t="str">
        <v>111111.11</v>
      </c>
      <c r="G1250" s="19" t="n">
        <v>1440000</v>
      </c>
      <c r="H1250" s="2" t="str">
        <v>2.xlsx | 订单!Q865</v>
      </c>
    </row>
    <row r="1251" ht="26" customHeight="1">
      <c r="A1251" s="2" t="str">
        <v>S2-00865-BH</v>
      </c>
      <c r="B1251" s="2" t="str">
        <v>INP1502</v>
      </c>
      <c r="C1251" s="20" t="str">
        <v>Ấm đun nước 4L INP1502</v>
      </c>
      <c r="D1251" s="2" t="str">
        <v>Cái</v>
      </c>
      <c r="E1251" s="2" t="str">
        <v>12</v>
      </c>
      <c r="F1251" s="2" t="str">
        <v>120370.33</v>
      </c>
      <c r="G1251" s="19" t="n">
        <v>1560000</v>
      </c>
      <c r="H1251" s="2" t="str">
        <v>2.xlsx | 订单!Q866</v>
      </c>
    </row>
    <row r="1252" ht="26" customHeight="1">
      <c r="A1252" s="2" t="str">
        <v>S2-00865-BH</v>
      </c>
      <c r="B1252" s="2" t="str">
        <v>INP1503</v>
      </c>
      <c r="C1252" s="20" t="str">
        <v>Ấm đun nước 5L INP1503</v>
      </c>
      <c r="D1252" s="2" t="str">
        <v>Cái</v>
      </c>
      <c r="E1252" s="2" t="str">
        <v>12</v>
      </c>
      <c r="F1252" s="2" t="str">
        <v>129629.63</v>
      </c>
      <c r="G1252" s="19" t="n">
        <v>1680000</v>
      </c>
      <c r="H1252" s="2" t="str">
        <v>2.xlsx | 订单!Q867</v>
      </c>
    </row>
    <row r="1253" ht="26" customHeight="1">
      <c r="A1253" s="2" t="str">
        <v>S2-00865-BH</v>
      </c>
      <c r="B1253" s="2" t="str">
        <v>INP2106</v>
      </c>
      <c r="C1253" s="20" t="str">
        <v>Chảo inox đúc nguyên khối (không chống dính)INP2106</v>
      </c>
      <c r="D1253" s="2" t="str">
        <v>Cái</v>
      </c>
      <c r="E1253" s="2" t="str">
        <v>10</v>
      </c>
      <c r="F1253" s="2" t="str">
        <v>252777.78</v>
      </c>
      <c r="G1253" s="19" t="n">
        <v>2730000</v>
      </c>
      <c r="H1253" s="2" t="str">
        <v>2.xlsx | 订单!Q868</v>
      </c>
    </row>
    <row r="1254" ht="26" customHeight="1">
      <c r="A1254" s="2" t="str">
        <v>S2-00865-BH</v>
      </c>
      <c r="B1254" s="2" t="str">
        <v>INP2108</v>
      </c>
      <c r="C1254" s="20" t="str">
        <v>Chảo inox đúc nguyên khối (không chống dính)INP2108</v>
      </c>
      <c r="D1254" s="2" t="str">
        <v>Cái</v>
      </c>
      <c r="E1254" s="2" t="str">
        <v>20</v>
      </c>
      <c r="F1254" s="2" t="str">
        <v>256481.48</v>
      </c>
      <c r="G1254" s="19" t="n">
        <v>5540000</v>
      </c>
      <c r="H1254" s="2" t="str">
        <v>2.xlsx | 订单!Q869</v>
      </c>
    </row>
    <row r="1255" ht="26" customHeight="1">
      <c r="A1255" s="2" t="str">
        <v>S2-00865-BH</v>
      </c>
      <c r="B1255" s="2" t="str">
        <v>INP2109</v>
      </c>
      <c r="C1255" s="20" t="str">
        <v>Chảo inox đúc nguyên khối (không chống dính)INP2109</v>
      </c>
      <c r="D1255" s="2" t="str">
        <v>Cái</v>
      </c>
      <c r="E1255" s="2" t="str">
        <v>10</v>
      </c>
      <c r="F1255" s="2" t="str">
        <v>227777.78</v>
      </c>
      <c r="G1255" s="19" t="n">
        <v>2460000</v>
      </c>
      <c r="H1255" s="2" t="str">
        <v>2.xlsx | 订单!Q870</v>
      </c>
    </row>
    <row r="1256" ht="26" customHeight="1">
      <c r="A1256" s="2" t="str">
        <v>S2-00865-BH</v>
      </c>
      <c r="B1256" s="2" t="str">
        <v>INP2110</v>
      </c>
      <c r="C1256" s="20" t="str">
        <v>Chảo inox đúc nguyên khối (không chống dính)INP2110</v>
      </c>
      <c r="D1256" s="2" t="str">
        <v>Cái</v>
      </c>
      <c r="E1256" s="2" t="str">
        <v>20</v>
      </c>
      <c r="F1256" s="2" t="str">
        <v>252777.78</v>
      </c>
      <c r="G1256" s="19" t="n">
        <v>5460000</v>
      </c>
      <c r="H1256" s="2" t="str">
        <v>2.xlsx | 订单!Q871</v>
      </c>
    </row>
    <row r="1257" ht="26" customHeight="1">
      <c r="A1257" s="2" t="str">
        <v>S2-00865-BH</v>
      </c>
      <c r="B1257" s="2" t="str">
        <v>INP2111</v>
      </c>
      <c r="C1257" s="20" t="str">
        <v>Chảo inox đúc nguyên khối (không chống dính)INP2111</v>
      </c>
      <c r="D1257" s="2" t="str">
        <v>Cái</v>
      </c>
      <c r="E1257" s="2" t="str">
        <v>20</v>
      </c>
      <c r="F1257" s="2" t="str">
        <v>277777.78</v>
      </c>
      <c r="G1257" s="19" t="n">
        <v>6000000</v>
      </c>
      <c r="H1257" s="2" t="str">
        <v>2.xlsx | 订单!Q872</v>
      </c>
    </row>
    <row r="1258" ht="26" customHeight="1">
      <c r="A1258" s="2" t="str">
        <v>S2-00873-BH</v>
      </c>
      <c r="B1258" s="2" t="str">
        <v>INP6701</v>
      </c>
      <c r="C1258" s="20" t="str">
        <v>Máy xay thực phẩm INP6701·</v>
      </c>
      <c r="D1258" s="2" t="str">
        <v>Cái</v>
      </c>
      <c r="E1258" s="2" t="str">
        <v>8</v>
      </c>
      <c r="F1258" s="2" t="str">
        <v>361111.11</v>
      </c>
      <c r="G1258" s="19" t="n">
        <v>3120000</v>
      </c>
      <c r="H1258" s="2" t="str">
        <v>2.xlsx | 订单!Q873</v>
      </c>
    </row>
    <row r="1259" ht="26" customHeight="1">
      <c r="A1259" s="2" t="str">
        <v>S2-00874-BH</v>
      </c>
      <c r="B1259" s="2" t="str">
        <v>INP1003</v>
      </c>
      <c r="C1259" s="20" t="str">
        <v>Bộ nồi Inox INP1003 </v>
      </c>
      <c r="D1259" s="2" t="str">
        <v>Bộ</v>
      </c>
      <c r="E1259" s="2" t="str">
        <v>4</v>
      </c>
      <c r="F1259" s="2" t="str">
        <v>324074.07</v>
      </c>
      <c r="G1259" s="19" t="n">
        <v>1400000</v>
      </c>
      <c r="H1259" s="2" t="str">
        <v>2.xlsx | 订单!Q874</v>
      </c>
    </row>
    <row r="1260" ht="26" customHeight="1">
      <c r="A1260" s="2" t="str">
        <v>S2-00874-BH</v>
      </c>
      <c r="B1260" s="2" t="str">
        <v>INP1501</v>
      </c>
      <c r="C1260" s="20" t="str">
        <v>Ấm đun nước 3L INP1501</v>
      </c>
      <c r="D1260" s="2" t="str">
        <v>Cái</v>
      </c>
      <c r="E1260" s="2" t="str">
        <v>48</v>
      </c>
      <c r="F1260" s="2" t="str">
        <v>111111.11</v>
      </c>
      <c r="G1260" s="19" t="n">
        <v>5760000</v>
      </c>
      <c r="H1260" s="2" t="str">
        <v>2.xlsx | 订单!Q875</v>
      </c>
    </row>
    <row r="1261" ht="26" customHeight="1">
      <c r="A1261" s="2" t="str">
        <v>S2-00874-BH</v>
      </c>
      <c r="B1261" s="2" t="str">
        <v>INP1502</v>
      </c>
      <c r="C1261" s="20" t="str">
        <v>Ấm đun nước 4L INP1502</v>
      </c>
      <c r="D1261" s="2" t="str">
        <v>Cái</v>
      </c>
      <c r="E1261" s="2" t="str">
        <v>48</v>
      </c>
      <c r="F1261" s="2" t="str">
        <v>120370.33</v>
      </c>
      <c r="G1261" s="19" t="n">
        <v>6239998</v>
      </c>
      <c r="H1261" s="2" t="str">
        <v>2.xlsx | 订单!Q876</v>
      </c>
    </row>
    <row r="1262" ht="26" customHeight="1">
      <c r="A1262" s="2" t="str">
        <v>S2-00874-BH</v>
      </c>
      <c r="B1262" s="2" t="str">
        <v>INP1503</v>
      </c>
      <c r="C1262" s="20" t="str">
        <v>Ấm đun nước 5L INP1503</v>
      </c>
      <c r="D1262" s="2" t="str">
        <v>Cái</v>
      </c>
      <c r="E1262" s="2" t="str">
        <v>48</v>
      </c>
      <c r="F1262" s="2" t="str">
        <v>129629.63</v>
      </c>
      <c r="G1262" s="19" t="n">
        <v>6720000</v>
      </c>
      <c r="H1262" s="2" t="str">
        <v>2.xlsx | 订单!Q877</v>
      </c>
    </row>
    <row r="1263" ht="26" customHeight="1">
      <c r="A1263" s="2" t="str">
        <v>S2-00874-BH</v>
      </c>
      <c r="B1263" s="2" t="str">
        <v>INP2202</v>
      </c>
      <c r="C1263" s="20" t="str">
        <v>Nồi luộc gà inox đúc nguyên khốiINP2202</v>
      </c>
      <c r="D1263" s="2" t="str">
        <v>Cái</v>
      </c>
      <c r="E1263" s="2" t="str">
        <v>4</v>
      </c>
      <c r="F1263" s="2" t="str">
        <v>844444.44</v>
      </c>
      <c r="G1263" s="19" t="n">
        <v>3648000</v>
      </c>
      <c r="H1263" s="2" t="str">
        <v>2.xlsx | 订单!Q878</v>
      </c>
    </row>
    <row r="1264" ht="26" customHeight="1">
      <c r="A1264" s="2" t="str">
        <v>S2-00874-BH</v>
      </c>
      <c r="B1264" s="2" t="str">
        <v>INP6602</v>
      </c>
      <c r="C1264" s="20" t="str">
        <v>Máy sấy bát đĩa INP6602</v>
      </c>
      <c r="D1264" s="2" t="str">
        <v>Cái</v>
      </c>
      <c r="E1264" s="2" t="str">
        <v>16</v>
      </c>
      <c r="F1264" s="2" t="str">
        <v>1361111.11</v>
      </c>
      <c r="G1264" s="19" t="n">
        <v>23520000</v>
      </c>
      <c r="H1264" s="2" t="str">
        <v>2.xlsx | 订单!Q879</v>
      </c>
    </row>
    <row r="1265" ht="26" customHeight="1">
      <c r="A1265" s="2" t="str">
        <v>S2-00881-BH</v>
      </c>
      <c r="B1265" s="2" t="str">
        <v>INP1401</v>
      </c>
      <c r="C1265" s="20" t="str">
        <v>Nồi áp suất 4.5L INP1401</v>
      </c>
      <c r="D1265" s="2" t="str">
        <v>Cái</v>
      </c>
      <c r="E1265" s="2" t="str">
        <v>4</v>
      </c>
      <c r="F1265" s="2" t="str">
        <v>824074.07</v>
      </c>
      <c r="G1265" s="19" t="n">
        <v>3560000</v>
      </c>
      <c r="H1265" s="2" t="str">
        <v>2.xlsx | 订单!Q881</v>
      </c>
    </row>
    <row r="1266" ht="26" customHeight="1">
      <c r="A1266" s="2" t="str">
        <v>S2-00881-BH</v>
      </c>
      <c r="B1266" s="2" t="str">
        <v>INP2003</v>
      </c>
      <c r="C1266" s="20" t="str">
        <v>Bộ nồi inox INP2003</v>
      </c>
      <c r="D1266" s="2" t="str">
        <v>Bộ</v>
      </c>
      <c r="E1266" s="2" t="str">
        <v>4</v>
      </c>
      <c r="F1266" s="2" t="str">
        <v>1059259.25</v>
      </c>
      <c r="G1266" s="19" t="n">
        <v>4576000</v>
      </c>
      <c r="H1266" s="2" t="str">
        <v>2.xlsx | 订单!Q882</v>
      </c>
    </row>
    <row r="1267" ht="26" customHeight="1">
      <c r="A1267" s="2" t="str">
        <v>S2-00881-BH</v>
      </c>
      <c r="B1267" s="2" t="str">
        <v>INP2106</v>
      </c>
      <c r="C1267" s="20" t="str">
        <v>Chảo inox đúc nguyên khối (không chống dính)INP2106</v>
      </c>
      <c r="D1267" s="2" t="str">
        <v>Cái</v>
      </c>
      <c r="E1267" s="2" t="str">
        <v>10</v>
      </c>
      <c r="F1267" s="2" t="str">
        <v>252777.78</v>
      </c>
      <c r="G1267" s="19" t="n">
        <v>2730000</v>
      </c>
      <c r="H1267" s="2" t="str">
        <v>2.xlsx | 订单!Q883</v>
      </c>
    </row>
    <row r="1268" ht="26" customHeight="1">
      <c r="A1268" s="2" t="str">
        <v>S2-00881-BH</v>
      </c>
      <c r="B1268" s="2" t="str">
        <v>INP2202</v>
      </c>
      <c r="C1268" s="20" t="str">
        <v>Nồi luộc gà inox đúc nguyên khốiINP2202</v>
      </c>
      <c r="D1268" s="2" t="str">
        <v>Cái</v>
      </c>
      <c r="E1268" s="2" t="str">
        <v>2</v>
      </c>
      <c r="F1268" s="2" t="str">
        <v>844444.44</v>
      </c>
      <c r="G1268" s="19" t="n">
        <v>1824000</v>
      </c>
      <c r="H1268" s="2" t="str">
        <v>2.xlsx | 订单!Q884</v>
      </c>
    </row>
    <row r="1269" ht="26" customHeight="1">
      <c r="A1269" s="2" t="str">
        <v>S2-00881-BH</v>
      </c>
      <c r="B1269" s="2" t="str">
        <v>INP6002</v>
      </c>
      <c r="C1269" s="20" t="str">
        <v>Nồi cơm điện tử (Nồi cơm điện đa năng giảm đường) INP6002</v>
      </c>
      <c r="D1269" s="2" t="str">
        <v>Cái</v>
      </c>
      <c r="E1269" s="2" t="str">
        <v>4</v>
      </c>
      <c r="F1269" s="2" t="str">
        <v>1097222.22</v>
      </c>
      <c r="G1269" s="19" t="n">
        <v>4740000</v>
      </c>
      <c r="H1269" s="2" t="str">
        <v>2.xlsx | 订单!Q885</v>
      </c>
    </row>
    <row r="1270" ht="26" customHeight="1">
      <c r="A1270" s="2" t="str">
        <v>S2-00881-BH</v>
      </c>
      <c r="B1270" s="2" t="str">
        <v>INP6701</v>
      </c>
      <c r="C1270" s="20" t="str">
        <v>Máy xay thực phẩm INP6701·</v>
      </c>
      <c r="D1270" s="2" t="str">
        <v>Cái</v>
      </c>
      <c r="E1270" s="2" t="str">
        <v>8</v>
      </c>
      <c r="F1270" s="2" t="str">
        <v>361111.11</v>
      </c>
      <c r="G1270" s="19" t="n">
        <v>3120000</v>
      </c>
      <c r="H1270" s="2" t="str">
        <v>2.xlsx | 订单!Q886</v>
      </c>
    </row>
    <row r="1271" ht="26" customHeight="1">
      <c r="A1271" s="2" t="str">
        <v>S2-00887-BH</v>
      </c>
      <c r="B1271" s="2" t="str">
        <v>INP6401</v>
      </c>
      <c r="C1271" s="20" t="str">
        <v>Quạt đứng INP6401</v>
      </c>
      <c r="D1271" s="2" t="str">
        <v>Cái</v>
      </c>
      <c r="E1271" s="2" t="str">
        <v>102</v>
      </c>
      <c r="F1271" s="2" t="str">
        <v>509259.25</v>
      </c>
      <c r="G1271" s="19" t="n">
        <v>56099999</v>
      </c>
      <c r="H1271" s="2" t="str">
        <v>2.xlsx | 订单!Q887</v>
      </c>
    </row>
    <row r="1272" ht="26" customHeight="1">
      <c r="A1272" s="2" t="str">
        <v>S2-00890-BH</v>
      </c>
      <c r="B1272" s="2" t="str">
        <v>INP6701</v>
      </c>
      <c r="C1272" s="20" t="str">
        <v>Máy xay thực phẩm INP6701·</v>
      </c>
      <c r="D1272" s="2" t="str">
        <v>Cái</v>
      </c>
      <c r="E1272" s="2" t="str">
        <v>16</v>
      </c>
      <c r="F1272" s="2" t="str">
        <v>361111.11</v>
      </c>
      <c r="G1272" s="19" t="n">
        <v>6240000</v>
      </c>
      <c r="H1272" s="2" t="str">
        <v>2.xlsx | 订单!Q890</v>
      </c>
    </row>
    <row r="1273" ht="26" customHeight="1">
      <c r="A1273" s="2" t="str">
        <v>S2-00890-BH</v>
      </c>
      <c r="B1273" s="2" t="str">
        <v>INP1401</v>
      </c>
      <c r="C1273" s="20" t="str">
        <v>Nồi áp suất 4.5L INP1401</v>
      </c>
      <c r="D1273" s="2" t="str">
        <v>Cái</v>
      </c>
      <c r="E1273" s="2" t="str">
        <v>2</v>
      </c>
      <c r="F1273" s="2" t="str">
        <v>824074.07</v>
      </c>
      <c r="G1273" s="19" t="n">
        <v>1780000</v>
      </c>
      <c r="H1273" s="2" t="str">
        <v>2.xlsx | 订单!Q893</v>
      </c>
    </row>
    <row r="1274" ht="26" customHeight="1">
      <c r="A1274" s="2" t="str">
        <v>S2-00890-BH</v>
      </c>
      <c r="B1274" s="2" t="str">
        <v>INP2003</v>
      </c>
      <c r="C1274" s="20" t="str">
        <v>Bộ nồi inox INP2003</v>
      </c>
      <c r="D1274" s="2" t="str">
        <v>Bộ</v>
      </c>
      <c r="E1274" s="2" t="str">
        <v>4</v>
      </c>
      <c r="F1274" s="2" t="str">
        <v>1059259.25</v>
      </c>
      <c r="G1274" s="19" t="n">
        <v>4576000</v>
      </c>
      <c r="H1274" s="2" t="str">
        <v>2.xlsx | 订单!Q894</v>
      </c>
    </row>
    <row r="1275" ht="26" customHeight="1">
      <c r="A1275" s="2" t="str">
        <v>S2-00890-BH</v>
      </c>
      <c r="B1275" s="2" t="str">
        <v>INP2202</v>
      </c>
      <c r="C1275" s="20" t="str">
        <v>Nồi luộc gà inox đúc nguyên khốiINP2202</v>
      </c>
      <c r="D1275" s="2" t="str">
        <v>Cái</v>
      </c>
      <c r="E1275" s="2" t="str">
        <v>2</v>
      </c>
      <c r="F1275" s="2" t="str">
        <v>844444.44</v>
      </c>
      <c r="G1275" s="19" t="n">
        <v>1824000</v>
      </c>
      <c r="H1275" s="2" t="str">
        <v>2.xlsx | 订单!Q895</v>
      </c>
    </row>
    <row r="1276" ht="26" customHeight="1">
      <c r="A1276" s="2" t="str">
        <v>S2-00891-BH</v>
      </c>
      <c r="B1276" s="2" t="str">
        <v>INP6902</v>
      </c>
      <c r="C1276" s="20" t="str">
        <v>Nồi áp suất điện INP6902</v>
      </c>
      <c r="D1276" s="2" t="str">
        <v>Nồi</v>
      </c>
      <c r="E1276" s="2" t="str">
        <v>20</v>
      </c>
      <c r="F1276" s="2" t="str">
        <v>814814.81</v>
      </c>
      <c r="G1276" s="19" t="n">
        <v>17600000</v>
      </c>
      <c r="H1276" s="2" t="str">
        <v>2.xlsx | 订单!Q891</v>
      </c>
    </row>
    <row r="1277" ht="26" customHeight="1">
      <c r="A1277" s="2" t="str">
        <v>S2-00891-BH</v>
      </c>
      <c r="B1277" s="2" t="str">
        <v>INP6903</v>
      </c>
      <c r="C1277" s="20" t="str">
        <v>Nồi áp suất điện INP6903</v>
      </c>
      <c r="D1277" s="2" t="str">
        <v>Nồi</v>
      </c>
      <c r="E1277" s="2" t="str">
        <v>4</v>
      </c>
      <c r="F1277" s="2" t="str">
        <v>907407.41</v>
      </c>
      <c r="G1277" s="19" t="n">
        <v>3920000</v>
      </c>
      <c r="H1277" s="2" t="str">
        <v>2.xlsx | 订单!Q892</v>
      </c>
    </row>
    <row r="1278" ht="26" customHeight="1">
      <c r="A1278" s="2" t="str">
        <v>S2-00896-BH</v>
      </c>
      <c r="B1278" s="2" t="str">
        <v>INP2003</v>
      </c>
      <c r="C1278" s="20" t="str">
        <v>Bộ nồi inox INP2003</v>
      </c>
      <c r="D1278" s="2" t="str">
        <v>Bộ</v>
      </c>
      <c r="E1278" s="2" t="str">
        <v>4</v>
      </c>
      <c r="F1278" s="2" t="str">
        <v>1059259.25</v>
      </c>
      <c r="G1278" s="19" t="n">
        <v>4576000</v>
      </c>
      <c r="H1278" s="2" t="str">
        <v>2.xlsx | 订单!Q896</v>
      </c>
    </row>
    <row r="1279" ht="26" customHeight="1">
      <c r="A1279" s="2" t="str">
        <v>S2-00896-BH</v>
      </c>
      <c r="B1279" s="2" t="str">
        <v>INP1401</v>
      </c>
      <c r="C1279" s="20" t="str">
        <v>Nồi áp suất 4.5L INP1401</v>
      </c>
      <c r="D1279" s="2" t="str">
        <v>Cái</v>
      </c>
      <c r="E1279" s="2" t="str">
        <v>4</v>
      </c>
      <c r="F1279" s="2" t="str">
        <v>824074.07</v>
      </c>
      <c r="G1279" s="19" t="n">
        <v>3560000</v>
      </c>
      <c r="H1279" s="2" t="str">
        <v>2.xlsx | 订单!Q897</v>
      </c>
    </row>
    <row r="1280" ht="26" customHeight="1">
      <c r="A1280" s="2" t="str">
        <v>S2-00898-BH</v>
      </c>
      <c r="B1280" s="2" t="str">
        <v>INP6402</v>
      </c>
      <c r="C1280" s="20" t="str">
        <v>	
Quạt điện đứng INP6402</v>
      </c>
      <c r="D1280" s="2" t="str">
        <v>Cái</v>
      </c>
      <c r="E1280" s="2" t="str">
        <v>10</v>
      </c>
      <c r="F1280" s="2" t="str">
        <v>574074.07</v>
      </c>
      <c r="G1280" s="19" t="n">
        <v>6200000</v>
      </c>
      <c r="H1280" s="2" t="str">
        <v>2.xlsx | 订单!Q898</v>
      </c>
    </row>
    <row r="1281" ht="26" customHeight="1">
      <c r="A1281" s="2" t="str">
        <v>S2-00899-BH</v>
      </c>
      <c r="B1281" s="2" t="str">
        <v>INP6403</v>
      </c>
      <c r="C1281" s="20" t="str">
        <v>	
Quạt điện đứng INP6403</v>
      </c>
      <c r="D1281" s="2" t="str">
        <v>Cái</v>
      </c>
      <c r="E1281" s="2" t="str">
        <v>50</v>
      </c>
      <c r="F1281" s="2" t="str">
        <v>694444.44</v>
      </c>
      <c r="G1281" s="19" t="n">
        <v>37500000</v>
      </c>
      <c r="H1281" s="2" t="str">
        <v>2.xlsx | 订单!Q899</v>
      </c>
    </row>
    <row r="1282" ht="26" customHeight="1">
      <c r="A1282" s="2" t="str">
        <v>S2-00900-BH</v>
      </c>
      <c r="B1282" s="2" t="str">
        <v>INP6901</v>
      </c>
      <c r="C1282" s="20" t="str">
        <v>Nồi áp suất điện INP6901</v>
      </c>
      <c r="D1282" s="2" t="str">
        <v>Cái</v>
      </c>
      <c r="E1282" s="2" t="str">
        <v>12</v>
      </c>
      <c r="F1282" s="2" t="str">
        <v>907407.41</v>
      </c>
      <c r="G1282" s="19" t="n">
        <v>11760000</v>
      </c>
      <c r="H1282" s="2" t="str">
        <v>2.xlsx | 订单!Q900</v>
      </c>
    </row>
    <row r="1283" ht="26" customHeight="1">
      <c r="A1283" s="2" t="str">
        <v>S2-00900-BH</v>
      </c>
      <c r="B1283" s="2" t="str">
        <v>INP6105</v>
      </c>
      <c r="C1283" s="20" t="str">
        <v>Bếp từ đơn INP6105</v>
      </c>
      <c r="D1283" s="2" t="str">
        <v>Cái</v>
      </c>
      <c r="E1283" s="2" t="str">
        <v>18</v>
      </c>
      <c r="F1283" s="2" t="str">
        <v>722222.22</v>
      </c>
      <c r="G1283" s="19" t="n">
        <v>14040000</v>
      </c>
      <c r="H1283" s="2" t="str">
        <v>2.xlsx | 订单!Q902</v>
      </c>
    </row>
    <row r="1284" ht="26" customHeight="1">
      <c r="A1284" s="2" t="str">
        <v>S2-00901-BH</v>
      </c>
      <c r="B1284" s="2" t="str">
        <v>INP6903</v>
      </c>
      <c r="C1284" s="20" t="str">
        <v>Nồi áp suất điện INP6903</v>
      </c>
      <c r="D1284" s="2" t="str">
        <v>Cái</v>
      </c>
      <c r="E1284" s="2" t="str">
        <v>8</v>
      </c>
      <c r="F1284" s="2" t="str">
        <v>907407.41</v>
      </c>
      <c r="G1284" s="19" t="n">
        <v>7840000</v>
      </c>
      <c r="H1284" s="2" t="str">
        <v>2.xlsx | 订单!Q901</v>
      </c>
    </row>
    <row r="1285" ht="26" customHeight="1">
      <c r="A1285" s="2" t="str">
        <v>S2-00904-BH</v>
      </c>
      <c r="B1285" s="2" t="str">
        <v>INP2202</v>
      </c>
      <c r="C1285" s="20" t="str">
        <v>Nồi luộc gà inox đúc nguyên khốiINP2202</v>
      </c>
      <c r="D1285" s="2" t="str">
        <v>Cái</v>
      </c>
      <c r="E1285" s="2" t="str">
        <v>8</v>
      </c>
      <c r="F1285" s="2" t="str">
        <v>844444.44</v>
      </c>
      <c r="G1285" s="19" t="n">
        <v>7296000</v>
      </c>
      <c r="H1285" s="2" t="str">
        <v>2.xlsx | 订单!Q904</v>
      </c>
    </row>
    <row r="1286" ht="26" customHeight="1">
      <c r="A1286" s="2" t="str">
        <v>S2-00904-BH</v>
      </c>
      <c r="B1286" s="2" t="str">
        <v>INP1402</v>
      </c>
      <c r="C1286" s="20" t="str">
        <v>Nồi áp suất 6L INP1402</v>
      </c>
      <c r="D1286" s="2" t="str">
        <v>Cái</v>
      </c>
      <c r="E1286" s="2" t="str">
        <v>6</v>
      </c>
      <c r="F1286" s="2" t="str">
        <v>937962.96</v>
      </c>
      <c r="G1286" s="19" t="n">
        <v>6078000</v>
      </c>
      <c r="H1286" s="2" t="str">
        <v>2.xlsx | 订单!Q905</v>
      </c>
    </row>
    <row r="1287" ht="26" customHeight="1">
      <c r="A1287" s="2" t="str">
        <v>S2-02166-BH</v>
      </c>
      <c r="B1287" s="2" t="str">
        <v>INP1301B</v>
      </c>
      <c r="C1287" s="20" t="str">
        <v>Nồi mã INP1301B</v>
      </c>
      <c r="D1287" s="2" t="str">
        <v>Cái</v>
      </c>
      <c r="E1287" s="2" t="str">
        <v>40</v>
      </c>
      <c r="F1287" s="2" t="str">
        <v>111111.11</v>
      </c>
      <c r="G1287" s="19" t="n">
        <v>4799999.95</v>
      </c>
      <c r="H1287" s="2" t="str">
        <v>2.xlsx | 订单!Q2166</v>
      </c>
    </row>
    <row r="1288" ht="26" customHeight="1">
      <c r="A1288" s="2" t="str">
        <v>S2-02166-BH</v>
      </c>
      <c r="B1288" s="2" t="str">
        <v>INP2003</v>
      </c>
      <c r="C1288" s="20" t="str">
        <v>Bộ nồi inox INP2003</v>
      </c>
      <c r="D1288" s="2" t="str">
        <v>Cái</v>
      </c>
      <c r="E1288" s="2" t="str">
        <v>6</v>
      </c>
      <c r="F1288" s="2" t="str">
        <v>1185185.19</v>
      </c>
      <c r="G1288" s="19" t="n">
        <v>7680000.03</v>
      </c>
      <c r="H1288" s="2" t="str">
        <v>2.xlsx | 订单!Q2167</v>
      </c>
    </row>
    <row r="1289" ht="26" customHeight="1">
      <c r="A1289" s="2" t="str">
        <v>S2-02166-BH</v>
      </c>
      <c r="B1289" s="2" t="str">
        <v>INP2104</v>
      </c>
      <c r="C1289" s="20" t="str">
        <v>Chảo inox chống dính đúc nguyên khối INP2104</v>
      </c>
      <c r="D1289" s="2" t="str">
        <v>Cái</v>
      </c>
      <c r="E1289" s="2" t="str">
        <v>10</v>
      </c>
      <c r="F1289" s="2" t="str">
        <v>298148.15</v>
      </c>
      <c r="G1289" s="19" t="n">
        <v>3220000.02</v>
      </c>
      <c r="H1289" s="2" t="str">
        <v>2.xlsx | 订单!Q2168</v>
      </c>
    </row>
    <row r="1290" ht="26" customHeight="1">
      <c r="A1290" s="2" t="str">
        <v>S2-02166-BH</v>
      </c>
      <c r="B1290" s="2" t="str">
        <v>INP2109</v>
      </c>
      <c r="C1290" s="20" t="str">
        <v>Chảo inox đúc nguyên khối (không chống dính)INP2109</v>
      </c>
      <c r="D1290" s="2" t="str">
        <v>Cái</v>
      </c>
      <c r="E1290" s="2" t="str">
        <v>10</v>
      </c>
      <c r="F1290" s="2" t="str">
        <v>240740.74</v>
      </c>
      <c r="G1290" s="19" t="n">
        <v>2599999.99</v>
      </c>
      <c r="H1290" s="2" t="str">
        <v>2.xlsx | 订单!Q2169</v>
      </c>
    </row>
    <row r="1291" ht="26" customHeight="1">
      <c r="A1291" s="2" t="str">
        <v>S2-02166-BH</v>
      </c>
      <c r="B1291" s="2" t="str">
        <v>INP2110</v>
      </c>
      <c r="C1291" s="20" t="str">
        <v>Chảo inox đúc nguyên khối (không chống dính)INP2110</v>
      </c>
      <c r="D1291" s="2" t="str">
        <v>Cái</v>
      </c>
      <c r="E1291" s="2" t="str">
        <v>10</v>
      </c>
      <c r="F1291" s="2" t="str">
        <v>259259.26</v>
      </c>
      <c r="G1291" s="19" t="n">
        <v>2800000.01</v>
      </c>
      <c r="H1291" s="2" t="str">
        <v>2.xlsx | 订单!Q2170</v>
      </c>
    </row>
    <row r="1292" ht="26" customHeight="1">
      <c r="A1292" s="2" t="str">
        <v>S2-02166-BH</v>
      </c>
      <c r="B1292" s="2" t="str">
        <v>INP2202</v>
      </c>
      <c r="C1292" s="20" t="str">
        <v>Nồi luộc gà inox đúc nguyên khốiINP2202</v>
      </c>
      <c r="D1292" s="2" t="str">
        <v>Cái</v>
      </c>
      <c r="E1292" s="2" t="str">
        <v>4</v>
      </c>
      <c r="F1292" s="2" t="str">
        <v>844444.44</v>
      </c>
      <c r="G1292" s="19" t="n">
        <v>3647999.98</v>
      </c>
      <c r="H1292" s="2" t="str">
        <v>2.xlsx | 订单!Q2171</v>
      </c>
    </row>
    <row r="1293" ht="26" customHeight="1">
      <c r="A1293" s="2" t="str">
        <v>S2-02166-BH</v>
      </c>
      <c r="B1293" s="2" t="str">
        <v>INP6105</v>
      </c>
      <c r="C1293" s="20" t="str">
        <v>Bếp từ đơn INP6105</v>
      </c>
      <c r="D1293" s="2" t="str">
        <v>Cái</v>
      </c>
      <c r="E1293" s="2" t="str">
        <v>12</v>
      </c>
      <c r="F1293" s="2" t="str">
        <v>675925.93</v>
      </c>
      <c r="G1293" s="19" t="n">
        <v>8760000.05</v>
      </c>
      <c r="H1293" s="2" t="str">
        <v>2.xlsx | 订单!Q2172</v>
      </c>
    </row>
    <row r="1294" ht="26" customHeight="1">
      <c r="A1294" s="2" t="str">
        <v>S2-02166-BH</v>
      </c>
      <c r="B1294" s="2" t="str">
        <v>INP6209A</v>
      </c>
      <c r="C1294" s="20" t="str">
        <v>Ấm siêu tốc INP6209A</v>
      </c>
      <c r="D1294" s="2" t="str">
        <v>Cái</v>
      </c>
      <c r="E1294" s="2" t="str">
        <v>12</v>
      </c>
      <c r="F1294" s="2" t="str">
        <v>212962.96</v>
      </c>
      <c r="G1294" s="19" t="n">
        <v>2759999.96</v>
      </c>
      <c r="H1294" s="2" t="str">
        <v>2.xlsx | 订单!Q2173</v>
      </c>
    </row>
    <row r="1295" ht="26" customHeight="1">
      <c r="A1295" s="2" t="str">
        <v>S2-02166-BH</v>
      </c>
      <c r="B1295" s="2" t="str">
        <v>INP6006</v>
      </c>
      <c r="C1295" s="20" t="str">
        <v>Nồi cơm điện INP6006 (1,2L)</v>
      </c>
      <c r="D1295" s="2" t="str">
        <v>Cái</v>
      </c>
      <c r="E1295" s="2" t="str">
        <v>15</v>
      </c>
      <c r="F1295" s="2" t="str">
        <v>527777.78</v>
      </c>
      <c r="G1295" s="19" t="n">
        <v>8550000.04</v>
      </c>
      <c r="H1295" s="2" t="str">
        <v>2.xlsx | 订单!Q2174</v>
      </c>
    </row>
    <row r="1296" ht="26" customHeight="1">
      <c r="A1296" s="2" t="str">
        <v>S2-02166-BH</v>
      </c>
      <c r="B1296" s="2" t="str">
        <v>INP6010</v>
      </c>
      <c r="C1296" s="20" t="str">
        <v>Nồi cơm điện INP6010 (1,2L)</v>
      </c>
      <c r="D1296" s="2" t="str">
        <v>Cái</v>
      </c>
      <c r="E1296" s="2" t="str">
        <v>15</v>
      </c>
      <c r="F1296" s="2" t="str">
        <v>481481.48</v>
      </c>
      <c r="G1296" s="19" t="n">
        <v>7799999.98</v>
      </c>
      <c r="H1296" s="2" t="str">
        <v>2.xlsx | 订单!Q2175</v>
      </c>
    </row>
    <row r="1297" ht="26" customHeight="1">
      <c r="A1297" s="2" t="str">
        <v>S2-02166-BH</v>
      </c>
      <c r="B1297" s="2" t="str">
        <v>INP6011</v>
      </c>
      <c r="C1297" s="20" t="str">
        <v>Nồi cơm điện INP6011 (1,8L)</v>
      </c>
      <c r="D1297" s="2" t="str">
        <v>Cái</v>
      </c>
      <c r="E1297" s="2" t="str">
        <v>15</v>
      </c>
      <c r="F1297" s="2" t="str">
        <v>574074.07</v>
      </c>
      <c r="G1297" s="19" t="n">
        <v>9299999.93</v>
      </c>
      <c r="H1297" s="2" t="str">
        <v>2.xlsx | 订单!Q2176</v>
      </c>
    </row>
    <row r="1298" ht="26" customHeight="1">
      <c r="A1298" s="2" t="str">
        <v>S2-00373-BH</v>
      </c>
      <c r="B1298" s="2" t="str">
        <v>INP2111</v>
      </c>
      <c r="C1298" s="20" t="str">
        <v>Chảo inox đúc nguyên khối (không chống dính)INP2111</v>
      </c>
      <c r="D1298" s="2" t="str">
        <v>cái</v>
      </c>
      <c r="E1298" s="2" t="str">
        <v>10</v>
      </c>
      <c r="F1298" s="2" t="str">
        <v>277778</v>
      </c>
      <c r="G1298" s="19" t="n">
        <v>3000002</v>
      </c>
      <c r="H1298" s="2" t="str">
        <v>2.xlsx | 订单!Q373</v>
      </c>
    </row>
    <row r="1299" ht="26" customHeight="1">
      <c r="A1299" s="2" t="str">
        <v>S2-00373-BH</v>
      </c>
      <c r="B1299" s="2" t="str">
        <v>INP2202</v>
      </c>
      <c r="C1299" s="20" t="str">
        <v>Nồi luộc gà inox đúc nguyên khốiINP2202</v>
      </c>
      <c r="D1299" s="2" t="str">
        <v>cái</v>
      </c>
      <c r="E1299" s="2" t="str">
        <v>4</v>
      </c>
      <c r="F1299" s="2" t="str">
        <v>844444</v>
      </c>
      <c r="G1299" s="19" t="n">
        <v>3647998</v>
      </c>
      <c r="H1299" s="2" t="str">
        <v>2.xlsx | 订单!Q374</v>
      </c>
    </row>
    <row r="1300" ht="26" customHeight="1">
      <c r="A1300" s="2" t="str">
        <v>S2-00373-BH</v>
      </c>
      <c r="B1300" s="2" t="str">
        <v>INP3201</v>
      </c>
      <c r="C1300" s="20" t="str">
        <v>Chảo gang tráng menINP3201</v>
      </c>
      <c r="D1300" s="2" t="str">
        <v>cái</v>
      </c>
      <c r="E1300" s="2" t="str">
        <v>24</v>
      </c>
      <c r="F1300" s="2" t="str">
        <v>194444</v>
      </c>
      <c r="G1300" s="19" t="n">
        <v>5039989</v>
      </c>
      <c r="H1300" s="2" t="str">
        <v>2.xlsx | 订单!Q375</v>
      </c>
    </row>
    <row r="1301" ht="26" customHeight="1">
      <c r="A1301" s="2" t="str">
        <v>S2-00373-BH</v>
      </c>
      <c r="B1301" s="2" t="str">
        <v>INP1003</v>
      </c>
      <c r="C1301" s="20" t="str">
        <v>Bộ nồi Inox INP1003 </v>
      </c>
      <c r="D1301" s="2" t="str">
        <v>cái</v>
      </c>
      <c r="E1301" s="2" t="str">
        <v>12</v>
      </c>
      <c r="F1301" s="2" t="str">
        <v>314815</v>
      </c>
      <c r="G1301" s="19" t="n">
        <v>4080002</v>
      </c>
      <c r="H1301" s="2" t="str">
        <v>2.xlsx | 订单!Q376</v>
      </c>
    </row>
    <row r="1302" ht="26" customHeight="1">
      <c r="A1302" s="2" t="str">
        <v>S2-00373-BH</v>
      </c>
      <c r="B1302" s="2" t="str">
        <v>INP1301</v>
      </c>
      <c r="C1302" s="20" t="str">
        <v>Nồi mã INP1301</v>
      </c>
      <c r="D1302" s="2" t="str">
        <v>cái</v>
      </c>
      <c r="E1302" s="2" t="str">
        <v>10</v>
      </c>
      <c r="F1302" s="2" t="str">
        <v>78704</v>
      </c>
      <c r="G1302" s="19" t="n">
        <v>850003</v>
      </c>
      <c r="H1302" s="2" t="str">
        <v>2.xlsx | 订单!Q377</v>
      </c>
    </row>
    <row r="1303" ht="26" customHeight="1">
      <c r="A1303" s="2" t="str">
        <v>S2-00373-BH</v>
      </c>
      <c r="B1303" s="2" t="str">
        <v>INP2101</v>
      </c>
      <c r="C1303" s="20" t="str">
        <v>Chảo inox chống dính đúc nguyên khốiINP2101</v>
      </c>
      <c r="D1303" s="2" t="str">
        <v>cái</v>
      </c>
      <c r="E1303" s="2" t="str">
        <v>10</v>
      </c>
      <c r="F1303" s="2" t="str">
        <v>234259</v>
      </c>
      <c r="G1303" s="19" t="n">
        <v>2529997</v>
      </c>
      <c r="H1303" s="2" t="str">
        <v>2.xlsx | 订单!Q378</v>
      </c>
    </row>
    <row r="1304" ht="26" customHeight="1">
      <c r="A1304" s="2" t="str">
        <v>S2-00373-BH</v>
      </c>
      <c r="B1304" s="2" t="str">
        <v>INP2102</v>
      </c>
      <c r="C1304" s="20" t="str">
        <v>Chảo inox chống dính đúc nguyên khốiINP2102</v>
      </c>
      <c r="D1304" s="2" t="str">
        <v>cái</v>
      </c>
      <c r="E1304" s="2" t="str">
        <v>10</v>
      </c>
      <c r="F1304" s="2" t="str">
        <v>256481</v>
      </c>
      <c r="G1304" s="19" t="n">
        <v>2769995</v>
      </c>
      <c r="H1304" s="2" t="str">
        <v>2.xlsx | 订单!Q379</v>
      </c>
    </row>
    <row r="1305" ht="26" customHeight="1">
      <c r="A1305" s="2" t="str">
        <v>S2-00373-BH</v>
      </c>
      <c r="B1305" s="2" t="str">
        <v>INP2103</v>
      </c>
      <c r="C1305" s="20" t="str">
        <v>Chảo inox chống dính đúc nguyên khốiINP2103</v>
      </c>
      <c r="D1305" s="2" t="str">
        <v>cái</v>
      </c>
      <c r="E1305" s="2" t="str">
        <v>10</v>
      </c>
      <c r="F1305" s="2" t="str">
        <v>281481</v>
      </c>
      <c r="G1305" s="19" t="n">
        <v>3039995</v>
      </c>
      <c r="H1305" s="2" t="str">
        <v>2.xlsx | 订单!Q380</v>
      </c>
    </row>
    <row r="1306" ht="26" customHeight="1">
      <c r="A1306" s="2" t="str">
        <v>S2-00373-BH</v>
      </c>
      <c r="B1306" s="2" t="str">
        <v>INP2105</v>
      </c>
      <c r="C1306" s="20" t="str">
        <v>Chảo inox đúc nguyên khối (không chống dính)INP2105</v>
      </c>
      <c r="D1306" s="2" t="str">
        <v>cái</v>
      </c>
      <c r="E1306" s="2" t="str">
        <v>10</v>
      </c>
      <c r="F1306" s="2" t="str">
        <v>227778</v>
      </c>
      <c r="G1306" s="19" t="n">
        <v>2460002</v>
      </c>
      <c r="H1306" s="2" t="str">
        <v>2.xlsx | 订单!Q381</v>
      </c>
    </row>
    <row r="1307" ht="26" customHeight="1">
      <c r="A1307" s="2" t="str">
        <v>S2-00373-BH</v>
      </c>
      <c r="B1307" s="2" t="str">
        <v>INP2106</v>
      </c>
      <c r="C1307" s="20" t="str">
        <v>Chảo inox đúc nguyên khối (không chống dính)INP2106</v>
      </c>
      <c r="D1307" s="2" t="str">
        <v>cái</v>
      </c>
      <c r="E1307" s="2" t="str">
        <v>10</v>
      </c>
      <c r="F1307" s="2" t="str">
        <v>252778</v>
      </c>
      <c r="G1307" s="19" t="n">
        <v>2730002</v>
      </c>
      <c r="H1307" s="2" t="str">
        <v>2.xlsx | 订单!Q382</v>
      </c>
    </row>
    <row r="1308" ht="26" customHeight="1">
      <c r="A1308" s="2" t="str">
        <v>S2-00373-BH</v>
      </c>
      <c r="B1308" s="2" t="str">
        <v>INP2108</v>
      </c>
      <c r="C1308" s="20" t="str">
        <v>Chảo inox đúc nguyên khối (không chống dính)INP2108</v>
      </c>
      <c r="D1308" s="2" t="str">
        <v>cái</v>
      </c>
      <c r="E1308" s="2" t="str">
        <v>10</v>
      </c>
      <c r="F1308" s="2" t="str">
        <v>256481</v>
      </c>
      <c r="G1308" s="19" t="n">
        <v>2769995</v>
      </c>
      <c r="H1308" s="2" t="str">
        <v>2.xlsx | 订单!Q383</v>
      </c>
    </row>
    <row r="1309" ht="26" customHeight="1">
      <c r="A1309" s="2" t="str">
        <v>S2-00373-BH</v>
      </c>
      <c r="B1309" s="2" t="str">
        <v>INP2109</v>
      </c>
      <c r="C1309" s="20" t="str">
        <v>Chảo inox đúc nguyên khối (không chống dính)INP2109</v>
      </c>
      <c r="D1309" s="2" t="str">
        <v>cái</v>
      </c>
      <c r="E1309" s="2" t="str">
        <v>10</v>
      </c>
      <c r="F1309" s="2" t="str">
        <v>227778</v>
      </c>
      <c r="G1309" s="19" t="n">
        <v>2460002</v>
      </c>
      <c r="H1309" s="2" t="str">
        <v>2.xlsx | 订单!Q384</v>
      </c>
    </row>
    <row r="1310" ht="26" customHeight="1">
      <c r="A1310" s="2" t="str">
        <v>S2-00373-BH</v>
      </c>
      <c r="B1310" s="2" t="str">
        <v>INP2110</v>
      </c>
      <c r="C1310" s="20" t="str">
        <v>Chảo inox đúc nguyên khối (không chống dính)INP2110</v>
      </c>
      <c r="D1310" s="2" t="str">
        <v>cái</v>
      </c>
      <c r="E1310" s="2" t="str">
        <v>10</v>
      </c>
      <c r="F1310" s="2" t="str">
        <v>252778</v>
      </c>
      <c r="G1310" s="19" t="n">
        <v>2730002</v>
      </c>
      <c r="H1310" s="2" t="str">
        <v>2.xlsx | 订单!Q385</v>
      </c>
    </row>
    <row r="1311" ht="26" customHeight="1">
      <c r="A1311" s="2" t="str">
        <v>S2-00386-BH</v>
      </c>
      <c r="B1311" s="2" t="str">
        <v>INP6001</v>
      </c>
      <c r="C1311" s="20" t="str">
        <v>Nồi cơm điện tử (Nồi cơm điện đa năng
giảm đường) INP6001</v>
      </c>
      <c r="D1311" s="2" t="str">
        <v>cái</v>
      </c>
      <c r="E1311" s="2" t="str">
        <v>2</v>
      </c>
      <c r="F1311" s="2" t="str">
        <v>1138889</v>
      </c>
      <c r="G1311" s="19" t="n">
        <v>2460000</v>
      </c>
      <c r="H1311" s="2" t="str">
        <v>2.xlsx | 订单!Q386</v>
      </c>
    </row>
    <row r="1312" ht="26" customHeight="1">
      <c r="A1312" s="2" t="str">
        <v>S2-00386-BH</v>
      </c>
      <c r="B1312" s="2" t="str">
        <v>INP6003</v>
      </c>
      <c r="C1312" s="20" t="str">
        <v>Nồi cơm điện tử (Nồi cơm điện đa năng
giảm đường) INP6003</v>
      </c>
      <c r="D1312" s="2" t="str">
        <v>cái</v>
      </c>
      <c r="E1312" s="2" t="str">
        <v>2</v>
      </c>
      <c r="F1312" s="2" t="str">
        <v>851852</v>
      </c>
      <c r="G1312" s="19" t="n">
        <v>1840000</v>
      </c>
      <c r="H1312" s="2" t="str">
        <v>2.xlsx | 订单!Q387</v>
      </c>
    </row>
    <row r="1313" ht="26" customHeight="1">
      <c r="A1313" s="2" t="str">
        <v>S2-00388-BH</v>
      </c>
      <c r="B1313" s="2" t="str">
        <v>INP6101</v>
      </c>
      <c r="C1313" s="20" t="str">
        <v>Bếp từ đơn INP6101( 2200W, mặt kính màu sữa )</v>
      </c>
      <c r="D1313" s="2" t="str">
        <v>cái</v>
      </c>
      <c r="E1313" s="2" t="str">
        <v>12</v>
      </c>
      <c r="F1313" s="2" t="str">
        <v>601852</v>
      </c>
      <c r="G1313" s="19" t="n">
        <v>7800002</v>
      </c>
      <c r="H1313" s="2" t="str">
        <v>2.xlsx | 订单!Q388</v>
      </c>
    </row>
    <row r="1314" ht="26" customHeight="1">
      <c r="A1314" s="2" t="str">
        <v>S2-00388-BH</v>
      </c>
      <c r="B1314" s="2" t="str">
        <v>INP6201</v>
      </c>
      <c r="C1314" s="20" t="str">
        <v>Ấm điện siêu tốc INP6201 1,7 lít màu ghi</v>
      </c>
      <c r="D1314" s="2" t="str">
        <v>cái</v>
      </c>
      <c r="E1314" s="2" t="str">
        <v>12</v>
      </c>
      <c r="F1314" s="2" t="str">
        <v>324074</v>
      </c>
      <c r="G1314" s="19" t="n">
        <v>4199999</v>
      </c>
      <c r="H1314" s="2" t="str">
        <v>2.xlsx | 订单!Q389</v>
      </c>
    </row>
    <row r="1315" ht="26" customHeight="1">
      <c r="A1315" s="2" t="str">
        <v>S2-00388-BH</v>
      </c>
      <c r="B1315" s="2" t="str">
        <v>INP6202</v>
      </c>
      <c r="C1315" s="20" t="str">
        <v> Ấm điện siêu tốc INP6202 1,7 lít màu đen</v>
      </c>
      <c r="D1315" s="2" t="str">
        <v>cái</v>
      </c>
      <c r="E1315" s="2" t="str">
        <v>24</v>
      </c>
      <c r="F1315" s="2" t="str">
        <v>325926</v>
      </c>
      <c r="G1315" s="19" t="n">
        <v>8448002</v>
      </c>
      <c r="H1315" s="2" t="str">
        <v>2.xlsx | 订单!Q390</v>
      </c>
    </row>
    <row r="1316" ht="26" customHeight="1">
      <c r="A1316" s="2" t="str">
        <v>S2-00419-BH</v>
      </c>
      <c r="B1316" s="2" t="str">
        <v>INP2107</v>
      </c>
      <c r="C1316" s="20" t="str">
        <v>Chảo inox đúc nguyên khối (không chống dính)INP2107</v>
      </c>
      <c r="D1316" s="2" t="str">
        <v>cái</v>
      </c>
      <c r="E1316" s="2" t="str">
        <v>20</v>
      </c>
      <c r="F1316" s="2" t="str">
        <v>268518.52</v>
      </c>
      <c r="G1316" s="19" t="n">
        <v>5800000</v>
      </c>
      <c r="H1316" s="2" t="str">
        <v>2.xlsx | 订单!Q419</v>
      </c>
    </row>
    <row r="1317" ht="26" customHeight="1">
      <c r="A1317" s="2" t="str">
        <v>S2-00394-BH</v>
      </c>
      <c r="B1317" s="2" t="str">
        <v>INP1203</v>
      </c>
      <c r="C1317" s="20" t="str">
        <v>Nồi Inox INP1203</v>
      </c>
      <c r="D1317" s="2" t="str">
        <v>cái</v>
      </c>
      <c r="E1317" s="2" t="str">
        <v>4</v>
      </c>
      <c r="F1317" s="2" t="str">
        <v>492592.59</v>
      </c>
      <c r="G1317" s="19" t="n">
        <v>2128000</v>
      </c>
      <c r="H1317" s="2" t="str">
        <v>2.xlsx | 订单!Q394</v>
      </c>
    </row>
    <row r="1318" ht="26" customHeight="1">
      <c r="A1318" s="2" t="str">
        <v>S2-00394-BH</v>
      </c>
      <c r="B1318" s="2" t="str">
        <v>INP1301</v>
      </c>
      <c r="C1318" s="20" t="str">
        <v>Nồi mã INP1301</v>
      </c>
      <c r="D1318" s="2" t="str">
        <v>cái</v>
      </c>
      <c r="E1318" s="2" t="str">
        <v>10</v>
      </c>
      <c r="F1318" s="2" t="str">
        <v>78703.7</v>
      </c>
      <c r="G1318" s="19" t="n">
        <v>850000</v>
      </c>
      <c r="H1318" s="2" t="str">
        <v>2.xlsx | 订单!Q395</v>
      </c>
    </row>
    <row r="1319" ht="26" customHeight="1">
      <c r="A1319" s="2" t="str">
        <v>S2-00394-BH</v>
      </c>
      <c r="B1319" s="2" t="str">
        <v>INP2111</v>
      </c>
      <c r="C1319" s="20" t="str">
        <v>Chảo inox đúc nguyên khối (không chống dính)INP2111</v>
      </c>
      <c r="D1319" s="2" t="str">
        <v>cái</v>
      </c>
      <c r="E1319" s="2" t="str">
        <v>10</v>
      </c>
      <c r="F1319" s="2" t="str">
        <v>277777.77</v>
      </c>
      <c r="G1319" s="19" t="n">
        <v>3000000</v>
      </c>
      <c r="H1319" s="2" t="str">
        <v>2.xlsx | 订单!Q396</v>
      </c>
    </row>
    <row r="1320" ht="26" customHeight="1">
      <c r="A1320" s="2" t="str">
        <v>S2-00394-BH</v>
      </c>
      <c r="B1320" s="2" t="str">
        <v>INP2202</v>
      </c>
      <c r="C1320" s="20" t="str">
        <v>Nồi luộc gà inox đúc nguyên khốiINP2202</v>
      </c>
      <c r="D1320" s="2" t="str">
        <v>cái</v>
      </c>
      <c r="E1320" s="2" t="str">
        <v>2</v>
      </c>
      <c r="F1320" s="2" t="str">
        <v>844444.44</v>
      </c>
      <c r="G1320" s="19" t="n">
        <v>1824000</v>
      </c>
      <c r="H1320" s="2" t="str">
        <v>2.xlsx | 订单!Q397</v>
      </c>
    </row>
    <row r="1321" ht="26" customHeight="1">
      <c r="A1321" s="2" t="str">
        <v>S2-00398-BH</v>
      </c>
      <c r="B1321" s="2" t="str">
        <v>INP6003</v>
      </c>
      <c r="C1321" s="20" t="str">
        <v>Nồi cơm điện tử (Nồi cơm điện đa năng
giảm đường) INP6003</v>
      </c>
      <c r="D1321" s="2" t="str">
        <v>cái</v>
      </c>
      <c r="E1321" s="2" t="str">
        <v>4</v>
      </c>
      <c r="F1321" s="2" t="str">
        <v>851852</v>
      </c>
      <c r="G1321" s="19" t="n">
        <v>3680001</v>
      </c>
      <c r="H1321" s="2" t="str">
        <v>2.xlsx | 订单!Q398</v>
      </c>
    </row>
    <row r="1322" ht="26" customHeight="1">
      <c r="A1322" s="2" t="str">
        <v>S2-00400-BH</v>
      </c>
      <c r="B1322" s="2" t="str">
        <v>INP6201</v>
      </c>
      <c r="C1322" s="20" t="str">
        <v>Ấm điện siêu tốc INP6201 1,7 lít màu ghi</v>
      </c>
      <c r="D1322" s="2" t="str">
        <v>cái</v>
      </c>
      <c r="E1322" s="2" t="str">
        <v>12</v>
      </c>
      <c r="F1322" s="2" t="str">
        <v>324074.07</v>
      </c>
      <c r="G1322" s="19" t="n">
        <v>4200000</v>
      </c>
      <c r="H1322" s="2" t="str">
        <v>2.xlsx | 订单!Q400</v>
      </c>
    </row>
    <row r="1323" ht="26" customHeight="1">
      <c r="A1323" s="2" t="str">
        <v>S2-00402-TH</v>
      </c>
      <c r="B1323" s="2" t="str">
        <v>INP3201</v>
      </c>
      <c r="C1323" s="20" t="str">
        <v>Chảo gang tráng menINP3201</v>
      </c>
      <c r="D1323" s="2" t="str">
        <v>cái</v>
      </c>
      <c r="E1323" s="2" t="str">
        <v>-18</v>
      </c>
      <c r="F1323" s="2" t="str">
        <v>194444</v>
      </c>
      <c r="G1323" s="19" t="n">
        <v>3779991</v>
      </c>
      <c r="H1323" s="2" t="str">
        <v>2.xlsx | 订单!Q402</v>
      </c>
    </row>
    <row r="1324" ht="26" customHeight="1">
      <c r="A1324" s="2" t="str">
        <v>S2-00402-TH</v>
      </c>
      <c r="B1324" s="2" t="str">
        <v>INP2101</v>
      </c>
      <c r="C1324" s="20" t="str">
        <v>Chảo inox chống dính đúc nguyên khốiINP2101</v>
      </c>
      <c r="D1324" s="2" t="str">
        <v>cái</v>
      </c>
      <c r="E1324" s="2" t="str">
        <v>-10</v>
      </c>
      <c r="F1324" s="2" t="str">
        <v>234259</v>
      </c>
      <c r="G1324" s="19" t="n">
        <v>2529997</v>
      </c>
      <c r="H1324" s="2" t="str">
        <v>2.xlsx | 订单!Q403</v>
      </c>
    </row>
    <row r="1325" ht="26" customHeight="1">
      <c r="A1325" s="2" t="str">
        <v>S2-00402-TH</v>
      </c>
      <c r="B1325" s="2" t="str">
        <v>INP2102</v>
      </c>
      <c r="C1325" s="20" t="str">
        <v>Chảo inox chống dính đúc nguyên khốiINP2102</v>
      </c>
      <c r="D1325" s="2" t="str">
        <v>cái</v>
      </c>
      <c r="E1325" s="2" t="str">
        <v>-10</v>
      </c>
      <c r="F1325" s="2" t="str">
        <v>256481</v>
      </c>
      <c r="G1325" s="19" t="n">
        <v>2769995</v>
      </c>
      <c r="H1325" s="2" t="str">
        <v>2.xlsx | 订单!Q404</v>
      </c>
    </row>
    <row r="1326" ht="26" customHeight="1">
      <c r="A1326" s="2" t="str">
        <v>S2-00402-TH</v>
      </c>
      <c r="B1326" s="2" t="str">
        <v>INP2105</v>
      </c>
      <c r="C1326" s="20" t="str">
        <v>Chảo inox đúc nguyên khối (không chống dính)INP2105</v>
      </c>
      <c r="D1326" s="2" t="str">
        <v>cái</v>
      </c>
      <c r="E1326" s="2" t="str">
        <v>-10</v>
      </c>
      <c r="F1326" s="2" t="str">
        <v>227778</v>
      </c>
      <c r="G1326" s="19" t="n">
        <v>2460002</v>
      </c>
      <c r="H1326" s="2" t="str">
        <v>2.xlsx | 订单!Q405</v>
      </c>
    </row>
    <row r="1327" ht="26" customHeight="1">
      <c r="A1327" s="2" t="str">
        <v>S2-00406-BH</v>
      </c>
      <c r="B1327" s="2" t="str">
        <v>INP2001</v>
      </c>
      <c r="C1327" s="20" t="str">
        <v>Bộ nồi inox đúc nguyên khối INP2001</v>
      </c>
      <c r="D1327" s="2" t="str">
        <v>Bộ</v>
      </c>
      <c r="E1327" s="2" t="str">
        <v>2</v>
      </c>
      <c r="F1327" s="2" t="str">
        <v>1043518.52</v>
      </c>
      <c r="G1327" s="19" t="n">
        <v>2254000</v>
      </c>
      <c r="H1327" s="2" t="str">
        <v>2.xlsx | 订单!Q406</v>
      </c>
    </row>
    <row r="1328" ht="26" customHeight="1">
      <c r="A1328" s="2" t="str">
        <v>S2-00406-BH</v>
      </c>
      <c r="B1328" s="2" t="str">
        <v>INP2002</v>
      </c>
      <c r="C1328" s="20" t="str">
        <v>Bộ nồi inox INP2002</v>
      </c>
      <c r="D1328" s="2" t="str">
        <v>Bộ</v>
      </c>
      <c r="E1328" s="2" t="str">
        <v>2</v>
      </c>
      <c r="F1328" s="2" t="str">
        <v>851851.85</v>
      </c>
      <c r="G1328" s="19" t="n">
        <v>1840000</v>
      </c>
      <c r="H1328" s="2" t="str">
        <v>2.xlsx | 订单!Q407</v>
      </c>
    </row>
    <row r="1329" ht="26" customHeight="1">
      <c r="A1329" s="2" t="str">
        <v>S2-00406-BH</v>
      </c>
      <c r="B1329" s="2" t="str">
        <v>INP2106</v>
      </c>
      <c r="C1329" s="20" t="str">
        <v>Chảo inox đúc nguyên khối (không chống dính)INP2106</v>
      </c>
      <c r="D1329" s="2" t="str">
        <v>cái</v>
      </c>
      <c r="E1329" s="2" t="str">
        <v>20</v>
      </c>
      <c r="F1329" s="2" t="str">
        <v>252777.78</v>
      </c>
      <c r="G1329" s="19" t="n">
        <v>5460000</v>
      </c>
      <c r="H1329" s="2" t="str">
        <v>2.xlsx | 订单!Q408</v>
      </c>
    </row>
    <row r="1330" ht="26" customHeight="1">
      <c r="A1330" s="2" t="str">
        <v>S2-00406-BH</v>
      </c>
      <c r="B1330" s="2" t="str">
        <v>INP2110</v>
      </c>
      <c r="C1330" s="20" t="str">
        <v>Chảo inox đúc nguyên khối (không chống dính)INP2110</v>
      </c>
      <c r="D1330" s="2" t="str">
        <v>cái</v>
      </c>
      <c r="E1330" s="2" t="str">
        <v>20</v>
      </c>
      <c r="F1330" s="2" t="str">
        <v>252777.78</v>
      </c>
      <c r="G1330" s="19" t="n">
        <v>5460000</v>
      </c>
      <c r="H1330" s="2" t="str">
        <v>2.xlsx | 订单!Q409</v>
      </c>
    </row>
    <row r="1331" ht="26" customHeight="1">
      <c r="A1331" s="2" t="str">
        <v>S2-00406-BH</v>
      </c>
      <c r="B1331" s="2" t="str">
        <v>INP2111</v>
      </c>
      <c r="C1331" s="20" t="str">
        <v>Chảo inox đúc nguyên khối (không chống dính)INP2111</v>
      </c>
      <c r="D1331" s="2" t="str">
        <v>cái</v>
      </c>
      <c r="E1331" s="2" t="str">
        <v>20</v>
      </c>
      <c r="F1331" s="2" t="str">
        <v>277777.78</v>
      </c>
      <c r="G1331" s="19" t="n">
        <v>6000000</v>
      </c>
      <c r="H1331" s="2" t="str">
        <v>2.xlsx | 订单!Q410</v>
      </c>
    </row>
    <row r="1332" ht="26" customHeight="1">
      <c r="A1332" s="2" t="str">
        <v>S2-00406-BH</v>
      </c>
      <c r="B1332" s="2" t="str">
        <v>INP6001</v>
      </c>
      <c r="C1332" s="20" t="str">
        <v>Nồi cơm điện tử (Nồi cơm điện đa năng giảm đường) INP6001</v>
      </c>
      <c r="D1332" s="2" t="str">
        <v>cái</v>
      </c>
      <c r="E1332" s="2" t="str">
        <v>4</v>
      </c>
      <c r="F1332" s="2" t="str">
        <v>1138889</v>
      </c>
      <c r="G1332" s="19" t="n">
        <v>4920001</v>
      </c>
      <c r="H1332" s="2" t="str">
        <v>2.xlsx | 订单!Q411</v>
      </c>
    </row>
    <row r="1333" ht="26" customHeight="1">
      <c r="A1333" s="2" t="str">
        <v>S2-00406-BH</v>
      </c>
      <c r="B1333" s="2" t="str">
        <v>INP6002</v>
      </c>
      <c r="C1333" s="20" t="str">
        <v>Nồi cơm điện tử (Nồi cơm điện đa năng giảm đường) INP6002</v>
      </c>
      <c r="D1333" s="2" t="str">
        <v>cái</v>
      </c>
      <c r="E1333" s="2" t="str">
        <v>4</v>
      </c>
      <c r="F1333" s="2" t="str">
        <v>1097222.22</v>
      </c>
      <c r="G1333" s="19" t="n">
        <v>4740000</v>
      </c>
      <c r="H1333" s="2" t="str">
        <v>2.xlsx | 订单!Q412</v>
      </c>
    </row>
    <row r="1334" ht="26" customHeight="1">
      <c r="A1334" s="2" t="str">
        <v>S2-00406-BH</v>
      </c>
      <c r="B1334" s="2" t="str">
        <v>INP6202</v>
      </c>
      <c r="C1334" s="20" t="str">
        <v>Ấm điện siêu tốc INP6202 1,7 lít màu đen</v>
      </c>
      <c r="D1334" s="2" t="str">
        <v>cái</v>
      </c>
      <c r="E1334" s="2" t="str">
        <v>60</v>
      </c>
      <c r="F1334" s="2" t="str">
        <v>325925.93</v>
      </c>
      <c r="G1334" s="19" t="n">
        <v>21120000</v>
      </c>
      <c r="H1334" s="2" t="str">
        <v>2.xlsx | 订单!Q413</v>
      </c>
    </row>
    <row r="1335" ht="26" customHeight="1">
      <c r="A1335" s="2" t="str">
        <v>S2-00406-BH</v>
      </c>
      <c r="B1335" s="2" t="str">
        <v>INP1301</v>
      </c>
      <c r="C1335" s="20" t="str">
        <v>Nồi mã INP1301</v>
      </c>
      <c r="D1335" s="2" t="str">
        <v>cái</v>
      </c>
      <c r="E1335" s="2" t="str">
        <v>10</v>
      </c>
      <c r="F1335" s="2" t="str">
        <v>78703.7</v>
      </c>
      <c r="G1335" s="19" t="n">
        <v>850000</v>
      </c>
      <c r="H1335" s="2" t="str">
        <v>2.xlsx | 订单!Q414</v>
      </c>
    </row>
    <row r="1336" ht="26" customHeight="1">
      <c r="A1336" s="2" t="str">
        <v>S2-00406-BH</v>
      </c>
      <c r="B1336" s="2" t="str">
        <v>INP6701</v>
      </c>
      <c r="C1336" s="20" t="str">
        <v>Máy xay thực phẩm INP6701</v>
      </c>
      <c r="D1336" s="2" t="str">
        <v>cái</v>
      </c>
      <c r="E1336" s="2" t="str">
        <v>8</v>
      </c>
      <c r="F1336" s="2" t="str">
        <v>361111.11</v>
      </c>
      <c r="G1336" s="19" t="n">
        <v>3120000</v>
      </c>
      <c r="H1336" s="2" t="str">
        <v>2.xlsx | 订单!Q415</v>
      </c>
    </row>
    <row r="1337" ht="26" customHeight="1">
      <c r="A1337" s="2" t="str">
        <v>S2-00406-BH</v>
      </c>
      <c r="B1337" s="2" t="str">
        <v>INP2301</v>
      </c>
      <c r="C1337" s="20" t="str">
        <v>Chảo rán INP2301</v>
      </c>
      <c r="D1337" s="2" t="str">
        <v>Bộ</v>
      </c>
      <c r="E1337" s="2" t="str">
        <v>20</v>
      </c>
      <c r="F1337" s="2" t="str">
        <v>416666.66</v>
      </c>
      <c r="G1337" s="19" t="n">
        <v>9000000</v>
      </c>
      <c r="H1337" s="2" t="str">
        <v>2.xlsx | 订单!Q416</v>
      </c>
    </row>
    <row r="1338" ht="26" customHeight="1">
      <c r="A1338" s="2" t="str">
        <v>S2-00406-BH</v>
      </c>
      <c r="B1338" s="2" t="str">
        <v>INP1003</v>
      </c>
      <c r="C1338" s="20" t="str">
        <v>Bộ nồi Inox INP1003 </v>
      </c>
      <c r="D1338" s="2" t="str">
        <v>Bộ</v>
      </c>
      <c r="E1338" s="2" t="str">
        <v>11</v>
      </c>
      <c r="F1338" s="2" t="str">
        <v>324074.07</v>
      </c>
      <c r="G1338" s="19" t="n">
        <v>3850000</v>
      </c>
      <c r="H1338" s="2" t="str">
        <v>2.xlsx | 订单!Q417</v>
      </c>
    </row>
    <row r="1339" ht="26" customHeight="1">
      <c r="A1339" s="2" t="str">
        <v>S2-00418-BH</v>
      </c>
      <c r="B1339" s="2" t="str">
        <v>INP2107</v>
      </c>
      <c r="C1339" s="20" t="str">
        <v>Chảo inox đúc nguyên khối (không chống dính)INP2107</v>
      </c>
      <c r="D1339" s="2" t="str">
        <v>cái</v>
      </c>
      <c r="E1339" s="2" t="str">
        <v>20</v>
      </c>
      <c r="F1339" s="2" t="str">
        <v>268518.52</v>
      </c>
      <c r="G1339" s="19" t="n">
        <v>5800000</v>
      </c>
      <c r="H1339" s="2" t="str">
        <v>2.xlsx | 订单!Q418</v>
      </c>
    </row>
    <row r="1340" ht="26" customHeight="1">
      <c r="A1340" s="2" t="str">
        <v>S2-00421-BH</v>
      </c>
      <c r="B1340" s="2" t="str">
        <v>INP2301</v>
      </c>
      <c r="C1340" s="20" t="str">
        <v>Chảo rán INP2301</v>
      </c>
      <c r="D1340" s="2" t="str">
        <v>Bộ</v>
      </c>
      <c r="E1340" s="2" t="str">
        <v>20</v>
      </c>
      <c r="F1340" s="2" t="str">
        <v>416666.66</v>
      </c>
      <c r="G1340" s="19" t="n">
        <v>9000000</v>
      </c>
      <c r="H1340" s="2" t="str">
        <v>2.xlsx | 订单!Q421</v>
      </c>
    </row>
    <row r="1341" ht="26" customHeight="1">
      <c r="A1341" s="2" t="str">
        <v>S2-00421-BH</v>
      </c>
      <c r="B1341" s="2" t="str">
        <v>INP6701</v>
      </c>
      <c r="C1341" s="20" t="str">
        <v>Máy xay thực phẩm INP6701</v>
      </c>
      <c r="D1341" s="2" t="str">
        <v>cái</v>
      </c>
      <c r="E1341" s="2" t="str">
        <v>24</v>
      </c>
      <c r="F1341" s="2" t="str">
        <v>361111.11</v>
      </c>
      <c r="G1341" s="19" t="n">
        <v>9360000</v>
      </c>
      <c r="H1341" s="2" t="str">
        <v>2.xlsx | 订单!Q422</v>
      </c>
    </row>
    <row r="1342" ht="26" customHeight="1">
      <c r="A1342" s="2" t="str">
        <v>S2-00423-BH</v>
      </c>
      <c r="B1342" s="2" t="str">
        <v>INP6401</v>
      </c>
      <c r="C1342" s="20" t="str">
        <v>Quạt đứng INP6401</v>
      </c>
      <c r="D1342" s="2" t="str">
        <v>cái</v>
      </c>
      <c r="E1342" s="2" t="str">
        <v>30</v>
      </c>
      <c r="F1342" s="2" t="str">
        <v>509259.26</v>
      </c>
      <c r="G1342" s="19" t="n">
        <v>16500000</v>
      </c>
      <c r="H1342" s="2" t="str">
        <v>2.xlsx | 订单!Q423</v>
      </c>
    </row>
    <row r="1343" ht="26" customHeight="1">
      <c r="A1343" s="2" t="str">
        <v>S2-00424-BH</v>
      </c>
      <c r="B1343" s="2" t="str">
        <v>INP6902</v>
      </c>
      <c r="C1343" s="20" t="str">
        <v>Nồi áp suất điện INP6902</v>
      </c>
      <c r="D1343" s="2" t="str">
        <v>Nồi</v>
      </c>
      <c r="E1343" s="2" t="str">
        <v>20</v>
      </c>
      <c r="F1343" s="2" t="str">
        <v>814814.81</v>
      </c>
      <c r="G1343" s="19" t="n">
        <v>17600000</v>
      </c>
      <c r="H1343" s="2" t="str">
        <v>2.xlsx | 订单!Q424</v>
      </c>
    </row>
    <row r="1344" ht="26" customHeight="1">
      <c r="A1344" s="2" t="str">
        <v>S2-00424-BH</v>
      </c>
      <c r="B1344" s="2" t="str">
        <v>INP6903</v>
      </c>
      <c r="C1344" s="20" t="str">
        <v>Nồi áp suất điện INP6903</v>
      </c>
      <c r="D1344" s="2" t="str">
        <v>Nồi</v>
      </c>
      <c r="E1344" s="2" t="str">
        <v>2</v>
      </c>
      <c r="F1344" s="2" t="str">
        <v>907407.41</v>
      </c>
      <c r="G1344" s="19" t="n">
        <v>1960000</v>
      </c>
      <c r="H1344" s="2" t="str">
        <v>2.xlsx | 订单!Q425</v>
      </c>
    </row>
    <row r="1345" ht="26" customHeight="1">
      <c r="A1345" s="2" t="str">
        <v>S2-00427-BH</v>
      </c>
      <c r="B1345" s="2" t="str">
        <v>INP6902</v>
      </c>
      <c r="C1345" s="20" t="str">
        <v>Nồi áp suất điện INP6902</v>
      </c>
      <c r="D1345" s="2" t="str">
        <v>Nồi</v>
      </c>
      <c r="E1345" s="2" t="str">
        <v>30</v>
      </c>
      <c r="F1345" s="2" t="str">
        <v>814814.81</v>
      </c>
      <c r="G1345" s="19" t="n">
        <v>26400000</v>
      </c>
      <c r="H1345" s="2" t="str">
        <v>2.xlsx | 订单!Q427</v>
      </c>
    </row>
    <row r="1346" ht="26" customHeight="1">
      <c r="A1346" s="2" t="str">
        <v>S2-00428-BH</v>
      </c>
      <c r="B1346" s="2" t="str">
        <v>INP6403</v>
      </c>
      <c r="C1346" s="20" t="str">
        <v>Quạt điện đứng INP6403</v>
      </c>
      <c r="D1346" s="2" t="str">
        <v>cái</v>
      </c>
      <c r="E1346" s="2" t="str">
        <v>2</v>
      </c>
      <c r="F1346" s="2" t="str">
        <v>694444.44</v>
      </c>
      <c r="G1346" s="19" t="n">
        <v>1500000</v>
      </c>
      <c r="H1346" s="2" t="str">
        <v>2.xlsx | 订单!Q428</v>
      </c>
    </row>
    <row r="1347" ht="26" customHeight="1">
      <c r="A1347" s="2" t="str">
        <v>S2-01241-BH</v>
      </c>
      <c r="B1347" s="2" t="str">
        <v>INP6105</v>
      </c>
      <c r="C1347" s="20" t="str">
        <v>Bếp từ đơn INP6105</v>
      </c>
      <c r="D1347" s="2" t="str">
        <v>Cái</v>
      </c>
      <c r="E1347" s="2" t="str">
        <v>6</v>
      </c>
      <c r="F1347" s="2" t="str">
        <v>675925.93</v>
      </c>
      <c r="G1347" s="19" t="n">
        <v>4380000</v>
      </c>
      <c r="H1347" s="2" t="str">
        <v>2.xlsx | 订单!Q1241</v>
      </c>
    </row>
    <row r="1348" ht="26" customHeight="1">
      <c r="A1348" s="2" t="str">
        <v>S2-01241-BH</v>
      </c>
      <c r="B1348" s="2" t="str">
        <v>INP1301</v>
      </c>
      <c r="C1348" s="20" t="str">
        <v>Nồi mã INP1301</v>
      </c>
      <c r="D1348" s="2" t="str">
        <v>Cái</v>
      </c>
      <c r="E1348" s="2" t="str">
        <v>10</v>
      </c>
      <c r="F1348" s="2" t="str">
        <v>111111.11</v>
      </c>
      <c r="G1348" s="19" t="n">
        <v>1200000</v>
      </c>
      <c r="H1348" s="2" t="str">
        <v>2.xlsx | 订单!Q1245</v>
      </c>
    </row>
    <row r="1349" ht="26" customHeight="1">
      <c r="A1349" s="2" t="str">
        <v>S2-01241-BH</v>
      </c>
      <c r="B1349" s="2" t="str">
        <v>INP6007</v>
      </c>
      <c r="C1349" s="20" t="str">
        <v>Nồi cơm điện INP6007 (1,8L)</v>
      </c>
      <c r="D1349" s="2" t="str">
        <v>Cái</v>
      </c>
      <c r="E1349" s="2" t="str">
        <v>15</v>
      </c>
      <c r="F1349" s="2" t="str">
        <v>629629.63</v>
      </c>
      <c r="G1349" s="19" t="n">
        <v>10200000</v>
      </c>
      <c r="H1349" s="2" t="str">
        <v>2.xlsx | 订单!Q1242</v>
      </c>
    </row>
    <row r="1350" ht="26" customHeight="1">
      <c r="A1350" s="2" t="str">
        <v>S2-01241-BH</v>
      </c>
      <c r="B1350" s="2" t="str">
        <v>INP6009</v>
      </c>
      <c r="C1350" s="20" t="str">
        <v>Nồi cơm điện INP6009 (1,8L)</v>
      </c>
      <c r="D1350" s="2" t="str">
        <v>Cái</v>
      </c>
      <c r="E1350" s="2" t="str">
        <v>15</v>
      </c>
      <c r="F1350" s="2" t="str">
        <v>694444.44</v>
      </c>
      <c r="G1350" s="19" t="n">
        <v>11250000</v>
      </c>
      <c r="H1350" s="2" t="str">
        <v>2.xlsx | 订单!Q1243</v>
      </c>
    </row>
    <row r="1351" ht="26" customHeight="1">
      <c r="A1351" s="2" t="str">
        <v>S2-01241-BH</v>
      </c>
      <c r="B1351" s="2" t="str">
        <v>INP6011</v>
      </c>
      <c r="C1351" s="20" t="str">
        <v>Nồi cơm điện INP6011 (1,8L)</v>
      </c>
      <c r="D1351" s="2" t="str">
        <v>Cái</v>
      </c>
      <c r="E1351" s="2" t="str">
        <v>15</v>
      </c>
      <c r="F1351" s="2" t="str">
        <v>574074.07</v>
      </c>
      <c r="G1351" s="19" t="n">
        <v>9300000</v>
      </c>
      <c r="H1351" s="2" t="str">
        <v>2.xlsx | 订单!Q1244</v>
      </c>
    </row>
    <row r="1352" ht="26" customHeight="1">
      <c r="A1352" s="2" t="str">
        <v>S2-01447-BH</v>
      </c>
      <c r="B1352" s="2" t="str">
        <v>INP6105</v>
      </c>
      <c r="C1352" s="20" t="str">
        <v>Bếp từ đơn INP6105</v>
      </c>
      <c r="D1352" s="2" t="str">
        <v>Cái</v>
      </c>
      <c r="E1352" s="2" t="str">
        <v>30</v>
      </c>
      <c r="F1352" s="2" t="str">
        <v>675925.93</v>
      </c>
      <c r="G1352" s="19" t="n">
        <v>21900000</v>
      </c>
      <c r="H1352" s="2" t="str">
        <v>2.xlsx | 订单!Q1447</v>
      </c>
    </row>
    <row r="1353" ht="26" customHeight="1">
      <c r="A1353" s="2" t="str">
        <v>S2-01447-BH</v>
      </c>
      <c r="B1353" s="2" t="str">
        <v>INP1301B</v>
      </c>
      <c r="C1353" s="20" t="str">
        <v>Nồi mã INP1301B</v>
      </c>
      <c r="D1353" s="2" t="str">
        <v>Cái</v>
      </c>
      <c r="E1353" s="2" t="str">
        <v>20</v>
      </c>
      <c r="F1353" s="2" t="str">
        <v>111111.11</v>
      </c>
      <c r="G1353" s="19" t="n">
        <v>2400000</v>
      </c>
      <c r="H1353" s="2" t="str">
        <v>2.xlsx | 订单!Q1450</v>
      </c>
    </row>
    <row r="1354" ht="26" customHeight="1">
      <c r="A1354" s="2" t="str">
        <v>S2-01447-BH</v>
      </c>
      <c r="B1354" s="2" t="str">
        <v>INP6006</v>
      </c>
      <c r="C1354" s="20" t="str">
        <v>Nồi cơm điện INP6006 (1,2L)</v>
      </c>
      <c r="D1354" s="2" t="str">
        <v>Cái</v>
      </c>
      <c r="E1354" s="2" t="str">
        <v>15</v>
      </c>
      <c r="F1354" s="2" t="str">
        <v>527777.78</v>
      </c>
      <c r="G1354" s="19" t="n">
        <v>8550000</v>
      </c>
      <c r="H1354" s="2" t="str">
        <v>2.xlsx | 订单!Q1448</v>
      </c>
    </row>
    <row r="1355" ht="26" customHeight="1">
      <c r="A1355" s="2" t="str">
        <v>S2-01447-BH</v>
      </c>
      <c r="B1355" s="2" t="str">
        <v>INP6010</v>
      </c>
      <c r="C1355" s="20" t="str">
        <v>Nồi cơm điện INP6010 (1,2L)</v>
      </c>
      <c r="D1355" s="2" t="str">
        <v>Cái</v>
      </c>
      <c r="E1355" s="2" t="str">
        <v>15</v>
      </c>
      <c r="F1355" s="2" t="str">
        <v>481481.48</v>
      </c>
      <c r="G1355" s="19" t="n">
        <v>7800000</v>
      </c>
      <c r="H1355" s="2" t="str">
        <v>2.xlsx | 订单!Q1449</v>
      </c>
    </row>
    <row r="1356" ht="26" customHeight="1">
      <c r="A1356" s="2" t="str">
        <v>S2-01955-BH</v>
      </c>
      <c r="B1356" s="2" t="str">
        <v>INP6105</v>
      </c>
      <c r="C1356" s="20" t="str">
        <v>Bếp từ đơn INP6105</v>
      </c>
      <c r="D1356" s="2" t="str">
        <v>Cái</v>
      </c>
      <c r="E1356" s="2" t="str">
        <v>12</v>
      </c>
      <c r="F1356" s="2" t="str">
        <v>675925.93</v>
      </c>
      <c r="G1356" s="19" t="n">
        <v>8760000</v>
      </c>
      <c r="H1356" s="2" t="str">
        <v>2.xlsx | 订单!Q1955</v>
      </c>
    </row>
    <row r="1357" ht="26" customHeight="1">
      <c r="A1357" s="2" t="str">
        <v>S2-01955-BH</v>
      </c>
      <c r="B1357" s="2" t="str">
        <v>INP6011</v>
      </c>
      <c r="C1357" s="20" t="str">
        <v>Nồi cơm điện INP6011 (1,8L)</v>
      </c>
      <c r="D1357" s="2" t="str">
        <v>Cái</v>
      </c>
      <c r="E1357" s="2" t="str">
        <v>15</v>
      </c>
      <c r="F1357" s="2" t="str">
        <v>574074.07</v>
      </c>
      <c r="G1357" s="19" t="n">
        <v>9300000</v>
      </c>
      <c r="H1357" s="2" t="str">
        <v>2.xlsx | 订单!Q1956</v>
      </c>
    </row>
    <row r="1358" ht="26" customHeight="1">
      <c r="A1358" s="2" t="str">
        <v>S2-01955-BH</v>
      </c>
      <c r="B1358" s="2" t="str">
        <v>INP6902</v>
      </c>
      <c r="C1358" s="20" t="str">
        <v>Nồi áp suất điện INP6902</v>
      </c>
      <c r="D1358" s="2" t="str">
        <v>Cái</v>
      </c>
      <c r="E1358" s="2" t="str">
        <v>15</v>
      </c>
      <c r="F1358" s="2" t="str">
        <v>814814.81</v>
      </c>
      <c r="G1358" s="19" t="n">
        <v>13200000</v>
      </c>
      <c r="H1358" s="2" t="str">
        <v>2.xlsx | 订单!Q1957</v>
      </c>
    </row>
    <row r="1359" ht="26" customHeight="1">
      <c r="A1359" s="2" t="str">
        <v>S2-01955-BH</v>
      </c>
      <c r="B1359" s="2" t="str">
        <v>INP6206</v>
      </c>
      <c r="C1359" s="20" t="str">
        <v> Ấm đun nước INP6206, 1.7L</v>
      </c>
      <c r="D1359" s="2" t="str">
        <v>Cái</v>
      </c>
      <c r="E1359" s="2" t="str">
        <v>20</v>
      </c>
      <c r="F1359" s="2" t="str">
        <v>263888.89</v>
      </c>
      <c r="G1359" s="19" t="n">
        <v>5700000</v>
      </c>
      <c r="H1359" s="2" t="str">
        <v>2.xlsx | 订单!Q1958</v>
      </c>
    </row>
    <row r="1360" ht="26" customHeight="1">
      <c r="A1360" s="2" t="str">
        <v>S2-00907-BH</v>
      </c>
      <c r="B1360" s="2" t="str">
        <v>INP1401</v>
      </c>
      <c r="C1360" s="20" t="str">
        <v>Nồi áp suất 4.5L INP1401</v>
      </c>
      <c r="D1360" s="2" t="str">
        <v>Cái</v>
      </c>
      <c r="E1360" s="2" t="str">
        <v>4</v>
      </c>
      <c r="F1360" s="2" t="str">
        <v>824074</v>
      </c>
      <c r="G1360" s="19" t="n">
        <v>3560000</v>
      </c>
      <c r="H1360" s="2" t="str">
        <v>2.xlsx | 订单!Q907</v>
      </c>
    </row>
    <row r="1361" ht="26" customHeight="1">
      <c r="A1361" s="2" t="str">
        <v>S2-00907-BH</v>
      </c>
      <c r="B1361" s="2" t="str">
        <v>INP1402</v>
      </c>
      <c r="C1361" s="20" t="str">
        <v>Nồi áp suất 6L INP1402</v>
      </c>
      <c r="D1361" s="2" t="str">
        <v>cái</v>
      </c>
      <c r="E1361" s="2" t="str">
        <v>4</v>
      </c>
      <c r="F1361" s="2" t="str">
        <v>937963</v>
      </c>
      <c r="G1361" s="19" t="n">
        <v>4052000</v>
      </c>
      <c r="H1361" s="2" t="str">
        <v>2.xlsx | 订单!Q908</v>
      </c>
    </row>
    <row r="1362" ht="26" customHeight="1">
      <c r="A1362" s="2" t="str">
        <v>S2-00907-BH</v>
      </c>
      <c r="B1362" s="2" t="str">
        <v>INP3201</v>
      </c>
      <c r="C1362" s="20" t="str">
        <v>Chảo gang tráng menINP3201</v>
      </c>
      <c r="D1362" s="2" t="str">
        <v>cái</v>
      </c>
      <c r="E1362" s="2" t="str">
        <v>18</v>
      </c>
      <c r="F1362" s="2" t="str">
        <v>194444</v>
      </c>
      <c r="G1362" s="19" t="n">
        <v>3779991</v>
      </c>
      <c r="H1362" s="2" t="str">
        <v>2.xlsx | 订单!Q909</v>
      </c>
    </row>
    <row r="1363" ht="26" customHeight="1">
      <c r="A1363" s="2" t="str">
        <v>S2-00907-BH</v>
      </c>
      <c r="B1363" s="2" t="str">
        <v>INP6601</v>
      </c>
      <c r="C1363" s="20" t="str">
        <v>Máy sấy bát đĩa INP6601</v>
      </c>
      <c r="D1363" s="2" t="str">
        <v>cái</v>
      </c>
      <c r="E1363" s="2" t="str">
        <v>4</v>
      </c>
      <c r="F1363" s="2" t="str">
        <v>1203705</v>
      </c>
      <c r="G1363" s="19" t="n">
        <v>5200006</v>
      </c>
      <c r="H1363" s="2" t="str">
        <v>2.xlsx | 订单!Q910</v>
      </c>
    </row>
    <row r="1364" ht="26" customHeight="1">
      <c r="A1364" s="2" t="str">
        <v>S2-00907-BH</v>
      </c>
      <c r="B1364" s="2" t="str">
        <v>INP6602</v>
      </c>
      <c r="C1364" s="20" t="str">
        <v>Máy sấy bát đĩa INP6602</v>
      </c>
      <c r="D1364" s="2" t="str">
        <v>cái</v>
      </c>
      <c r="E1364" s="2" t="str">
        <v>4</v>
      </c>
      <c r="F1364" s="2" t="str">
        <v>1361111</v>
      </c>
      <c r="G1364" s="19" t="n">
        <v>5880000</v>
      </c>
      <c r="H1364" s="2" t="str">
        <v>2.xlsx | 订单!Q911</v>
      </c>
    </row>
    <row r="1365" ht="26" customHeight="1">
      <c r="A1365" s="2" t="str">
        <v>S2-00913-BH</v>
      </c>
      <c r="B1365" s="2" t="str">
        <v>INP6001</v>
      </c>
      <c r="C1365" s="20" t="str">
        <v>Nôì cơm điện tử ( nồi cơm điện đa năng giảm đường )
INP6001</v>
      </c>
      <c r="D1365" s="2" t="str">
        <v>cái</v>
      </c>
      <c r="E1365" s="2" t="str">
        <v>12</v>
      </c>
      <c r="F1365" s="2" t="str">
        <v>1138889</v>
      </c>
      <c r="G1365" s="19" t="n">
        <v>14760001</v>
      </c>
      <c r="H1365" s="2" t="str">
        <v>2.xlsx | 订单!Q913</v>
      </c>
    </row>
    <row r="1366" ht="26" customHeight="1">
      <c r="A1366" s="2" t="str">
        <v>S2-00913-BH</v>
      </c>
      <c r="B1366" s="2" t="str">
        <v>INP6003</v>
      </c>
      <c r="C1366" s="20" t="str">
        <v>Nôì cơm điện tử ( nồi cơm điện đa năng giảm đường )
INP6003</v>
      </c>
      <c r="D1366" s="2" t="str">
        <v>cái</v>
      </c>
      <c r="E1366" s="2" t="str">
        <v>12</v>
      </c>
      <c r="F1366" s="2" t="str">
        <v>851852</v>
      </c>
      <c r="G1366" s="19" t="n">
        <v>11040002</v>
      </c>
      <c r="H1366" s="2" t="str">
        <v>2.xlsx | 订单!Q914</v>
      </c>
    </row>
    <row r="1367" ht="26" customHeight="1">
      <c r="A1367" s="2" t="str">
        <v>S2-00913-BH</v>
      </c>
      <c r="B1367" s="2" t="str">
        <v>INP6101</v>
      </c>
      <c r="C1367" s="20" t="str">
        <v>Bếp từ đơn INP6101( 2200W, mặt kính màu sữa )</v>
      </c>
      <c r="D1367" s="2" t="str">
        <v>cái</v>
      </c>
      <c r="E1367" s="2" t="str">
        <v>18</v>
      </c>
      <c r="F1367" s="2" t="str">
        <v>583333</v>
      </c>
      <c r="G1367" s="19" t="n">
        <v>11339993</v>
      </c>
      <c r="H1367" s="2" t="str">
        <v>2.xlsx | 订单!Q915</v>
      </c>
    </row>
    <row r="1368" ht="26" customHeight="1">
      <c r="A1368" s="2" t="str">
        <v>S2-00913-BH</v>
      </c>
      <c r="B1368" s="2" t="str">
        <v>INP6102</v>
      </c>
      <c r="C1368" s="20" t="str">
        <v>Bếp từ đơn INP6102( 2500W) hai quạt tản</v>
      </c>
      <c r="D1368" s="2" t="str">
        <v>cái</v>
      </c>
      <c r="E1368" s="2" t="str">
        <v>18</v>
      </c>
      <c r="F1368" s="2" t="str">
        <v>937963</v>
      </c>
      <c r="G1368" s="19" t="n">
        <v>18234001</v>
      </c>
      <c r="H1368" s="2" t="str">
        <v>2.xlsx | 订单!Q916</v>
      </c>
    </row>
    <row r="1369" ht="26" customHeight="1">
      <c r="A1369" s="2" t="str">
        <v>S2-00913-BH</v>
      </c>
      <c r="B1369" s="2" t="str">
        <v>INP6202</v>
      </c>
      <c r="C1369" s="20" t="str">
        <v>Ấm điện siêu tốc INP6202 1,7 lít màu đen</v>
      </c>
      <c r="D1369" s="2" t="str">
        <v>cái</v>
      </c>
      <c r="E1369" s="2" t="str">
        <v>36</v>
      </c>
      <c r="F1369" s="2" t="str">
        <v>325926</v>
      </c>
      <c r="G1369" s="19" t="n">
        <v>12672003</v>
      </c>
      <c r="H1369" s="2" t="str">
        <v>2.xlsx | 订单!Q917</v>
      </c>
    </row>
    <row r="1370" ht="26" customHeight="1">
      <c r="A1370" s="2" t="str">
        <v>S2-00913-BH</v>
      </c>
      <c r="B1370" s="2" t="str">
        <v>INP6206</v>
      </c>
      <c r="C1370" s="20" t="str">
        <v>Ấm đun nước INP6206 , 1,7 lít</v>
      </c>
      <c r="D1370" s="2" t="str">
        <v>cái</v>
      </c>
      <c r="E1370" s="2" t="str">
        <v>36</v>
      </c>
      <c r="F1370" s="2" t="str">
        <v>263889</v>
      </c>
      <c r="G1370" s="19" t="n">
        <v>10260004</v>
      </c>
      <c r="H1370" s="2" t="str">
        <v>2.xlsx | 订单!Q918</v>
      </c>
    </row>
    <row r="1371" ht="26" customHeight="1">
      <c r="A1371" s="2" t="str">
        <v>S2-02006-BH</v>
      </c>
      <c r="B1371" s="2" t="str">
        <v>INP1501</v>
      </c>
      <c r="C1371" s="20" t="str">
        <v>Ấm đun nước 3L INP1501</v>
      </c>
      <c r="D1371" s="2" t="str">
        <v>Cái</v>
      </c>
      <c r="E1371" s="2" t="str">
        <v>36</v>
      </c>
      <c r="F1371" s="2" t="str">
        <v>129629.63</v>
      </c>
      <c r="G1371" s="19" t="n">
        <v>5040000.01</v>
      </c>
      <c r="H1371" s="2" t="str">
        <v>2.xlsx | 订单!Q2006</v>
      </c>
    </row>
    <row r="1372" ht="26" customHeight="1">
      <c r="A1372" s="2" t="str">
        <v>S2-02006-BH</v>
      </c>
      <c r="B1372" s="2" t="str">
        <v>INP1502</v>
      </c>
      <c r="C1372" s="20" t="str">
        <v>Ấm đun nước 3L INP1502</v>
      </c>
      <c r="D1372" s="2" t="str">
        <v>Cái</v>
      </c>
      <c r="E1372" s="2" t="str">
        <v>24</v>
      </c>
      <c r="F1372" s="2" t="str">
        <v>138888.89</v>
      </c>
      <c r="G1372" s="19" t="n">
        <v>3600000.03</v>
      </c>
      <c r="H1372" s="2" t="str">
        <v>2.xlsx | 订单!Q2007</v>
      </c>
    </row>
    <row r="1373" ht="26" customHeight="1">
      <c r="A1373" s="2" t="str">
        <v>S2-02006-BH</v>
      </c>
      <c r="B1373" s="2" t="str">
        <v>INP1503</v>
      </c>
      <c r="C1373" s="20" t="str">
        <v>Ấm đun nước 3L INP1503</v>
      </c>
      <c r="D1373" s="2" t="str">
        <v>Cái</v>
      </c>
      <c r="E1373" s="2" t="str">
        <v>24</v>
      </c>
      <c r="F1373" s="2" t="str">
        <v>148148.15</v>
      </c>
      <c r="G1373" s="19" t="n">
        <v>3840000.05</v>
      </c>
      <c r="H1373" s="2" t="str">
        <v>2.xlsx | 订单!Q2008</v>
      </c>
    </row>
    <row r="1374" ht="26" customHeight="1">
      <c r="A1374" s="2" t="str">
        <v>S2-01143-BH</v>
      </c>
      <c r="B1374" s="2" t="str">
        <v>INP6103</v>
      </c>
      <c r="C1374" s="20" t="str">
        <v>Bếp từ đơn INP6103</v>
      </c>
      <c r="D1374" s="2" t="str">
        <v>cái</v>
      </c>
      <c r="E1374" s="2" t="str">
        <v>3</v>
      </c>
      <c r="F1374" s="2" t="str">
        <v>833333.33</v>
      </c>
      <c r="G1374" s="19" t="n">
        <v>2700000</v>
      </c>
      <c r="H1374" s="2" t="str">
        <v>2.xlsx | 订单!Q1143</v>
      </c>
    </row>
    <row r="1375" ht="26" customHeight="1">
      <c r="A1375" s="2" t="str">
        <v>S2-01289-BH</v>
      </c>
      <c r="B1375" s="2" t="str">
        <v>INP6403</v>
      </c>
      <c r="C1375" s="20" t="str">
        <v>Quạt điện đứng INP6403</v>
      </c>
      <c r="D1375" s="2" t="str">
        <v>Cái</v>
      </c>
      <c r="E1375" s="2" t="str">
        <v>4</v>
      </c>
      <c r="F1375" s="2" t="str">
        <v>740740.74</v>
      </c>
      <c r="G1375" s="19" t="n">
        <v>3200000</v>
      </c>
      <c r="H1375" s="2" t="str">
        <v>2.xlsx | 订单!Q1289</v>
      </c>
    </row>
    <row r="1376" ht="26" customHeight="1">
      <c r="A1376" s="2" t="str">
        <v>S2-01646-BH</v>
      </c>
      <c r="B1376" s="2" t="str">
        <v>INP6902</v>
      </c>
      <c r="C1376" s="20" t="str">
        <v>Nồi áp suất điện INP6902</v>
      </c>
      <c r="D1376" s="2" t="str">
        <v>Cái</v>
      </c>
      <c r="E1376" s="2" t="str">
        <v>2</v>
      </c>
      <c r="F1376" s="2" t="str">
        <v>907407.41</v>
      </c>
      <c r="G1376" s="19" t="n">
        <v>1960000</v>
      </c>
      <c r="H1376" s="2" t="str">
        <v>2.xlsx | 订单!Q1646</v>
      </c>
    </row>
    <row r="1377" ht="26" customHeight="1">
      <c r="A1377" s="2" t="str">
        <v>S2-02191-BH</v>
      </c>
      <c r="B1377" s="2" t="str">
        <v>INP6403</v>
      </c>
      <c r="C1377" s="20" t="str">
        <v>Quạt điện đứng INP6403</v>
      </c>
      <c r="D1377" s="2" t="str">
        <v>Cái</v>
      </c>
      <c r="E1377" s="2" t="str">
        <v>3</v>
      </c>
      <c r="F1377" s="2" t="str">
        <v>740740.74</v>
      </c>
      <c r="G1377" s="19" t="n">
        <v>2400000</v>
      </c>
      <c r="H1377" s="2" t="str">
        <v>2.xlsx | 订单!Q2191</v>
      </c>
    </row>
    <row r="1378" ht="26" customHeight="1">
      <c r="A1378" s="2" t="str">
        <v>S2-00807-BH</v>
      </c>
      <c r="B1378" s="2" t="str">
        <v>INP1401</v>
      </c>
      <c r="C1378" s="20" t="str">
        <v>Nồi áp suất 4.5L INP1401</v>
      </c>
      <c r="D1378" s="2" t="str">
        <v>Cái</v>
      </c>
      <c r="E1378" s="2" t="str">
        <v>4</v>
      </c>
      <c r="F1378" s="2" t="str">
        <v>824074.07</v>
      </c>
      <c r="G1378" s="19" t="n">
        <v>3560000</v>
      </c>
      <c r="H1378" s="2" t="str">
        <v>2.xlsx | 订单!Q807</v>
      </c>
    </row>
    <row r="1379" ht="26" customHeight="1">
      <c r="A1379" s="2" t="str">
        <v>S2-00807-BH</v>
      </c>
      <c r="B1379" s="2" t="str">
        <v>INP1402</v>
      </c>
      <c r="C1379" s="20" t="str">
        <v>Nồi áp suất 6L INP1402</v>
      </c>
      <c r="D1379" s="2" t="str">
        <v>nồi</v>
      </c>
      <c r="E1379" s="2" t="str">
        <v>4</v>
      </c>
      <c r="F1379" s="2" t="str">
        <v>937963</v>
      </c>
      <c r="G1379" s="19" t="n">
        <v>4052000</v>
      </c>
      <c r="H1379" s="2" t="str">
        <v>2.xlsx | 订单!Q808</v>
      </c>
    </row>
    <row r="1380" ht="26" customHeight="1">
      <c r="A1380" s="2" t="str">
        <v>S2-00809-BH</v>
      </c>
      <c r="B1380" s="2" t="str">
        <v>INP6003</v>
      </c>
      <c r="C1380" s="20" t="str">
        <v>Nồi cơm điện tử ( nồi cơm điện đa năng giảm đường)INP6003</v>
      </c>
      <c r="D1380" s="2" t="str">
        <v>nồi</v>
      </c>
      <c r="E1380" s="2" t="str">
        <v>4</v>
      </c>
      <c r="F1380" s="2" t="str">
        <v>851851.75</v>
      </c>
      <c r="G1380" s="19" t="n">
        <v>3680000</v>
      </c>
      <c r="H1380" s="2" t="str">
        <v>2.xlsx | 订单!Q809</v>
      </c>
    </row>
    <row r="1381" ht="26" customHeight="1">
      <c r="A1381" s="2" t="str">
        <v>S2-00810-BH</v>
      </c>
      <c r="B1381" s="2" t="str">
        <v>INP6101</v>
      </c>
      <c r="C1381" s="20" t="str">
        <v>Bếp từ đơn INP6101( 2200W, mặt kính màu sữa )</v>
      </c>
      <c r="D1381" s="2" t="str">
        <v>cái</v>
      </c>
      <c r="E1381" s="2" t="str">
        <v>6</v>
      </c>
      <c r="F1381" s="2" t="str">
        <v>601851.75</v>
      </c>
      <c r="G1381" s="19" t="n">
        <v>3900000</v>
      </c>
      <c r="H1381" s="2" t="str">
        <v>2.xlsx | 订单!Q810</v>
      </c>
    </row>
    <row r="1382" ht="26" customHeight="1">
      <c r="A1382" s="2" t="str">
        <v>S2-00811-BH</v>
      </c>
      <c r="B1382" s="2" t="str">
        <v>INP6202</v>
      </c>
      <c r="C1382" s="20" t="str">
        <v>Ấm điện siêu tốc INP6201 1,7 Lít màu đen</v>
      </c>
      <c r="D1382" s="2" t="str">
        <v>cái</v>
      </c>
      <c r="E1382" s="2" t="str">
        <v>36</v>
      </c>
      <c r="F1382" s="2" t="str">
        <v>325925.92</v>
      </c>
      <c r="G1382" s="19" t="n">
        <v>12671999</v>
      </c>
      <c r="H1382" s="2" t="str">
        <v>2.xlsx | 订单!Q811</v>
      </c>
    </row>
    <row r="1383" ht="26" customHeight="1">
      <c r="A1383" s="2" t="str">
        <v>S2-00812-BH</v>
      </c>
      <c r="B1383" s="2" t="str">
        <v>INP6701</v>
      </c>
      <c r="C1383" s="20" t="str">
        <v>Máy xay thực phẩm INP6701·</v>
      </c>
      <c r="D1383" s="2" t="str">
        <v>cái</v>
      </c>
      <c r="E1383" s="2" t="str">
        <v>8</v>
      </c>
      <c r="F1383" s="2" t="str">
        <v>361111.11</v>
      </c>
      <c r="G1383" s="19" t="n">
        <v>3120000</v>
      </c>
      <c r="H1383" s="2" t="str">
        <v>2.xlsx | 订单!Q812</v>
      </c>
    </row>
    <row r="1384" ht="26" customHeight="1">
      <c r="A1384" s="2" t="str">
        <v>S2-00814-BH</v>
      </c>
      <c r="B1384" s="2" t="str">
        <v>INP1401</v>
      </c>
      <c r="C1384" s="20" t="str">
        <v>Nồi áp suất 4.5L INP1401</v>
      </c>
      <c r="D1384" s="2" t="str">
        <v>Cái</v>
      </c>
      <c r="E1384" s="2" t="str">
        <v>6</v>
      </c>
      <c r="F1384" s="2" t="str">
        <v>824074.07</v>
      </c>
      <c r="G1384" s="19" t="n">
        <v>5340000</v>
      </c>
      <c r="H1384" s="2" t="str">
        <v>2.xlsx | 订单!Q814</v>
      </c>
    </row>
    <row r="1385" ht="26" customHeight="1">
      <c r="A1385" s="2" t="str">
        <v>S2-00814-BH</v>
      </c>
      <c r="B1385" s="2" t="str">
        <v>INP1402</v>
      </c>
      <c r="C1385" s="20" t="str">
        <v>Nồi áp suất 6L INP1402</v>
      </c>
      <c r="D1385" s="2" t="str">
        <v>nồi</v>
      </c>
      <c r="E1385" s="2" t="str">
        <v>6</v>
      </c>
      <c r="F1385" s="2" t="str">
        <v>937962.96</v>
      </c>
      <c r="G1385" s="19" t="n">
        <v>6078000</v>
      </c>
      <c r="H1385" s="2" t="str">
        <v>2.xlsx | 订单!Q815</v>
      </c>
    </row>
    <row r="1386" ht="26" customHeight="1">
      <c r="A1386" s="2" t="str">
        <v>S2-00816-BH</v>
      </c>
      <c r="B1386" s="2" t="str">
        <v>INP6001</v>
      </c>
      <c r="C1386" s="20" t="str">
        <v>Nồi cơm điện tử ( nồi cơm điện đa năng giảm đường)INP6001</v>
      </c>
      <c r="D1386" s="2" t="str">
        <v>nồi</v>
      </c>
      <c r="E1386" s="2" t="str">
        <v>8</v>
      </c>
      <c r="F1386" s="2" t="str">
        <v>1138888.88</v>
      </c>
      <c r="G1386" s="19" t="n">
        <v>9840000</v>
      </c>
      <c r="H1386" s="2" t="str">
        <v>2.xlsx | 订单!Q816</v>
      </c>
    </row>
    <row r="1387" ht="26" customHeight="1">
      <c r="A1387" s="2" t="str">
        <v>S2-00816-BH</v>
      </c>
      <c r="B1387" s="2" t="str">
        <v>INP6003</v>
      </c>
      <c r="C1387" s="20" t="str">
        <v>Nồi cơm điện tử ( nồi cơm điện đa năng giảm đường)INP6003</v>
      </c>
      <c r="D1387" s="2" t="str">
        <v>nồi</v>
      </c>
      <c r="E1387" s="2" t="str">
        <v>8</v>
      </c>
      <c r="F1387" s="2" t="str">
        <v>851851.85</v>
      </c>
      <c r="G1387" s="19" t="n">
        <v>7360000</v>
      </c>
      <c r="H1387" s="2" t="str">
        <v>2.xlsx | 订单!Q817</v>
      </c>
    </row>
    <row r="1388" ht="26" customHeight="1">
      <c r="A1388" s="2" t="str">
        <v>S2-00818-BH</v>
      </c>
      <c r="B1388" s="2" t="str">
        <v>INP6101</v>
      </c>
      <c r="C1388" s="20" t="str">
        <v>Bếp từ đơn INP6101( 2200W, mặt kính màu sữa )</v>
      </c>
      <c r="D1388" s="2" t="str">
        <v>cái</v>
      </c>
      <c r="E1388" s="2" t="str">
        <v>6</v>
      </c>
      <c r="F1388" s="2" t="str">
        <v>601851.85</v>
      </c>
      <c r="G1388" s="19" t="n">
        <v>3900000</v>
      </c>
      <c r="H1388" s="2" t="str">
        <v>2.xlsx | 订单!Q818</v>
      </c>
    </row>
    <row r="1389" ht="26" customHeight="1">
      <c r="A1389" s="2" t="str">
        <v>S2-00819-BH</v>
      </c>
      <c r="B1389" s="2" t="str">
        <v>INP6701</v>
      </c>
      <c r="C1389" s="20" t="str">
        <v>Máy xay thực phẩm INP6701·</v>
      </c>
      <c r="D1389" s="2" t="str">
        <v>cái</v>
      </c>
      <c r="E1389" s="2" t="str">
        <v>8</v>
      </c>
      <c r="F1389" s="2" t="str">
        <v>361111.11</v>
      </c>
      <c r="G1389" s="19" t="n">
        <v>3120000</v>
      </c>
      <c r="H1389" s="2" t="str">
        <v>2.xlsx | 订单!Q819</v>
      </c>
    </row>
    <row r="1390" ht="26" customHeight="1">
      <c r="A1390" s="2" t="str">
        <v>S2-00823-BH</v>
      </c>
      <c r="B1390" s="2" t="str">
        <v>INP1401</v>
      </c>
      <c r="C1390" s="20" t="str">
        <v>Nồi áp suất 4.5L INP1401</v>
      </c>
      <c r="D1390" s="2" t="str">
        <v>Cái</v>
      </c>
      <c r="E1390" s="2" t="str">
        <v>4</v>
      </c>
      <c r="F1390" s="2" t="str">
        <v>824074.07</v>
      </c>
      <c r="G1390" s="19" t="n">
        <v>3560000</v>
      </c>
      <c r="H1390" s="2" t="str">
        <v>2.xlsx | 订单!Q823</v>
      </c>
    </row>
    <row r="1391" ht="26" customHeight="1">
      <c r="A1391" s="2" t="str">
        <v>S2-00823-BH</v>
      </c>
      <c r="B1391" s="2" t="str">
        <v>INP1402</v>
      </c>
      <c r="C1391" s="20" t="str">
        <v>Nồi áp suất 6L INP1402</v>
      </c>
      <c r="D1391" s="2" t="str">
        <v>nồi</v>
      </c>
      <c r="E1391" s="2" t="str">
        <v>2</v>
      </c>
      <c r="F1391" s="2" t="str">
        <v>937962.96</v>
      </c>
      <c r="G1391" s="19" t="n">
        <v>2026000</v>
      </c>
      <c r="H1391" s="2" t="str">
        <v>2.xlsx | 订单!Q824</v>
      </c>
    </row>
    <row r="1392" ht="26" customHeight="1">
      <c r="A1392" s="2" t="str">
        <v>S2-00823-BH</v>
      </c>
      <c r="B1392" s="2" t="str">
        <v>INP6602</v>
      </c>
      <c r="C1392" s="20" t="str">
        <v>Máy sấy bát đĩa INP6602</v>
      </c>
      <c r="D1392" s="2" t="str">
        <v>cái</v>
      </c>
      <c r="E1392" s="2" t="str">
        <v>3</v>
      </c>
      <c r="F1392" s="2" t="str">
        <v>1361111.11</v>
      </c>
      <c r="G1392" s="19" t="n">
        <v>4410000</v>
      </c>
      <c r="H1392" s="2" t="str">
        <v>2.xlsx | 订单!Q825</v>
      </c>
    </row>
    <row r="1393" ht="26" customHeight="1">
      <c r="A1393" s="2" t="str">
        <v>S2-00826-BH</v>
      </c>
      <c r="B1393" s="2" t="str">
        <v>INP6701</v>
      </c>
      <c r="C1393" s="20" t="str">
        <v>Máy xay thực phẩm INP6701</v>
      </c>
      <c r="D1393" s="2" t="str">
        <v>cái</v>
      </c>
      <c r="E1393" s="2" t="str">
        <v>8</v>
      </c>
      <c r="F1393" s="2" t="str">
        <v>361111.11</v>
      </c>
      <c r="G1393" s="19" t="n">
        <v>3120000</v>
      </c>
      <c r="H1393" s="2" t="str">
        <v>2.xlsx | 订单!Q826</v>
      </c>
    </row>
    <row r="1394" ht="26" customHeight="1">
      <c r="A1394" s="2" t="str">
        <v>S2-00827-BH</v>
      </c>
      <c r="B1394" s="2" t="str">
        <v>INP6206</v>
      </c>
      <c r="C1394" s="20" t="str">
        <v>Ấm đun nước INP6206, 1.7L</v>
      </c>
      <c r="D1394" s="2" t="str">
        <v>cái</v>
      </c>
      <c r="E1394" s="2" t="str">
        <v>12</v>
      </c>
      <c r="F1394" s="2" t="str">
        <v>263888.88</v>
      </c>
      <c r="G1394" s="19" t="n">
        <v>3420000</v>
      </c>
      <c r="H1394" s="2" t="str">
        <v>2.xlsx | 订单!Q827</v>
      </c>
    </row>
    <row r="1395" ht="26" customHeight="1">
      <c r="A1395" s="2" t="str">
        <v>S2-00827-BH</v>
      </c>
      <c r="B1395" s="2" t="str">
        <v>INP6001</v>
      </c>
      <c r="C1395" s="20" t="str">
        <v>Nồi cơm điện tử (Nồi cơm điện đa năng giảm đường) INP6001</v>
      </c>
      <c r="D1395" s="2" t="str">
        <v>nồi</v>
      </c>
      <c r="E1395" s="2" t="str">
        <v>8</v>
      </c>
      <c r="F1395" s="2" t="str">
        <v>1138888.88</v>
      </c>
      <c r="G1395" s="19" t="n">
        <v>9840000</v>
      </c>
      <c r="H1395" s="2" t="str">
        <v>2.xlsx | 订单!Q828</v>
      </c>
    </row>
    <row r="1396" ht="26" customHeight="1">
      <c r="A1396" s="2" t="str">
        <v>S2-00827-BH</v>
      </c>
      <c r="B1396" s="2" t="str">
        <v>INP6003</v>
      </c>
      <c r="C1396" s="20" t="str">
        <v>Nồi cơm điện tử (Nồi cơm điện đa năng giảm đường) INP6003</v>
      </c>
      <c r="D1396" s="2" t="str">
        <v>nồi</v>
      </c>
      <c r="E1396" s="2" t="str">
        <v>4</v>
      </c>
      <c r="F1396" s="2" t="str">
        <v>851851.85</v>
      </c>
      <c r="G1396" s="19" t="n">
        <v>3680000</v>
      </c>
      <c r="H1396" s="2" t="str">
        <v>2.xlsx | 订单!Q829</v>
      </c>
    </row>
    <row r="1397" ht="26" customHeight="1">
      <c r="A1397" s="2" t="str">
        <v>S2-00833-BH</v>
      </c>
      <c r="B1397" s="2" t="str">
        <v>INP1401</v>
      </c>
      <c r="C1397" s="20" t="str">
        <v>Nồi áp suất 4.5L INP1401</v>
      </c>
      <c r="D1397" s="2" t="str">
        <v>Cái</v>
      </c>
      <c r="E1397" s="2" t="str">
        <v>8</v>
      </c>
      <c r="F1397" s="2" t="str">
        <v>824074.07</v>
      </c>
      <c r="G1397" s="19" t="n">
        <v>7120000</v>
      </c>
      <c r="H1397" s="2" t="str">
        <v>2.xlsx | 订单!Q833</v>
      </c>
    </row>
    <row r="1398" ht="26" customHeight="1">
      <c r="A1398" s="2" t="str">
        <v>S2-00833-BH</v>
      </c>
      <c r="B1398" s="2" t="str">
        <v>INP1402</v>
      </c>
      <c r="C1398" s="20" t="str">
        <v>Nồi áp suất 6L INP1402</v>
      </c>
      <c r="D1398" s="2" t="str">
        <v>cái</v>
      </c>
      <c r="E1398" s="2" t="str">
        <v>10</v>
      </c>
      <c r="F1398" s="2" t="str">
        <v>937962.96</v>
      </c>
      <c r="G1398" s="19" t="n">
        <v>10130000</v>
      </c>
      <c r="H1398" s="2" t="str">
        <v>2.xlsx | 订单!Q834</v>
      </c>
    </row>
    <row r="1399" ht="26" customHeight="1">
      <c r="A1399" s="2" t="str">
        <v>S2-00833-BH</v>
      </c>
      <c r="B1399" s="2" t="str">
        <v>INP6001</v>
      </c>
      <c r="C1399" s="20" t="str">
        <v>Nồi cơm điện tử ( nồi cơm điện đa năng giảm đường)INP6001</v>
      </c>
      <c r="D1399" s="2" t="str">
        <v>cái</v>
      </c>
      <c r="E1399" s="2" t="str">
        <v>4</v>
      </c>
      <c r="F1399" s="2" t="str">
        <v>1138888.89</v>
      </c>
      <c r="G1399" s="19" t="n">
        <v>4920000</v>
      </c>
      <c r="H1399" s="2" t="str">
        <v>2.xlsx | 订单!Q835</v>
      </c>
    </row>
    <row r="1400" ht="26" customHeight="1">
      <c r="A1400" s="2" t="str">
        <v>S2-00833-BH</v>
      </c>
      <c r="B1400" s="2" t="str">
        <v>INP6202</v>
      </c>
      <c r="C1400" s="20" t="str">
        <v>Ấm điện siêu tốc INP6201 1,7 Lít màu đen</v>
      </c>
      <c r="D1400" s="2" t="str">
        <v>cái</v>
      </c>
      <c r="E1400" s="2" t="str">
        <v>12</v>
      </c>
      <c r="F1400" s="2" t="str">
        <v>325925.92</v>
      </c>
      <c r="G1400" s="19" t="n">
        <v>4224000</v>
      </c>
      <c r="H1400" s="2" t="str">
        <v>2.xlsx | 订单!Q836</v>
      </c>
    </row>
    <row r="1401" ht="26" customHeight="1">
      <c r="A1401" s="2" t="str">
        <v>S2-00837-BH</v>
      </c>
      <c r="B1401" s="2" t="str">
        <v>INP6902</v>
      </c>
      <c r="C1401" s="20" t="str">
        <v>Nồi áp suất điện INP6902</v>
      </c>
      <c r="D1401" s="2" t="str">
        <v>nồi</v>
      </c>
      <c r="E1401" s="2" t="str">
        <v>10</v>
      </c>
      <c r="F1401" s="2" t="str">
        <v>824074.07</v>
      </c>
      <c r="G1401" s="19" t="n">
        <v>8900000</v>
      </c>
      <c r="H1401" s="2" t="str">
        <v>2.xlsx | 订单!Q837</v>
      </c>
    </row>
    <row r="1402" ht="26" customHeight="1">
      <c r="A1402" s="2" t="str">
        <v>S2-01194-BH</v>
      </c>
      <c r="B1402" s="2" t="str">
        <v>INP2105</v>
      </c>
      <c r="C1402" s="20" t="str">
        <v>Chảo inox đúc nguyên khối (không chống
dính)INP2105</v>
      </c>
      <c r="D1402" s="2" t="str">
        <v>Cái</v>
      </c>
      <c r="E1402" s="2" t="str">
        <v>10</v>
      </c>
      <c r="F1402" s="2" t="str">
        <v>227777.78</v>
      </c>
      <c r="G1402" s="19" t="n">
        <v>2460000</v>
      </c>
      <c r="H1402" s="2" t="str">
        <v>2.xlsx | 订单!Q1194</v>
      </c>
    </row>
    <row r="1403" ht="26" customHeight="1">
      <c r="A1403" s="2" t="str">
        <v>S2-01194-BH</v>
      </c>
      <c r="B1403" s="2" t="str">
        <v>INP2107</v>
      </c>
      <c r="C1403" s="20" t="str">
        <v>Chảo inox đúc nguyên khối (không chống dính) INP2107</v>
      </c>
      <c r="D1403" s="2" t="str">
        <v>Cái</v>
      </c>
      <c r="E1403" s="2" t="str">
        <v>10</v>
      </c>
      <c r="F1403" s="2" t="str">
        <v>268518.52</v>
      </c>
      <c r="G1403" s="19" t="n">
        <v>2900000</v>
      </c>
      <c r="H1403" s="2" t="str">
        <v>2.xlsx | 订单!Q1195</v>
      </c>
    </row>
    <row r="1404" ht="26" customHeight="1">
      <c r="A1404" s="2" t="str">
        <v>S2-01194-BH</v>
      </c>
      <c r="B1404" s="2" t="str">
        <v>INP2110</v>
      </c>
      <c r="C1404" s="20" t="str">
        <v>Chảo inox đúc nguyên khối (không chống dính)INP2110</v>
      </c>
      <c r="D1404" s="2" t="str">
        <v>Cái</v>
      </c>
      <c r="E1404" s="2" t="str">
        <v>10</v>
      </c>
      <c r="F1404" s="2" t="str">
        <v>252777.77</v>
      </c>
      <c r="G1404" s="19" t="n">
        <v>2730000</v>
      </c>
      <c r="H1404" s="2" t="str">
        <v>2.xlsx | 订单!Q1196</v>
      </c>
    </row>
    <row r="1405" ht="26" customHeight="1">
      <c r="A1405" s="2" t="str">
        <v>S2-01194-BH</v>
      </c>
      <c r="B1405" s="2" t="str">
        <v>INP2111</v>
      </c>
      <c r="C1405" s="20" t="str">
        <v>Chảo inox đúc nguyên khối (không chống dính)INP2111</v>
      </c>
      <c r="D1405" s="2" t="str">
        <v>Cái</v>
      </c>
      <c r="E1405" s="2" t="str">
        <v>10</v>
      </c>
      <c r="F1405" s="2" t="str">
        <v>277777.78</v>
      </c>
      <c r="G1405" s="19" t="n">
        <v>3000000</v>
      </c>
      <c r="H1405" s="2" t="str">
        <v>2.xlsx | 订单!Q1197</v>
      </c>
    </row>
    <row r="1406" ht="26" customHeight="1">
      <c r="A1406" s="2" t="str">
        <v>S2-01194-BH</v>
      </c>
      <c r="B1406" s="2" t="str">
        <v>INP6602</v>
      </c>
      <c r="C1406" s="20" t="str">
        <v>Máy sấy bát đĩa INP6602</v>
      </c>
      <c r="D1406" s="2" t="str">
        <v>Cái</v>
      </c>
      <c r="E1406" s="2" t="str">
        <v>2</v>
      </c>
      <c r="F1406" s="2" t="str">
        <v>1361111.11</v>
      </c>
      <c r="G1406" s="19" t="n">
        <v>2940000</v>
      </c>
      <c r="H1406" s="2" t="str">
        <v>2.xlsx | 订单!Q1201</v>
      </c>
    </row>
    <row r="1407" ht="26" customHeight="1">
      <c r="A1407" s="2" t="str">
        <v>S2-01194-BH</v>
      </c>
      <c r="B1407" s="2" t="str">
        <v>INP6902</v>
      </c>
      <c r="C1407" s="20" t="str">
        <v>Nồi áp suất điện INP6902</v>
      </c>
      <c r="D1407" s="2" t="str">
        <v>Cái</v>
      </c>
      <c r="E1407" s="2" t="str">
        <v>10</v>
      </c>
      <c r="F1407" s="2" t="str">
        <v>814814.81</v>
      </c>
      <c r="G1407" s="19" t="n">
        <v>8800000</v>
      </c>
      <c r="H1407" s="2" t="str">
        <v>2.xlsx | 订单!Q1202</v>
      </c>
    </row>
    <row r="1408" ht="26" customHeight="1">
      <c r="A1408" s="2" t="str">
        <v>S2-01198-BH</v>
      </c>
      <c r="B1408" s="2" t="str">
        <v>INP6007</v>
      </c>
      <c r="C1408" s="20" t="str">
        <v>Nồi cơm điện INP6007 (1,8L)</v>
      </c>
      <c r="D1408" s="2" t="str">
        <v>Cái</v>
      </c>
      <c r="E1408" s="2" t="str">
        <v>15</v>
      </c>
      <c r="F1408" s="2" t="str">
        <v>629629.63</v>
      </c>
      <c r="G1408" s="19" t="n">
        <v>10200000</v>
      </c>
      <c r="H1408" s="2" t="str">
        <v>2.xlsx | 订单!Q1198</v>
      </c>
    </row>
    <row r="1409" ht="26" customHeight="1">
      <c r="A1409" s="2" t="str">
        <v>S2-01198-BH</v>
      </c>
      <c r="B1409" s="2" t="str">
        <v>INP6009</v>
      </c>
      <c r="C1409" s="20" t="str">
        <v>Nồi cơm điện INP6009 (1,8L)</v>
      </c>
      <c r="D1409" s="2" t="str">
        <v>Cái</v>
      </c>
      <c r="E1409" s="2" t="str">
        <v>15</v>
      </c>
      <c r="F1409" s="2" t="str">
        <v>694444.44</v>
      </c>
      <c r="G1409" s="19" t="n">
        <v>11250000</v>
      </c>
      <c r="H1409" s="2" t="str">
        <v>2.xlsx | 订单!Q1199</v>
      </c>
    </row>
    <row r="1410" ht="26" customHeight="1">
      <c r="A1410" s="2" t="str">
        <v>S2-01198-BH</v>
      </c>
      <c r="B1410" s="2" t="str">
        <v>INP6105</v>
      </c>
      <c r="C1410" s="20" t="str">
        <v>Bếp từ đơn INP6105</v>
      </c>
      <c r="D1410" s="2" t="str">
        <v>Cái</v>
      </c>
      <c r="E1410" s="2" t="str">
        <v>12</v>
      </c>
      <c r="F1410" s="2" t="str">
        <v>675925.93</v>
      </c>
      <c r="G1410" s="19" t="n">
        <v>8760000</v>
      </c>
      <c r="H1410" s="2" t="str">
        <v>2.xlsx | 订单!Q1200</v>
      </c>
    </row>
    <row r="1411" ht="26" customHeight="1">
      <c r="A1411" s="2" t="str">
        <v>S2-01319-BH</v>
      </c>
      <c r="B1411" s="2" t="str">
        <v>INP6007</v>
      </c>
      <c r="C1411" s="20" t="str">
        <v>Nồi cơm điện INP6007 (1,8L)</v>
      </c>
      <c r="D1411" s="2" t="str">
        <v>Cái</v>
      </c>
      <c r="E1411" s="2" t="str">
        <v>15</v>
      </c>
      <c r="F1411" s="2" t="str">
        <v>629629.63</v>
      </c>
      <c r="G1411" s="19" t="n">
        <v>10200000</v>
      </c>
      <c r="H1411" s="2" t="str">
        <v>2.xlsx | 订单!Q1319</v>
      </c>
    </row>
    <row r="1412" ht="26" customHeight="1">
      <c r="A1412" s="2" t="str">
        <v>S2-01319-BH</v>
      </c>
      <c r="B1412" s="2" t="str">
        <v>INP6902</v>
      </c>
      <c r="C1412" s="20" t="str">
        <v>Nồi áp suất điện INP6902</v>
      </c>
      <c r="D1412" s="2" t="str">
        <v>Cái</v>
      </c>
      <c r="E1412" s="2" t="str">
        <v>6</v>
      </c>
      <c r="F1412" s="2" t="str">
        <v>814814.81</v>
      </c>
      <c r="G1412" s="19" t="n">
        <v>5280000</v>
      </c>
      <c r="H1412" s="2" t="str">
        <v>2.xlsx | 订单!Q1320</v>
      </c>
    </row>
    <row r="1413" ht="26" customHeight="1">
      <c r="A1413" s="2" t="str">
        <v>S2-01442-BH</v>
      </c>
      <c r="B1413" s="2" t="str">
        <v>INP6009</v>
      </c>
      <c r="C1413" s="20" t="str">
        <v>Nồi cơm điện INP6009 (1,8L)</v>
      </c>
      <c r="D1413" s="2" t="str">
        <v>Cái</v>
      </c>
      <c r="E1413" s="2" t="str">
        <v>15</v>
      </c>
      <c r="F1413" s="2" t="str">
        <v>694444.44</v>
      </c>
      <c r="G1413" s="19" t="n">
        <v>11250000</v>
      </c>
      <c r="H1413" s="2" t="str">
        <v>2.xlsx | 订单!Q1442</v>
      </c>
    </row>
    <row r="1414" ht="26" customHeight="1">
      <c r="A1414" s="2" t="str">
        <v>S2-01442-BH</v>
      </c>
      <c r="B1414" s="2" t="str">
        <v>INP6202</v>
      </c>
      <c r="C1414" s="20" t="str">
        <v>Ấm điện siêu tốc INP6202 1,7 lít màu đen</v>
      </c>
      <c r="D1414" s="2" t="str">
        <v>Cái</v>
      </c>
      <c r="E1414" s="2" t="str">
        <v>12</v>
      </c>
      <c r="F1414" s="2" t="str">
        <v>325925.92</v>
      </c>
      <c r="G1414" s="19" t="n">
        <v>4224000</v>
      </c>
      <c r="H1414" s="2" t="str">
        <v>2.xlsx | 订单!Q1443</v>
      </c>
    </row>
    <row r="1415" ht="26" customHeight="1">
      <c r="A1415" s="2" t="str">
        <v>S2-01442-BH</v>
      </c>
      <c r="B1415" s="2" t="str">
        <v>INP6602</v>
      </c>
      <c r="C1415" s="20" t="str">
        <v>Máy sấy bát đĩa INP6602</v>
      </c>
      <c r="D1415" s="2" t="str">
        <v>Cái</v>
      </c>
      <c r="E1415" s="2" t="str">
        <v>2</v>
      </c>
      <c r="F1415" s="2" t="str">
        <v>1361111.11</v>
      </c>
      <c r="G1415" s="19" t="n">
        <v>2940000</v>
      </c>
      <c r="H1415" s="2" t="str">
        <v>2.xlsx | 订单!Q1444</v>
      </c>
    </row>
    <row r="1416" ht="26" customHeight="1">
      <c r="A1416" s="2" t="str">
        <v>S2-01810-BH</v>
      </c>
      <c r="B1416" s="2" t="str">
        <v>INP6003</v>
      </c>
      <c r="C1416" s="20" t="str">
        <v>Nồi cơm điện tử (Nồi cơm điện đa năng giảm đường) INP6003</v>
      </c>
      <c r="D1416" s="2" t="str">
        <v>Cái</v>
      </c>
      <c r="E1416" s="2" t="str">
        <v>4</v>
      </c>
      <c r="F1416" s="2" t="str">
        <v>851851.85</v>
      </c>
      <c r="G1416" s="19" t="n">
        <v>3680000</v>
      </c>
      <c r="H1416" s="2" t="str">
        <v>2.xlsx | 订单!Q1810</v>
      </c>
    </row>
    <row r="1417" ht="26" customHeight="1">
      <c r="A1417" s="2" t="str">
        <v>S2-01810-BH</v>
      </c>
      <c r="B1417" s="2" t="str">
        <v>INP6105</v>
      </c>
      <c r="C1417" s="20" t="str">
        <v>Bếp từ đơn INP6105</v>
      </c>
      <c r="D1417" s="2" t="str">
        <v>Cái</v>
      </c>
      <c r="E1417" s="2" t="str">
        <v>18</v>
      </c>
      <c r="F1417" s="2" t="str">
        <v>675925.93</v>
      </c>
      <c r="G1417" s="19" t="n">
        <v>13140000</v>
      </c>
      <c r="H1417" s="2" t="str">
        <v>2.xlsx | 订单!Q1813</v>
      </c>
    </row>
    <row r="1418" ht="26" customHeight="1">
      <c r="A1418" s="2" t="str">
        <v>S2-01810-BH</v>
      </c>
      <c r="B1418" s="2" t="str">
        <v>INP6202</v>
      </c>
      <c r="C1418" s="20" t="str">
        <v>Ấm điện siêu tốc INP6202 1,7 lít màu đen</v>
      </c>
      <c r="D1418" s="2" t="str">
        <v>Cái</v>
      </c>
      <c r="E1418" s="2" t="str">
        <v>20</v>
      </c>
      <c r="F1418" s="2" t="str">
        <v>325925.93</v>
      </c>
      <c r="G1418" s="19" t="n">
        <v>7040000</v>
      </c>
      <c r="H1418" s="2" t="str">
        <v>2.xlsx | 订单!Q1814</v>
      </c>
    </row>
    <row r="1419" ht="26" customHeight="1">
      <c r="A1419" s="2" t="str">
        <v>S2-01810-BH</v>
      </c>
      <c r="B1419" s="2" t="str">
        <v>INP6701</v>
      </c>
      <c r="C1419" s="20" t="str">
        <v>Máy xay thực phẩm INP6701</v>
      </c>
      <c r="D1419" s="2" t="str">
        <v>Cái</v>
      </c>
      <c r="E1419" s="2" t="str">
        <v>8</v>
      </c>
      <c r="F1419" s="2" t="str">
        <v>382407.41</v>
      </c>
      <c r="G1419" s="19" t="n">
        <v>3304000</v>
      </c>
      <c r="H1419" s="2" t="str">
        <v>2.xlsx | 订单!Q1815</v>
      </c>
    </row>
    <row r="1420" ht="26" customHeight="1">
      <c r="A1420" s="2" t="str">
        <v>S2-01810-BH</v>
      </c>
      <c r="B1420" s="2" t="str">
        <v>INP6902</v>
      </c>
      <c r="C1420" s="20" t="str">
        <v>Nồi áp suất điện INP6902</v>
      </c>
      <c r="D1420" s="2" t="str">
        <v>Cái</v>
      </c>
      <c r="E1420" s="2" t="str">
        <v>10</v>
      </c>
      <c r="F1420" s="2" t="str">
        <v>814814.81</v>
      </c>
      <c r="G1420" s="19" t="n">
        <v>8800000</v>
      </c>
      <c r="H1420" s="2" t="str">
        <v>2.xlsx | 订单!Q1816</v>
      </c>
    </row>
    <row r="1421" ht="26" customHeight="1">
      <c r="A1421" s="2" t="str">
        <v>S2-01810-BH</v>
      </c>
      <c r="B1421" s="2" t="str">
        <v>INP6007</v>
      </c>
      <c r="C1421" s="20" t="str">
        <v>Nồi cơm điện INP6007 (1,8L)</v>
      </c>
      <c r="D1421" s="2" t="str">
        <v>Cái</v>
      </c>
      <c r="E1421" s="2" t="str">
        <v>15</v>
      </c>
      <c r="F1421" s="2" t="str">
        <v>629629.63</v>
      </c>
      <c r="G1421" s="19" t="n">
        <v>10200000</v>
      </c>
      <c r="H1421" s="2" t="str">
        <v>2.xlsx | 订单!Q1811</v>
      </c>
    </row>
    <row r="1422" ht="26" customHeight="1">
      <c r="A1422" s="2" t="str">
        <v>S2-01810-BH</v>
      </c>
      <c r="B1422" s="2" t="str">
        <v>INP6009</v>
      </c>
      <c r="C1422" s="20" t="str">
        <v>Nồi cơm điện INP6009 (1,8L)</v>
      </c>
      <c r="D1422" s="2" t="str">
        <v>Cái</v>
      </c>
      <c r="E1422" s="2" t="str">
        <v>15</v>
      </c>
      <c r="F1422" s="2" t="str">
        <v>694444.44</v>
      </c>
      <c r="G1422" s="19" t="n">
        <v>11250000</v>
      </c>
      <c r="H1422" s="2" t="str">
        <v>2.xlsx | 订单!Q1812</v>
      </c>
    </row>
    <row r="1423" ht="26" customHeight="1">
      <c r="A1423" s="2" t="str">
        <v>S2-00134-BH</v>
      </c>
      <c r="B1423" s="2" t="str">
        <v>INP1001</v>
      </c>
      <c r="C1423" s="20" t="str">
        <v>Bộ nồi inox INP1001</v>
      </c>
      <c r="D1423" s="2" t="str">
        <v>bộ</v>
      </c>
      <c r="E1423" s="2" t="str">
        <v>2</v>
      </c>
      <c r="F1423" s="2" t="str">
        <v>480555.56</v>
      </c>
      <c r="G1423" s="19" t="n">
        <v>1038000</v>
      </c>
      <c r="H1423" s="2" t="str">
        <v>2.xlsx | 订单!Q134</v>
      </c>
    </row>
    <row r="1424" ht="26" customHeight="1">
      <c r="A1424" s="2" t="str">
        <v>S2-00134-BH</v>
      </c>
      <c r="B1424" s="2" t="str">
        <v>INP1002</v>
      </c>
      <c r="C1424" s="20" t="str">
        <v>Bộ nồi inox INP1002</v>
      </c>
      <c r="D1424" s="2" t="str">
        <v>bộ</v>
      </c>
      <c r="E1424" s="2" t="str">
        <v>2</v>
      </c>
      <c r="F1424" s="2" t="str">
        <v>647222.22</v>
      </c>
      <c r="G1424" s="19" t="n">
        <v>1398000</v>
      </c>
      <c r="H1424" s="2" t="str">
        <v>2.xlsx | 订单!Q135</v>
      </c>
    </row>
    <row r="1425" ht="26" customHeight="1">
      <c r="A1425" s="2" t="str">
        <v>S2-00134-BH</v>
      </c>
      <c r="B1425" s="2" t="str">
        <v>INP1003</v>
      </c>
      <c r="C1425" s="20" t="str">
        <v>Bộ nồi Inox INP1003 </v>
      </c>
      <c r="D1425" s="2" t="str">
        <v>bộ</v>
      </c>
      <c r="E1425" s="2" t="str">
        <v>10</v>
      </c>
      <c r="F1425" s="2" t="str">
        <v>324074.07</v>
      </c>
      <c r="G1425" s="19" t="n">
        <v>3500000</v>
      </c>
      <c r="H1425" s="2" t="str">
        <v>2.xlsx | 订单!Q136</v>
      </c>
    </row>
    <row r="1426" ht="26" customHeight="1">
      <c r="A1426" s="2" t="str">
        <v>S2-00134-BH</v>
      </c>
      <c r="B1426" s="2" t="str">
        <v>INP1401</v>
      </c>
      <c r="C1426" s="20" t="str">
        <v>Nồi áp suất 4.5L INP1401</v>
      </c>
      <c r="D1426" s="2" t="str">
        <v>cái</v>
      </c>
      <c r="E1426" s="2" t="str">
        <v>6</v>
      </c>
      <c r="F1426" s="2" t="str">
        <v>824074.07</v>
      </c>
      <c r="G1426" s="19" t="n">
        <v>5340000</v>
      </c>
      <c r="H1426" s="2" t="str">
        <v>2.xlsx | 订单!Q137</v>
      </c>
    </row>
    <row r="1427" ht="26" customHeight="1">
      <c r="A1427" s="2" t="str">
        <v>S2-00134-BH</v>
      </c>
      <c r="B1427" s="2" t="str">
        <v>INP1402</v>
      </c>
      <c r="C1427" s="20" t="str">
        <v>Nồi áp suất 6L INP1402</v>
      </c>
      <c r="D1427" s="2" t="str">
        <v>cái</v>
      </c>
      <c r="E1427" s="2" t="str">
        <v>6</v>
      </c>
      <c r="F1427" s="2" t="str">
        <v>937962.96</v>
      </c>
      <c r="G1427" s="19" t="n">
        <v>6078000</v>
      </c>
      <c r="H1427" s="2" t="str">
        <v>2.xlsx | 订单!Q138</v>
      </c>
    </row>
    <row r="1428" ht="26" customHeight="1">
      <c r="A1428" s="2" t="str">
        <v>S2-00134-BH</v>
      </c>
      <c r="B1428" s="2" t="str">
        <v>INP2106</v>
      </c>
      <c r="C1428" s="20" t="str">
        <v>Chảo inox đúc nguyên khối (không chống dính)INP2106</v>
      </c>
      <c r="D1428" s="2" t="str">
        <v>cái</v>
      </c>
      <c r="E1428" s="2" t="str">
        <v>20</v>
      </c>
      <c r="F1428" s="2" t="str">
        <v>259259.26</v>
      </c>
      <c r="G1428" s="19" t="n">
        <v>5600000</v>
      </c>
      <c r="H1428" s="2" t="str">
        <v>2.xlsx | 订单!Q139</v>
      </c>
    </row>
    <row r="1429" ht="26" customHeight="1">
      <c r="A1429" s="2" t="str">
        <v>S2-00134-BH</v>
      </c>
      <c r="B1429" s="2" t="str">
        <v>INP2111</v>
      </c>
      <c r="C1429" s="20" t="str">
        <v>Chảo inox đúc nguyên khối (không chống dính)INP2111</v>
      </c>
      <c r="D1429" s="2" t="str">
        <v>cái</v>
      </c>
      <c r="E1429" s="2" t="str">
        <v>30</v>
      </c>
      <c r="F1429" s="2" t="str">
        <v>277777.78</v>
      </c>
      <c r="G1429" s="19" t="n">
        <v>9000000</v>
      </c>
      <c r="H1429" s="2" t="str">
        <v>2.xlsx | 订单!Q140</v>
      </c>
    </row>
    <row r="1430" ht="26" customHeight="1">
      <c r="A1430" s="2" t="str">
        <v>S2-00134-BH</v>
      </c>
      <c r="B1430" s="2" t="str">
        <v>INP3002</v>
      </c>
      <c r="C1430" s="20" t="str">
        <v>Nồi gang tráng menINP3002</v>
      </c>
      <c r="D1430" s="2" t="str">
        <v>cái</v>
      </c>
      <c r="E1430" s="2" t="str">
        <v>6</v>
      </c>
      <c r="F1430" s="2" t="str">
        <v>569444.44</v>
      </c>
      <c r="G1430" s="19" t="n">
        <v>3690000</v>
      </c>
      <c r="H1430" s="2" t="str">
        <v>2.xlsx | 订单!Q141</v>
      </c>
    </row>
    <row r="1431" ht="26" customHeight="1">
      <c r="A1431" s="2" t="str">
        <v>S2-00134-BH</v>
      </c>
      <c r="B1431" s="2" t="str">
        <v>INP3003</v>
      </c>
      <c r="C1431" s="20" t="str">
        <v>Nồi gang tráng menINP3003</v>
      </c>
      <c r="D1431" s="2" t="str">
        <v>cái</v>
      </c>
      <c r="E1431" s="2" t="str">
        <v>6</v>
      </c>
      <c r="F1431" s="2" t="str">
        <v>564814.81</v>
      </c>
      <c r="G1431" s="19" t="n">
        <v>3660000</v>
      </c>
      <c r="H1431" s="2" t="str">
        <v>2.xlsx | 订单!Q142</v>
      </c>
    </row>
    <row r="1432" ht="26" customHeight="1">
      <c r="A1432" s="2" t="str">
        <v>S2-00134-BH</v>
      </c>
      <c r="B1432" s="2" t="str">
        <v>INP3004</v>
      </c>
      <c r="C1432" s="20" t="str">
        <v>Nồi gang tráng menINP3004</v>
      </c>
      <c r="D1432" s="2" t="str">
        <v>cái</v>
      </c>
      <c r="E1432" s="2" t="str">
        <v>6</v>
      </c>
      <c r="F1432" s="2" t="str">
        <v>358333.33</v>
      </c>
      <c r="G1432" s="19" t="n">
        <v>2322000</v>
      </c>
      <c r="H1432" s="2" t="str">
        <v>2.xlsx | 订单!Q143</v>
      </c>
    </row>
    <row r="1433" ht="26" customHeight="1">
      <c r="A1433" s="2" t="str">
        <v>S2-00134-BH</v>
      </c>
      <c r="B1433" s="2" t="str">
        <v>INP3005</v>
      </c>
      <c r="C1433" s="20" t="str">
        <v>Nồi gang tráng menINP3005</v>
      </c>
      <c r="D1433" s="2" t="str">
        <v>cái</v>
      </c>
      <c r="E1433" s="2" t="str">
        <v>6</v>
      </c>
      <c r="F1433" s="2" t="str">
        <v>398148.15</v>
      </c>
      <c r="G1433" s="19" t="n">
        <v>2580000</v>
      </c>
      <c r="H1433" s="2" t="str">
        <v>2.xlsx | 订单!Q144</v>
      </c>
    </row>
    <row r="1434" ht="26" customHeight="1">
      <c r="A1434" s="2" t="str">
        <v>S2-00134-BH</v>
      </c>
      <c r="B1434" s="2" t="str">
        <v>INP6003</v>
      </c>
      <c r="C1434" s="20" t="str">
        <v>Nồi cơm điện tử (Nồi cơm điện đa năng giảm đường) INP6003</v>
      </c>
      <c r="D1434" s="2" t="str">
        <v>cái</v>
      </c>
      <c r="E1434" s="2" t="str">
        <v>4</v>
      </c>
      <c r="F1434" s="2" t="str">
        <v>851851.85</v>
      </c>
      <c r="G1434" s="19" t="n">
        <v>3680000</v>
      </c>
      <c r="H1434" s="2" t="str">
        <v>2.xlsx | 订单!Q145</v>
      </c>
    </row>
    <row r="1435" ht="26" customHeight="1">
      <c r="A1435" s="2" t="str">
        <v>S2-00134-BH</v>
      </c>
      <c r="B1435" s="2" t="str">
        <v>INP6701</v>
      </c>
      <c r="C1435" s="20" t="str">
        <v>Máy xay thực phẩm INP6701</v>
      </c>
      <c r="D1435" s="2" t="str">
        <v>cái</v>
      </c>
      <c r="E1435" s="2" t="str">
        <v>8</v>
      </c>
      <c r="F1435" s="2" t="str">
        <v>361111.11</v>
      </c>
      <c r="G1435" s="19" t="n">
        <v>3120000</v>
      </c>
      <c r="H1435" s="2" t="str">
        <v>2.xlsx | 订单!Q146</v>
      </c>
    </row>
    <row r="1436" ht="26" customHeight="1">
      <c r="A1436" s="2" t="str">
        <v>S2-00134-BH</v>
      </c>
      <c r="B1436" s="2" t="str">
        <v>INP6204</v>
      </c>
      <c r="C1436" s="20" t="str">
        <v>Ấm đun nước INP6204, 1.0L</v>
      </c>
      <c r="D1436" s="2" t="str">
        <v>cái</v>
      </c>
      <c r="E1436" s="2" t="str">
        <v>24</v>
      </c>
      <c r="F1436" s="2" t="str">
        <v>284259.26</v>
      </c>
      <c r="G1436" s="19" t="n">
        <v>7368000</v>
      </c>
      <c r="H1436" s="2" t="str">
        <v>2.xlsx | 订单!Q147</v>
      </c>
    </row>
    <row r="1437" ht="26" customHeight="1">
      <c r="A1437" s="2" t="str">
        <v>S2-00134-BH</v>
      </c>
      <c r="B1437" s="2" t="str">
        <v>INP6802</v>
      </c>
      <c r="C1437" s="20" t="str">
        <v>Thùng đựng gạo inoxpran INP6802</v>
      </c>
      <c r="D1437" s="2" t="str">
        <v>Thùng</v>
      </c>
      <c r="E1437" s="2" t="str">
        <v>1</v>
      </c>
      <c r="F1437" s="2" t="str">
        <v>882407.41</v>
      </c>
      <c r="G1437" s="19" t="n">
        <v>953000</v>
      </c>
      <c r="H1437" s="2" t="str">
        <v>2.xlsx | 订单!Q148</v>
      </c>
    </row>
    <row r="1438" ht="26" customHeight="1">
      <c r="A1438" s="2" t="str">
        <v>S2-00134-BH</v>
      </c>
      <c r="B1438" s="2" t="str">
        <v>INP1403</v>
      </c>
      <c r="C1438" s="20" t="str">
        <v>Nồi áp suất INP1403</v>
      </c>
      <c r="D1438" s="2" t="str">
        <v>cái</v>
      </c>
      <c r="E1438" s="2" t="str">
        <v>4</v>
      </c>
      <c r="F1438" s="2" t="str">
        <v>601851.85</v>
      </c>
      <c r="G1438" s="19" t="n">
        <v>2600000</v>
      </c>
      <c r="H1438" s="2" t="str">
        <v>2.xlsx | 订单!Q149</v>
      </c>
    </row>
    <row r="1439" ht="26" customHeight="1">
      <c r="A1439" s="2" t="str">
        <v>S2-00134-BH</v>
      </c>
      <c r="B1439" s="2" t="str">
        <v>INP2103</v>
      </c>
      <c r="C1439" s="20" t="str">
        <v>Chảo inox chống dính đúc nguyên khốiINP2103</v>
      </c>
      <c r="D1439" s="2" t="str">
        <v>cái</v>
      </c>
      <c r="E1439" s="2" t="str">
        <v>2</v>
      </c>
      <c r="F1439" s="2" t="str">
        <v>281481.48</v>
      </c>
      <c r="G1439" s="19" t="n">
        <v>608000</v>
      </c>
      <c r="H1439" s="2" t="str">
        <v>2.xlsx | 订单!Q150</v>
      </c>
    </row>
    <row r="1440" ht="26" customHeight="1">
      <c r="A1440" s="2" t="str">
        <v>S2-00134-BH</v>
      </c>
      <c r="B1440" s="2" t="str">
        <v>INP6202</v>
      </c>
      <c r="C1440" s="20" t="str">
        <v>Ấm điện siêu tốc INP6202 1,7 lít màu đen</v>
      </c>
      <c r="D1440" s="2" t="str">
        <v>cái</v>
      </c>
      <c r="E1440" s="2" t="str">
        <v>24</v>
      </c>
      <c r="F1440" s="2" t="str">
        <v>325925.93</v>
      </c>
      <c r="G1440" s="19" t="n">
        <v>8448000</v>
      </c>
      <c r="H1440" s="2" t="str">
        <v>2.xlsx | 订单!Q151</v>
      </c>
    </row>
    <row r="1441" ht="26" customHeight="1">
      <c r="A1441" s="2" t="str">
        <v>S2-00152-BH</v>
      </c>
      <c r="B1441" s="2" t="str">
        <v>INP6002</v>
      </c>
      <c r="C1441" s="20" t="str">
        <v>Nồi cơm điện tử (Nồi cơm điện đa năng giảm đường) INP6002</v>
      </c>
      <c r="D1441" s="2" t="str">
        <v>cái</v>
      </c>
      <c r="E1441" s="2" t="str">
        <v>4</v>
      </c>
      <c r="F1441" s="2" t="str">
        <v>1097222.22</v>
      </c>
      <c r="G1441" s="19" t="n">
        <v>4740000</v>
      </c>
      <c r="H1441" s="2" t="str">
        <v>2.xlsx | 订单!Q152</v>
      </c>
    </row>
    <row r="1442" ht="26" customHeight="1">
      <c r="A1442" s="2" t="str">
        <v>S2-00155-BH</v>
      </c>
      <c r="B1442" s="2" t="str">
        <v>INP6601</v>
      </c>
      <c r="C1442" s="20" t="str">
        <v>Máy sấy bát đĩa INP6601</v>
      </c>
      <c r="D1442" s="2" t="str">
        <v>cái</v>
      </c>
      <c r="E1442" s="2" t="str">
        <v>5</v>
      </c>
      <c r="F1442" s="2" t="str">
        <v>1203703</v>
      </c>
      <c r="G1442" s="19" t="n">
        <v>6499996</v>
      </c>
      <c r="H1442" s="2" t="str">
        <v>2.xlsx | 订单!Q155</v>
      </c>
    </row>
    <row r="1443" ht="26" customHeight="1">
      <c r="A1443" s="2" t="str">
        <v>S2-00155-BH</v>
      </c>
      <c r="B1443" s="2" t="str">
        <v>INP6602</v>
      </c>
      <c r="C1443" s="20" t="str">
        <v>Máy sấy bát đĩa INP 6602</v>
      </c>
      <c r="D1443" s="2" t="str">
        <v>cái</v>
      </c>
      <c r="E1443" s="2" t="str">
        <v>5</v>
      </c>
      <c r="F1443" s="2" t="str">
        <v>1361111</v>
      </c>
      <c r="G1443" s="19" t="n">
        <v>7349999</v>
      </c>
      <c r="H1443" s="2" t="str">
        <v>2.xlsx | 订单!Q156</v>
      </c>
    </row>
    <row r="1444" ht="26" customHeight="1">
      <c r="A1444" s="2" t="str">
        <v>S2-00157-BH</v>
      </c>
      <c r="B1444" s="2" t="str">
        <v>INP6902</v>
      </c>
      <c r="C1444" s="20" t="str">
        <v>Nồi áp suất điện INP6902</v>
      </c>
      <c r="D1444" s="2" t="str">
        <v>Cái</v>
      </c>
      <c r="E1444" s="2" t="str">
        <v>10</v>
      </c>
      <c r="F1444" s="2" t="str">
        <v>814814.81</v>
      </c>
      <c r="G1444" s="19" t="n">
        <v>8800000</v>
      </c>
      <c r="H1444" s="2" t="str">
        <v>2.xlsx | 订单!Q157</v>
      </c>
    </row>
    <row r="1445" ht="26" customHeight="1">
      <c r="A1445" s="2" t="str">
        <v>S2-00157-BH</v>
      </c>
      <c r="B1445" s="2" t="str">
        <v>INP6903</v>
      </c>
      <c r="C1445" s="20" t="str">
        <v>Nồi áp suất điện INP6903</v>
      </c>
      <c r="D1445" s="2" t="str">
        <v>Cái</v>
      </c>
      <c r="E1445" s="2" t="str">
        <v>10</v>
      </c>
      <c r="F1445" s="2" t="str">
        <v>907407.4</v>
      </c>
      <c r="G1445" s="19" t="n">
        <v>9800000</v>
      </c>
      <c r="H1445" s="2" t="str">
        <v>2.xlsx | 订单!Q158</v>
      </c>
    </row>
    <row r="1446" ht="26" customHeight="1">
      <c r="A1446" s="2" t="str">
        <v>S2-01685-BH</v>
      </c>
      <c r="B1446" s="2" t="str">
        <v>INP6006</v>
      </c>
      <c r="C1446" s="20" t="str">
        <v>Nồi cơm điện INP6006 (1,2L)</v>
      </c>
      <c r="D1446" s="2" t="str">
        <v>Cái</v>
      </c>
      <c r="E1446" s="2" t="str">
        <v>15</v>
      </c>
      <c r="F1446" s="2" t="str">
        <v>527777.78</v>
      </c>
      <c r="G1446" s="19" t="n">
        <v>8550000</v>
      </c>
      <c r="H1446" s="2" t="str">
        <v>2.xlsx | 订单!Q1685</v>
      </c>
    </row>
    <row r="1447" ht="26" customHeight="1">
      <c r="A1447" s="2" t="str">
        <v>S2-01685-BH</v>
      </c>
      <c r="B1447" s="2" t="str">
        <v>INP6010</v>
      </c>
      <c r="C1447" s="20" t="str">
        <v>Nồi cơm điện INP6010 (1,2L)</v>
      </c>
      <c r="D1447" s="2" t="str">
        <v>Cái</v>
      </c>
      <c r="E1447" s="2" t="str">
        <v>15</v>
      </c>
      <c r="F1447" s="2" t="str">
        <v>481481.48</v>
      </c>
      <c r="G1447" s="19" t="n">
        <v>7800000</v>
      </c>
      <c r="H1447" s="2" t="str">
        <v>2.xlsx | 订单!Q1686</v>
      </c>
    </row>
    <row r="1448" ht="26" customHeight="1">
      <c r="A1448" s="2" t="str">
        <v>S2-01685-BH</v>
      </c>
      <c r="B1448" s="2" t="str">
        <v>INP6011</v>
      </c>
      <c r="C1448" s="20" t="str">
        <v>Nồi cơm điện INP6011 (1,8L)</v>
      </c>
      <c r="D1448" s="2" t="str">
        <v>Cái</v>
      </c>
      <c r="E1448" s="2" t="str">
        <v>15</v>
      </c>
      <c r="F1448" s="2" t="str">
        <v>574074.07</v>
      </c>
      <c r="G1448" s="19" t="n">
        <v>9300000</v>
      </c>
      <c r="H1448" s="2" t="str">
        <v>2.xlsx | 订单!Q1687</v>
      </c>
    </row>
    <row r="1449" ht="26" customHeight="1">
      <c r="A1449" s="2" t="str">
        <v>S2-01737-TH</v>
      </c>
      <c r="B1449" s="2" t="str">
        <v>INP6902</v>
      </c>
      <c r="C1449" s="20" t="str">
        <v>Nồi áp suất INP6902</v>
      </c>
      <c r="D1449" s="2" t="str">
        <v>Cái</v>
      </c>
      <c r="E1449" s="2" t="str">
        <v>-10</v>
      </c>
      <c r="F1449" s="2" t="str">
        <v>814814.81</v>
      </c>
      <c r="G1449" s="19" t="n">
        <v>8800000</v>
      </c>
      <c r="H1449" s="2" t="str">
        <v>2.xlsx | 订单!Q1737</v>
      </c>
    </row>
    <row r="1450" ht="26" customHeight="1">
      <c r="A1450" s="2" t="str">
        <v>S2-01737-TH</v>
      </c>
      <c r="B1450" s="2" t="str">
        <v>INP6903</v>
      </c>
      <c r="C1450" s="20" t="str">
        <v>Nồi áp suất INP6903</v>
      </c>
      <c r="D1450" s="2" t="str">
        <v>Cái</v>
      </c>
      <c r="E1450" s="2" t="str">
        <v>-10</v>
      </c>
      <c r="F1450" s="2" t="str">
        <v>907407.4</v>
      </c>
      <c r="G1450" s="19" t="n">
        <v>9800000</v>
      </c>
      <c r="H1450" s="2" t="str">
        <v>2.xlsx | 订单!Q1738</v>
      </c>
    </row>
    <row r="1451" ht="26" customHeight="1">
      <c r="A1451" s="2" t="str">
        <v>S2-01737-TH</v>
      </c>
      <c r="B1451" s="2" t="str">
        <v>INP6601</v>
      </c>
      <c r="C1451" s="20" t="str">
        <v>Máy sấy bát INP6601</v>
      </c>
      <c r="D1451" s="2" t="str">
        <v>Cái</v>
      </c>
      <c r="E1451" s="2" t="str">
        <v>-4</v>
      </c>
      <c r="F1451" s="2" t="str">
        <v>1203703</v>
      </c>
      <c r="G1451" s="19" t="n">
        <v>5199997</v>
      </c>
      <c r="H1451" s="2" t="str">
        <v>2.xlsx | 订单!Q1739</v>
      </c>
    </row>
    <row r="1452" ht="26" customHeight="1">
      <c r="A1452" s="2" t="str">
        <v>S2-01737-TH</v>
      </c>
      <c r="B1452" s="2" t="str">
        <v>INP6602</v>
      </c>
      <c r="C1452" s="20" t="str">
        <v>Máy sấy bát INP6602</v>
      </c>
      <c r="D1452" s="2" t="str">
        <v>Cái</v>
      </c>
      <c r="E1452" s="2" t="str">
        <v>-4</v>
      </c>
      <c r="F1452" s="2" t="str">
        <v>1361111</v>
      </c>
      <c r="G1452" s="19" t="n">
        <v>5879999</v>
      </c>
      <c r="H1452" s="2" t="str">
        <v>2.xlsx | 订单!Q1740</v>
      </c>
    </row>
    <row r="1453" ht="26" customHeight="1">
      <c r="A1453" s="2" t="str">
        <v>S2-01737-TH</v>
      </c>
      <c r="B1453" s="2" t="str">
        <v>INP6802</v>
      </c>
      <c r="C1453" s="20" t="str">
        <v>Thùng đựng gạo INP6802</v>
      </c>
      <c r="D1453" s="2" t="str">
        <v>Cái</v>
      </c>
      <c r="E1453" s="2" t="str">
        <v>-1</v>
      </c>
      <c r="F1453" s="2" t="str">
        <v>882407.41</v>
      </c>
      <c r="G1453" s="19" t="n">
        <v>953000</v>
      </c>
      <c r="H1453" s="2" t="str">
        <v>2.xlsx | 订单!Q1741</v>
      </c>
    </row>
    <row r="1454" ht="26" customHeight="1">
      <c r="A1454" s="2" t="str">
        <v>S2-01296-BH</v>
      </c>
      <c r="B1454" s="2" t="str">
        <v>INP1301</v>
      </c>
      <c r="C1454" s="20" t="str">
        <v>Nồi mã INP1301</v>
      </c>
      <c r="D1454" s="2" t="str">
        <v>Cái</v>
      </c>
      <c r="E1454" s="2" t="str">
        <v>20</v>
      </c>
      <c r="F1454" s="2" t="str">
        <v>78703.7</v>
      </c>
      <c r="G1454" s="19" t="n">
        <v>1700000</v>
      </c>
      <c r="H1454" s="2" t="str">
        <v>2.xlsx | 订单!Q1296</v>
      </c>
    </row>
    <row r="1455" ht="26" customHeight="1">
      <c r="A1455" s="2" t="str">
        <v>S2-01296-BH</v>
      </c>
      <c r="B1455" s="2" t="str">
        <v>INP1301</v>
      </c>
      <c r="C1455" s="20" t="str">
        <v>Nồi mã INP1301</v>
      </c>
      <c r="D1455" s="2" t="str">
        <v>Cái</v>
      </c>
      <c r="E1455" s="2" t="str">
        <v>20</v>
      </c>
      <c r="F1455" s="2" t="str">
        <v>111111.11</v>
      </c>
      <c r="G1455" s="19" t="n">
        <v>2400000</v>
      </c>
      <c r="H1455" s="2" t="str">
        <v>2.xlsx | 订单!Q1297</v>
      </c>
    </row>
    <row r="1456" ht="26" customHeight="1">
      <c r="A1456" s="2" t="str">
        <v>S2-01296-BH</v>
      </c>
      <c r="B1456" s="2" t="str">
        <v>INP1401</v>
      </c>
      <c r="C1456" s="20" t="str">
        <v>Nồi áp suất 4.5L INP1401</v>
      </c>
      <c r="D1456" s="2" t="str">
        <v>Cái</v>
      </c>
      <c r="E1456" s="2" t="str">
        <v>8</v>
      </c>
      <c r="F1456" s="2" t="str">
        <v>824074.07</v>
      </c>
      <c r="G1456" s="19" t="n">
        <v>7120000</v>
      </c>
      <c r="H1456" s="2" t="str">
        <v>2.xlsx | 订单!Q1298</v>
      </c>
    </row>
    <row r="1457" ht="26" customHeight="1">
      <c r="A1457" s="2" t="str">
        <v>S2-01296-BH</v>
      </c>
      <c r="B1457" s="2" t="str">
        <v>INP1402</v>
      </c>
      <c r="C1457" s="20" t="str">
        <v>Nồi áp suất 6L INP1402</v>
      </c>
      <c r="D1457" s="2" t="str">
        <v>Cái</v>
      </c>
      <c r="E1457" s="2" t="str">
        <v>6</v>
      </c>
      <c r="F1457" s="2" t="str">
        <v>937962.96</v>
      </c>
      <c r="G1457" s="19" t="n">
        <v>6078000</v>
      </c>
      <c r="H1457" s="2" t="str">
        <v>2.xlsx | 订单!Q1299</v>
      </c>
    </row>
    <row r="1458" ht="26" customHeight="1">
      <c r="A1458" s="2" t="str">
        <v>S2-01296-BH</v>
      </c>
      <c r="B1458" s="2" t="str">
        <v>INP1501</v>
      </c>
      <c r="C1458" s="20" t="str">
        <v>Ấm đun nước 3L INP1501</v>
      </c>
      <c r="D1458" s="2" t="str">
        <v>Cái</v>
      </c>
      <c r="E1458" s="2" t="str">
        <v>12</v>
      </c>
      <c r="F1458" s="2" t="str">
        <v>129629.63</v>
      </c>
      <c r="G1458" s="19" t="n">
        <v>1680000</v>
      </c>
      <c r="H1458" s="2" t="str">
        <v>2.xlsx | 订单!Q1300</v>
      </c>
    </row>
    <row r="1459" ht="26" customHeight="1">
      <c r="A1459" s="2" t="str">
        <v>S2-01296-BH</v>
      </c>
      <c r="B1459" s="2" t="str">
        <v>INP1502</v>
      </c>
      <c r="C1459" s="20" t="str">
        <v>Ấm đun nước 4L INP1502</v>
      </c>
      <c r="D1459" s="2" t="str">
        <v>Cái</v>
      </c>
      <c r="E1459" s="2" t="str">
        <v>12</v>
      </c>
      <c r="F1459" s="2" t="str">
        <v>138888.89</v>
      </c>
      <c r="G1459" s="19" t="n">
        <v>1800000</v>
      </c>
      <c r="H1459" s="2" t="str">
        <v>2.xlsx | 订单!Q1301</v>
      </c>
    </row>
    <row r="1460" ht="26" customHeight="1">
      <c r="A1460" s="2" t="str">
        <v>S2-01296-BH</v>
      </c>
      <c r="B1460" s="2" t="str">
        <v>INP1503</v>
      </c>
      <c r="C1460" s="20" t="str">
        <v>Ấm đun nước 5L INP1503</v>
      </c>
      <c r="D1460" s="2" t="str">
        <v>Cái</v>
      </c>
      <c r="E1460" s="2" t="str">
        <v>12</v>
      </c>
      <c r="F1460" s="2" t="str">
        <v>148148.15</v>
      </c>
      <c r="G1460" s="19" t="n">
        <v>1920000</v>
      </c>
      <c r="H1460" s="2" t="str">
        <v>2.xlsx | 订单!Q1302</v>
      </c>
    </row>
    <row r="1461" ht="26" customHeight="1">
      <c r="A1461" s="2" t="str">
        <v>S2-01296-BH</v>
      </c>
      <c r="B1461" s="2" t="str">
        <v>INP2101</v>
      </c>
      <c r="C1461" s="20" t="str">
        <v>Chảo inox chống dính đúc nguyên khốiINP2101</v>
      </c>
      <c r="D1461" s="2" t="str">
        <v>Cái</v>
      </c>
      <c r="E1461" s="2" t="str">
        <v>10</v>
      </c>
      <c r="F1461" s="2" t="str">
        <v>234259.26</v>
      </c>
      <c r="G1461" s="19" t="n">
        <v>2530000</v>
      </c>
      <c r="H1461" s="2" t="str">
        <v>2.xlsx | 订单!Q1303</v>
      </c>
    </row>
    <row r="1462" ht="26" customHeight="1">
      <c r="A1462" s="2" t="str">
        <v>S2-01296-BH</v>
      </c>
      <c r="B1462" s="2" t="str">
        <v>INP2102</v>
      </c>
      <c r="C1462" s="20" t="str">
        <v>Chảo inox chống dính đúc nguyên khốiINP2102</v>
      </c>
      <c r="D1462" s="2" t="str">
        <v>Cái</v>
      </c>
      <c r="E1462" s="2" t="str">
        <v>10</v>
      </c>
      <c r="F1462" s="2" t="str">
        <v>256481.48</v>
      </c>
      <c r="G1462" s="19" t="n">
        <v>2770000</v>
      </c>
      <c r="H1462" s="2" t="str">
        <v>2.xlsx | 订单!Q1304</v>
      </c>
    </row>
    <row r="1463" ht="26" customHeight="1">
      <c r="A1463" s="2" t="str">
        <v>S2-01296-BH</v>
      </c>
      <c r="B1463" s="2" t="str">
        <v>INP2103</v>
      </c>
      <c r="C1463" s="20" t="str">
        <v>Chảo inox chống dính đúc nguyên khốiINP2103</v>
      </c>
      <c r="D1463" s="2" t="str">
        <v>Cái</v>
      </c>
      <c r="E1463" s="2" t="str">
        <v>10</v>
      </c>
      <c r="F1463" s="2" t="str">
        <v>281481.48</v>
      </c>
      <c r="G1463" s="19" t="n">
        <v>3040000</v>
      </c>
      <c r="H1463" s="2" t="str">
        <v>2.xlsx | 订单!Q1305</v>
      </c>
    </row>
    <row r="1464" ht="26" customHeight="1">
      <c r="A1464" s="2" t="str">
        <v>S2-01296-BH</v>
      </c>
      <c r="B1464" s="2" t="str">
        <v>INP2104</v>
      </c>
      <c r="C1464" s="20" t="str">
        <v>Chảo inox chống dính đúc nguyên khối INP2104</v>
      </c>
      <c r="D1464" s="2" t="str">
        <v>Cái</v>
      </c>
      <c r="E1464" s="2" t="str">
        <v>10</v>
      </c>
      <c r="F1464" s="2" t="str">
        <v>298148.15</v>
      </c>
      <c r="G1464" s="19" t="n">
        <v>3220000</v>
      </c>
      <c r="H1464" s="2" t="str">
        <v>2.xlsx | 订单!Q1306</v>
      </c>
    </row>
    <row r="1465" ht="26" customHeight="1">
      <c r="A1465" s="2" t="str">
        <v>S2-01296-BH</v>
      </c>
      <c r="B1465" s="2" t="str">
        <v>INP3002</v>
      </c>
      <c r="C1465" s="20" t="str">
        <v>Nồi gang tráng menINP3002</v>
      </c>
      <c r="D1465" s="2" t="str">
        <v>Cái</v>
      </c>
      <c r="E1465" s="2" t="str">
        <v>4</v>
      </c>
      <c r="F1465" s="2" t="str">
        <v>569444.44</v>
      </c>
      <c r="G1465" s="19" t="n">
        <v>2460000</v>
      </c>
      <c r="H1465" s="2" t="str">
        <v>2.xlsx | 订单!Q1307</v>
      </c>
    </row>
    <row r="1466" ht="26" customHeight="1">
      <c r="A1466" s="2" t="str">
        <v>S2-01296-BH</v>
      </c>
      <c r="B1466" s="2" t="str">
        <v>INP3003</v>
      </c>
      <c r="C1466" s="20" t="str">
        <v>Nồi gang tráng menINP3003</v>
      </c>
      <c r="D1466" s="2" t="str">
        <v>Cái</v>
      </c>
      <c r="E1466" s="2" t="str">
        <v>4</v>
      </c>
      <c r="F1466" s="2" t="str">
        <v>564814.81</v>
      </c>
      <c r="G1466" s="19" t="n">
        <v>2440000</v>
      </c>
      <c r="H1466" s="2" t="str">
        <v>2.xlsx | 订单!Q1308</v>
      </c>
    </row>
    <row r="1467" ht="26" customHeight="1">
      <c r="A1467" s="2" t="str">
        <v>S2-01296-BH</v>
      </c>
      <c r="B1467" s="2" t="str">
        <v>INP3004</v>
      </c>
      <c r="C1467" s="20" t="str">
        <v>Nồi gang tráng menINP3004</v>
      </c>
      <c r="D1467" s="2" t="str">
        <v>Cái</v>
      </c>
      <c r="E1467" s="2" t="str">
        <v>4</v>
      </c>
      <c r="F1467" s="2" t="str">
        <v>358333.33</v>
      </c>
      <c r="G1467" s="19" t="n">
        <v>1548000</v>
      </c>
      <c r="H1467" s="2" t="str">
        <v>2.xlsx | 订单!Q1309</v>
      </c>
    </row>
    <row r="1468" ht="26" customHeight="1">
      <c r="A1468" s="2" t="str">
        <v>S2-01296-BH</v>
      </c>
      <c r="B1468" s="2" t="str">
        <v>INP3005</v>
      </c>
      <c r="C1468" s="20" t="str">
        <v>Nồi gang tráng menINP3005</v>
      </c>
      <c r="D1468" s="2" t="str">
        <v>Cái</v>
      </c>
      <c r="E1468" s="2" t="str">
        <v>4</v>
      </c>
      <c r="F1468" s="2" t="str">
        <v>398148.15</v>
      </c>
      <c r="G1468" s="19" t="n">
        <v>1720000</v>
      </c>
      <c r="H1468" s="2" t="str">
        <v>2.xlsx | 订单!Q1310</v>
      </c>
    </row>
    <row r="1469" ht="26" customHeight="1">
      <c r="A1469" s="2" t="str">
        <v>S2-01296-BH</v>
      </c>
      <c r="B1469" s="2" t="str">
        <v>INP3201</v>
      </c>
      <c r="C1469" s="20" t="str">
        <v>Chảo gang tráng menINP3201</v>
      </c>
      <c r="D1469" s="2" t="str">
        <v>Cái</v>
      </c>
      <c r="E1469" s="2" t="str">
        <v>6</v>
      </c>
      <c r="F1469" s="2" t="str">
        <v>240740.74</v>
      </c>
      <c r="G1469" s="19" t="n">
        <v>1560000</v>
      </c>
      <c r="H1469" s="2" t="str">
        <v>2.xlsx | 订单!Q1311</v>
      </c>
    </row>
    <row r="1470" ht="26" customHeight="1">
      <c r="A1470" s="2" t="str">
        <v>S2-01296-BH</v>
      </c>
      <c r="B1470" s="2" t="str">
        <v>INP3202</v>
      </c>
      <c r="C1470" s="20" t="str">
        <v>Chảo gang tráng menINP3202</v>
      </c>
      <c r="D1470" s="2" t="str">
        <v>Cái</v>
      </c>
      <c r="E1470" s="2" t="str">
        <v>4</v>
      </c>
      <c r="F1470" s="2" t="str">
        <v>342592.59</v>
      </c>
      <c r="G1470" s="19" t="n">
        <v>1480000</v>
      </c>
      <c r="H1470" s="2" t="str">
        <v>2.xlsx | 订单!Q1312</v>
      </c>
    </row>
    <row r="1471" ht="26" customHeight="1">
      <c r="A1471" s="2" t="str">
        <v>S2-01296-BH</v>
      </c>
      <c r="B1471" s="2" t="str">
        <v>INP6012</v>
      </c>
      <c r="C1471" s="20" t="str">
        <v>Nồi cơm điện INP6012 (1,8L)</v>
      </c>
      <c r="D1471" s="2" t="str">
        <v>Cái</v>
      </c>
      <c r="E1471" s="2" t="str">
        <v>4</v>
      </c>
      <c r="F1471" s="2" t="str">
        <v>601851.85</v>
      </c>
      <c r="G1471" s="19" t="n">
        <v>2600000</v>
      </c>
      <c r="H1471" s="2" t="str">
        <v>2.xlsx | 订单!Q1313</v>
      </c>
    </row>
    <row r="1472" ht="26" customHeight="1">
      <c r="A1472" s="2" t="str">
        <v>S2-01296-BH</v>
      </c>
      <c r="B1472" s="2" t="str">
        <v>INP7951</v>
      </c>
      <c r="C1472" s="20" t="str">
        <v>Máy sấy tóc INP7951</v>
      </c>
      <c r="D1472" s="2" t="str">
        <v>Cái</v>
      </c>
      <c r="E1472" s="2" t="str">
        <v>25</v>
      </c>
      <c r="F1472" s="2" t="str">
        <v>388888.89</v>
      </c>
      <c r="G1472" s="19" t="n">
        <v>10500000</v>
      </c>
      <c r="H1472" s="2" t="str">
        <v>2.xlsx | 订单!Q1314</v>
      </c>
    </row>
    <row r="1473" ht="26" customHeight="1">
      <c r="A1473" s="2" t="str">
        <v>S2-01296-BH</v>
      </c>
      <c r="B1473" s="2" t="str">
        <v>INP7952</v>
      </c>
      <c r="C1473" s="20" t="str">
        <v>Máy sấy tóc INP7952</v>
      </c>
      <c r="D1473" s="2" t="str">
        <v>Cái</v>
      </c>
      <c r="E1473" s="2" t="str">
        <v>25</v>
      </c>
      <c r="F1473" s="2" t="str">
        <v>292592.59</v>
      </c>
      <c r="G1473" s="19" t="n">
        <v>7900000</v>
      </c>
      <c r="H1473" s="2" t="str">
        <v>2.xlsx | 订单!Q1315</v>
      </c>
    </row>
    <row r="1474" ht="26" customHeight="1">
      <c r="A1474" s="2" t="str">
        <v>S2-01296-BH</v>
      </c>
      <c r="B1474" s="2" t="str">
        <v>INP7953</v>
      </c>
      <c r="C1474" s="20" t="str">
        <v>Máy sấy tóc INP7953</v>
      </c>
      <c r="D1474" s="2" t="str">
        <v>Cái</v>
      </c>
      <c r="E1474" s="2" t="str">
        <v>25</v>
      </c>
      <c r="F1474" s="2" t="str">
        <v>231481.48</v>
      </c>
      <c r="G1474" s="19" t="n">
        <v>6250000</v>
      </c>
      <c r="H1474" s="2" t="str">
        <v>2.xlsx | 订单!Q1316</v>
      </c>
    </row>
    <row r="1475" ht="26" customHeight="1">
      <c r="A1475" s="2" t="str">
        <v>S2-01417-BH</v>
      </c>
      <c r="B1475" s="2" t="str">
        <v>INP6004</v>
      </c>
      <c r="C1475" s="20" t="str">
        <v>Nồi cơm điện INP6004 (1,2L)</v>
      </c>
      <c r="D1475" s="2" t="str">
        <v>Cái</v>
      </c>
      <c r="E1475" s="2" t="str">
        <v>15</v>
      </c>
      <c r="F1475" s="2" t="str">
        <v>542592.59</v>
      </c>
      <c r="G1475" s="19" t="n">
        <v>8790000</v>
      </c>
      <c r="H1475" s="2" t="str">
        <v>2.xlsx | 订单!Q1417</v>
      </c>
    </row>
    <row r="1476" ht="26" customHeight="1">
      <c r="A1476" s="2" t="str">
        <v>S2-01417-BH</v>
      </c>
      <c r="B1476" s="2" t="str">
        <v>INP6005</v>
      </c>
      <c r="C1476" s="20" t="str">
        <v>Nồi cơm điện INP6005 (1,8L)</v>
      </c>
      <c r="D1476" s="2" t="str">
        <v>Cái</v>
      </c>
      <c r="E1476" s="2" t="str">
        <v>15</v>
      </c>
      <c r="F1476" s="2" t="str">
        <v>644444.44</v>
      </c>
      <c r="G1476" s="19" t="n">
        <v>10440000</v>
      </c>
      <c r="H1476" s="2" t="str">
        <v>2.xlsx | 订单!Q1418</v>
      </c>
    </row>
    <row r="1477" ht="26" customHeight="1">
      <c r="A1477" s="2" t="str">
        <v>S2-01417-BH</v>
      </c>
      <c r="B1477" s="2" t="str">
        <v>INP6006</v>
      </c>
      <c r="C1477" s="20" t="str">
        <v>Nồi cơm điện INP6006 (1,2L)</v>
      </c>
      <c r="D1477" s="2" t="str">
        <v>Cái</v>
      </c>
      <c r="E1477" s="2" t="str">
        <v>15</v>
      </c>
      <c r="F1477" s="2" t="str">
        <v>527777.78</v>
      </c>
      <c r="G1477" s="19" t="n">
        <v>8550000</v>
      </c>
      <c r="H1477" s="2" t="str">
        <v>2.xlsx | 订单!Q1419</v>
      </c>
    </row>
    <row r="1478" ht="26" customHeight="1">
      <c r="A1478" s="2" t="str">
        <v>S2-01417-BH</v>
      </c>
      <c r="B1478" s="2" t="str">
        <v>INP6010</v>
      </c>
      <c r="C1478" s="20" t="str">
        <v>Nồi cơm điện INP6010 (1,2L)</v>
      </c>
      <c r="D1478" s="2" t="str">
        <v>Cái</v>
      </c>
      <c r="E1478" s="2" t="str">
        <v>15</v>
      </c>
      <c r="F1478" s="2" t="str">
        <v>481481.48</v>
      </c>
      <c r="G1478" s="19" t="n">
        <v>7800000</v>
      </c>
      <c r="H1478" s="2" t="str">
        <v>2.xlsx | 订单!Q1420</v>
      </c>
    </row>
    <row r="1479" ht="26" customHeight="1">
      <c r="A1479" s="2" t="str">
        <v>S2-01417-BH</v>
      </c>
      <c r="B1479" s="2" t="str">
        <v>INP6011</v>
      </c>
      <c r="C1479" s="20" t="str">
        <v>Nồi cơm điện INP6011 (1,8L)</v>
      </c>
      <c r="D1479" s="2" t="str">
        <v>Cái</v>
      </c>
      <c r="E1479" s="2" t="str">
        <v>15</v>
      </c>
      <c r="F1479" s="2" t="str">
        <v>574074.07</v>
      </c>
      <c r="G1479" s="19" t="n">
        <v>9300000</v>
      </c>
      <c r="H1479" s="2" t="str">
        <v>2.xlsx | 订单!Q1421</v>
      </c>
    </row>
    <row r="1480" ht="26" customHeight="1">
      <c r="A1480" s="2" t="str">
        <v>S2-01417-BH</v>
      </c>
      <c r="B1480" s="2" t="str">
        <v>INP1301A</v>
      </c>
      <c r="C1480" s="20" t="str">
        <v>Nồi mã INP1301A</v>
      </c>
      <c r="D1480" s="2" t="str">
        <v>Cái</v>
      </c>
      <c r="E1480" s="2" t="str">
        <v>30</v>
      </c>
      <c r="F1480" s="2" t="str">
        <v>78703.7</v>
      </c>
      <c r="G1480" s="19" t="n">
        <v>2549999</v>
      </c>
      <c r="H1480" s="2" t="str">
        <v>2.xlsx | 订单!Q1422</v>
      </c>
    </row>
    <row r="1481" ht="26" customHeight="1">
      <c r="A1481" s="2" t="str">
        <v>S2-01417-BH</v>
      </c>
      <c r="B1481" s="2" t="str">
        <v>INP1301B</v>
      </c>
      <c r="C1481" s="20" t="str">
        <v>Nồi mã INP1301B</v>
      </c>
      <c r="D1481" s="2" t="str">
        <v>Cái</v>
      </c>
      <c r="E1481" s="2" t="str">
        <v>30</v>
      </c>
      <c r="F1481" s="2" t="str">
        <v>111111.11</v>
      </c>
      <c r="G1481" s="19" t="n">
        <v>3600000</v>
      </c>
      <c r="H1481" s="2" t="str">
        <v>2.xlsx | 订单!Q1423</v>
      </c>
    </row>
    <row r="1482" ht="26" customHeight="1">
      <c r="A1482" s="2" t="str">
        <v>S2-01417-BH</v>
      </c>
      <c r="B1482" s="2" t="str">
        <v>INP3002</v>
      </c>
      <c r="C1482" s="20" t="str">
        <v>Nồi gang tráng menINP3002</v>
      </c>
      <c r="D1482" s="2" t="str">
        <v>Cái</v>
      </c>
      <c r="E1482" s="2" t="str">
        <v>4</v>
      </c>
      <c r="F1482" s="2" t="str">
        <v>569444.44</v>
      </c>
      <c r="G1482" s="19" t="n">
        <v>2460000</v>
      </c>
      <c r="H1482" s="2" t="str">
        <v>2.xlsx | 订单!Q1424</v>
      </c>
    </row>
    <row r="1483" ht="26" customHeight="1">
      <c r="A1483" s="2" t="str">
        <v>S2-01417-BH</v>
      </c>
      <c r="B1483" s="2" t="str">
        <v>INP3004</v>
      </c>
      <c r="C1483" s="20" t="str">
        <v>Nồi gang tráng menINP3004</v>
      </c>
      <c r="D1483" s="2" t="str">
        <v>Cái</v>
      </c>
      <c r="E1483" s="2" t="str">
        <v>4</v>
      </c>
      <c r="F1483" s="2" t="str">
        <v>358333.33</v>
      </c>
      <c r="G1483" s="19" t="n">
        <v>1548000</v>
      </c>
      <c r="H1483" s="2" t="str">
        <v>2.xlsx | 订单!Q1425</v>
      </c>
    </row>
    <row r="1484" ht="26" customHeight="1">
      <c r="A1484" s="2" t="str">
        <v>S2-01417-BH</v>
      </c>
      <c r="B1484" s="2" t="str">
        <v>INP3005</v>
      </c>
      <c r="C1484" s="20" t="str">
        <v>Nồi gang tráng menINP3005</v>
      </c>
      <c r="D1484" s="2" t="str">
        <v>Cái</v>
      </c>
      <c r="E1484" s="2" t="str">
        <v>4</v>
      </c>
      <c r="F1484" s="2" t="str">
        <v>398148.15</v>
      </c>
      <c r="G1484" s="19" t="n">
        <v>1720000</v>
      </c>
      <c r="H1484" s="2" t="str">
        <v>2.xlsx | 订单!Q1426</v>
      </c>
    </row>
    <row r="1485" ht="26" customHeight="1">
      <c r="A1485" s="2" t="str">
        <v>S2-01417-BH</v>
      </c>
      <c r="B1485" s="2" t="str">
        <v>INP3201</v>
      </c>
      <c r="C1485" s="20" t="str">
        <v>Chảo gang tráng menINP3201</v>
      </c>
      <c r="D1485" s="2" t="str">
        <v>Cái</v>
      </c>
      <c r="E1485" s="2" t="str">
        <v>6</v>
      </c>
      <c r="F1485" s="2" t="str">
        <v>240740.74</v>
      </c>
      <c r="G1485" s="19" t="n">
        <v>1560000</v>
      </c>
      <c r="H1485" s="2" t="str">
        <v>2.xlsx | 订单!Q1427</v>
      </c>
    </row>
    <row r="1486" ht="26" customHeight="1">
      <c r="A1486" s="2" t="str">
        <v>S2-01417-BH</v>
      </c>
      <c r="B1486" s="2" t="str">
        <v>INP3202</v>
      </c>
      <c r="C1486" s="20" t="str">
        <v>Chảo gang tráng menINP3202</v>
      </c>
      <c r="D1486" s="2" t="str">
        <v>Cái</v>
      </c>
      <c r="E1486" s="2" t="str">
        <v>6</v>
      </c>
      <c r="F1486" s="2" t="str">
        <v>342592.59</v>
      </c>
      <c r="G1486" s="19" t="n">
        <v>2220000</v>
      </c>
      <c r="H1486" s="2" t="str">
        <v>2.xlsx | 订单!Q1428</v>
      </c>
    </row>
    <row r="1487" ht="26" customHeight="1">
      <c r="A1487" s="2" t="str">
        <v>S2-01417-BH</v>
      </c>
      <c r="B1487" s="2" t="str">
        <v>INP2101</v>
      </c>
      <c r="C1487" s="20" t="str">
        <v>Chảo inox chống dính đúc nguyên khốiINP2101</v>
      </c>
      <c r="D1487" s="2" t="str">
        <v>Cái</v>
      </c>
      <c r="E1487" s="2" t="str">
        <v>20</v>
      </c>
      <c r="F1487" s="2" t="str">
        <v>234259.26</v>
      </c>
      <c r="G1487" s="19" t="n">
        <v>5060000</v>
      </c>
      <c r="H1487" s="2" t="str">
        <v>2.xlsx | 订单!Q1429</v>
      </c>
    </row>
    <row r="1488" ht="26" customHeight="1">
      <c r="A1488" s="2" t="str">
        <v>S2-01417-BH</v>
      </c>
      <c r="B1488" s="2" t="str">
        <v>INP2102</v>
      </c>
      <c r="C1488" s="20" t="str">
        <v>Chảo inox chống dính đúc nguyên khốiINP2102</v>
      </c>
      <c r="D1488" s="2" t="str">
        <v>Cái</v>
      </c>
      <c r="E1488" s="2" t="str">
        <v>20</v>
      </c>
      <c r="F1488" s="2" t="str">
        <v>256481.48</v>
      </c>
      <c r="G1488" s="19" t="n">
        <v>5540000</v>
      </c>
      <c r="H1488" s="2" t="str">
        <v>2.xlsx | 订单!Q1430</v>
      </c>
    </row>
    <row r="1489" ht="26" customHeight="1">
      <c r="A1489" s="2" t="str">
        <v>S2-01417-BH</v>
      </c>
      <c r="B1489" s="2" t="str">
        <v>INP2103</v>
      </c>
      <c r="C1489" s="20" t="str">
        <v>Chảo inox chống dính đúc nguyên khốiINP2103</v>
      </c>
      <c r="D1489" s="2" t="str">
        <v>Cái</v>
      </c>
      <c r="E1489" s="2" t="str">
        <v>20</v>
      </c>
      <c r="F1489" s="2" t="str">
        <v>281481.48</v>
      </c>
      <c r="G1489" s="19" t="n">
        <v>6080000</v>
      </c>
      <c r="H1489" s="2" t="str">
        <v>2.xlsx | 订单!Q1431</v>
      </c>
    </row>
    <row r="1490" ht="26" customHeight="1">
      <c r="A1490" s="2" t="str">
        <v>S2-01417-BH</v>
      </c>
      <c r="B1490" s="2" t="str">
        <v>INP2104</v>
      </c>
      <c r="C1490" s="20" t="str">
        <v>Chảo inox chống dính đúc nguyên khối INP2104</v>
      </c>
      <c r="D1490" s="2" t="str">
        <v>Cái</v>
      </c>
      <c r="E1490" s="2" t="str">
        <v>20</v>
      </c>
      <c r="F1490" s="2" t="str">
        <v>298148.15</v>
      </c>
      <c r="G1490" s="19" t="n">
        <v>6440000</v>
      </c>
      <c r="H1490" s="2" t="str">
        <v>2.xlsx | 订单!Q1432</v>
      </c>
    </row>
    <row r="1491" ht="26" customHeight="1">
      <c r="A1491" s="2" t="str">
        <v>S2-01206-BH</v>
      </c>
      <c r="B1491" s="2" t="str">
        <v>INP2003</v>
      </c>
      <c r="C1491" s="20" t="str">
        <v>Bộ nồi inox INP2003</v>
      </c>
      <c r="D1491" s="2" t="str">
        <v>bộ </v>
      </c>
      <c r="E1491" s="2" t="str">
        <v>1</v>
      </c>
      <c r="F1491" s="2" t="str">
        <v>1185185.18</v>
      </c>
      <c r="G1491" s="19" t="n">
        <v>1280000</v>
      </c>
      <c r="H1491" s="2" t="str">
        <v>2.xlsx | 订单!Q1206</v>
      </c>
    </row>
    <row r="1492" ht="26" customHeight="1">
      <c r="A1492" s="2" t="str">
        <v>S2-01206-BH</v>
      </c>
      <c r="B1492" s="2" t="str">
        <v>INP2301</v>
      </c>
      <c r="C1492" s="20" t="str">
        <v>Chảo rán INP2301</v>
      </c>
      <c r="D1492" s="2" t="str">
        <v>bộ </v>
      </c>
      <c r="E1492" s="2" t="str">
        <v>1</v>
      </c>
      <c r="F1492" s="2" t="str">
        <v>416666.67</v>
      </c>
      <c r="G1492" s="19" t="n">
        <v>450000</v>
      </c>
      <c r="H1492" s="2" t="str">
        <v>2.xlsx | 订单!Q1207</v>
      </c>
    </row>
    <row r="1493" ht="26" customHeight="1">
      <c r="A1493" s="2" t="str">
        <v>S2-01395-BH</v>
      </c>
      <c r="B1493" s="2" t="str">
        <v>INP3005</v>
      </c>
      <c r="C1493" s="20" t="str">
        <v>Nồi gang tráng menINP3005</v>
      </c>
      <c r="D1493" s="2" t="str">
        <v>Cái</v>
      </c>
      <c r="E1493" s="2" t="str">
        <v>1</v>
      </c>
      <c r="F1493" s="2" t="str">
        <v>398148.15</v>
      </c>
      <c r="G1493" s="19" t="n">
        <v>430000</v>
      </c>
      <c r="H1493" s="2" t="str">
        <v>2.xlsx | 订单!Q1395</v>
      </c>
    </row>
    <row r="1494" ht="26" customHeight="1">
      <c r="A1494" s="2" t="str">
        <v>S2-01703-BH</v>
      </c>
      <c r="B1494" s="2" t="str">
        <v>INP1001</v>
      </c>
      <c r="C1494" s="20" t="str">
        <v>Bộ nồi inox INP1001</v>
      </c>
      <c r="D1494" s="2" t="str">
        <v>Cái</v>
      </c>
      <c r="E1494" s="2" t="str">
        <v>2</v>
      </c>
      <c r="F1494" s="2" t="str">
        <v>480555.56</v>
      </c>
      <c r="G1494" s="19" t="n">
        <v>1038000</v>
      </c>
      <c r="H1494" s="2" t="str">
        <v>2.xlsx | 订单!Q1703</v>
      </c>
    </row>
    <row r="1495" ht="26" customHeight="1">
      <c r="A1495" s="2" t="str">
        <v>S2-01703-BH</v>
      </c>
      <c r="B1495" s="2" t="str">
        <v>INP1002</v>
      </c>
      <c r="C1495" s="20" t="str">
        <v>Bộ nồi inox  INP1002</v>
      </c>
      <c r="D1495" s="2" t="str">
        <v>Cái</v>
      </c>
      <c r="E1495" s="2" t="str">
        <v>2</v>
      </c>
      <c r="F1495" s="2" t="str">
        <v>647222.22</v>
      </c>
      <c r="G1495" s="19" t="n">
        <v>1398000</v>
      </c>
      <c r="H1495" s="2" t="str">
        <v>2.xlsx | 订单!Q1704</v>
      </c>
    </row>
    <row r="1496" ht="26" customHeight="1">
      <c r="A1496" s="2" t="str">
        <v>S2-01703-BH</v>
      </c>
      <c r="B1496" s="2" t="str">
        <v>INP1401</v>
      </c>
      <c r="C1496" s="20" t="str">
        <v>Nồi áp suất 4.5L INP1401</v>
      </c>
      <c r="D1496" s="2" t="str">
        <v>Cái</v>
      </c>
      <c r="E1496" s="2" t="str">
        <v>2</v>
      </c>
      <c r="F1496" s="2" t="str">
        <v>824074.07</v>
      </c>
      <c r="G1496" s="19" t="n">
        <v>1780000</v>
      </c>
      <c r="H1496" s="2" t="str">
        <v>2.xlsx | 订单!Q1705</v>
      </c>
    </row>
    <row r="1497" ht="26" customHeight="1">
      <c r="A1497" s="2" t="str">
        <v>S2-01703-BH</v>
      </c>
      <c r="B1497" s="2" t="str">
        <v>INP1503</v>
      </c>
      <c r="C1497" s="20" t="str">
        <v>Ấm đun nước 5L INP1503</v>
      </c>
      <c r="D1497" s="2" t="str">
        <v>Cái</v>
      </c>
      <c r="E1497" s="2" t="str">
        <v>12</v>
      </c>
      <c r="F1497" s="2" t="str">
        <v>148148.15</v>
      </c>
      <c r="G1497" s="19" t="n">
        <v>1920000</v>
      </c>
      <c r="H1497" s="2" t="str">
        <v>2.xlsx | 订单!Q1706</v>
      </c>
    </row>
    <row r="1498" ht="26" customHeight="1">
      <c r="A1498" s="2" t="str">
        <v>S2-01703-BH</v>
      </c>
      <c r="B1498" s="2" t="str">
        <v>INP2002</v>
      </c>
      <c r="C1498" s="20" t="str">
        <v>Bộ nồi inox  INP2002</v>
      </c>
      <c r="D1498" s="2" t="str">
        <v>Cái</v>
      </c>
      <c r="E1498" s="2" t="str">
        <v>2</v>
      </c>
      <c r="F1498" s="2" t="str">
        <v>851851.85</v>
      </c>
      <c r="G1498" s="19" t="n">
        <v>1840000</v>
      </c>
      <c r="H1498" s="2" t="str">
        <v>2.xlsx | 订单!Q1707</v>
      </c>
    </row>
    <row r="1499" ht="26" customHeight="1">
      <c r="A1499" s="2" t="str">
        <v>S2-01703-BH</v>
      </c>
      <c r="B1499" s="2" t="str">
        <v>INP2301</v>
      </c>
      <c r="C1499" s="20" t="str">
        <v>Chảo rán INP2301</v>
      </c>
      <c r="D1499" s="2" t="str">
        <v>Cái</v>
      </c>
      <c r="E1499" s="2" t="str">
        <v>6</v>
      </c>
      <c r="F1499" s="2" t="str">
        <v>416666.67</v>
      </c>
      <c r="G1499" s="19" t="n">
        <v>2700000</v>
      </c>
      <c r="H1499" s="2" t="str">
        <v>2.xlsx | 订单!Q1708</v>
      </c>
    </row>
    <row r="1500" ht="26" customHeight="1">
      <c r="A1500" s="2" t="str">
        <v>S2-01703-BH</v>
      </c>
      <c r="B1500" s="2" t="str">
        <v>INP3201</v>
      </c>
      <c r="C1500" s="20" t="str">
        <v>Chảo gang tráng menINP3201</v>
      </c>
      <c r="D1500" s="2" t="str">
        <v>Cái</v>
      </c>
      <c r="E1500" s="2" t="str">
        <v>6</v>
      </c>
      <c r="F1500" s="2" t="str">
        <v>240740.74</v>
      </c>
      <c r="G1500" s="19" t="n">
        <v>1560000</v>
      </c>
      <c r="H1500" s="2" t="str">
        <v>2.xlsx | 订单!Q1709</v>
      </c>
    </row>
    <row r="1501" ht="26" customHeight="1">
      <c r="A1501" s="2" t="str">
        <v>S2-01703-BH</v>
      </c>
      <c r="B1501" s="2" t="str">
        <v>INP3202</v>
      </c>
      <c r="C1501" s="20" t="str">
        <v>Chảo gang tráng menINP3202</v>
      </c>
      <c r="D1501" s="2" t="str">
        <v>Cái</v>
      </c>
      <c r="E1501" s="2" t="str">
        <v>6</v>
      </c>
      <c r="F1501" s="2" t="str">
        <v>342592.59</v>
      </c>
      <c r="G1501" s="19" t="n">
        <v>2220000</v>
      </c>
      <c r="H1501" s="2" t="str">
        <v>2.xlsx | 订单!Q1710</v>
      </c>
    </row>
    <row r="1502" ht="26" customHeight="1">
      <c r="A1502" s="2" t="str">
        <v>S2-01703-BH</v>
      </c>
      <c r="B1502" s="2" t="str">
        <v>INP6001</v>
      </c>
      <c r="C1502" s="20" t="str">
        <v>Nồi cơm điện tử (Nồi cơm điện đa năng giảm đường) INP6001</v>
      </c>
      <c r="D1502" s="2" t="str">
        <v>Cái</v>
      </c>
      <c r="E1502" s="2" t="str">
        <v>4</v>
      </c>
      <c r="F1502" s="2" t="str">
        <v>1138888.89</v>
      </c>
      <c r="G1502" s="19" t="n">
        <v>4920000</v>
      </c>
      <c r="H1502" s="2" t="str">
        <v>2.xlsx | 订单!Q1711</v>
      </c>
    </row>
    <row r="1503" ht="26" customHeight="1">
      <c r="A1503" s="2" t="str">
        <v>S2-01703-BH</v>
      </c>
      <c r="B1503" s="2" t="str">
        <v>INP6002</v>
      </c>
      <c r="C1503" s="20" t="str">
        <v>Nồi cơm điện tử (Nồi cơm điện đa năng giảm đường) INP6002</v>
      </c>
      <c r="D1503" s="2" t="str">
        <v>Cái</v>
      </c>
      <c r="E1503" s="2" t="str">
        <v>4</v>
      </c>
      <c r="F1503" s="2" t="str">
        <v>1097222.22</v>
      </c>
      <c r="G1503" s="19" t="n">
        <v>4740000</v>
      </c>
      <c r="H1503" s="2" t="str">
        <v>2.xlsx | 订单!Q1712</v>
      </c>
    </row>
    <row r="1504" ht="26" customHeight="1">
      <c r="A1504" s="2" t="str">
        <v>S2-01703-BH</v>
      </c>
      <c r="B1504" s="2" t="str">
        <v>INP6102</v>
      </c>
      <c r="C1504" s="20" t="str">
        <v>Bếp từ đơn INP6102 ( 2500W), 2 quạt tản</v>
      </c>
      <c r="D1504" s="2" t="str">
        <v>Cái</v>
      </c>
      <c r="E1504" s="2" t="str">
        <v>6</v>
      </c>
      <c r="F1504" s="2" t="str">
        <v>937962.96</v>
      </c>
      <c r="G1504" s="19" t="n">
        <v>6078000</v>
      </c>
      <c r="H1504" s="2" t="str">
        <v>2.xlsx | 订单!Q1713</v>
      </c>
    </row>
    <row r="1505" ht="26" customHeight="1">
      <c r="A1505" s="2" t="str">
        <v>S2-01703-BH</v>
      </c>
      <c r="B1505" s="2" t="str">
        <v>INP6104</v>
      </c>
      <c r="C1505" s="20" t="str">
        <v>Bếp từ đơn INP6104 ( 2500W ) </v>
      </c>
      <c r="D1505" s="2" t="str">
        <v>Cái</v>
      </c>
      <c r="E1505" s="2" t="str">
        <v>6</v>
      </c>
      <c r="F1505" s="2" t="str">
        <v>1007407.41</v>
      </c>
      <c r="G1505" s="19" t="n">
        <v>6528000</v>
      </c>
      <c r="H1505" s="2" t="str">
        <v>2.xlsx | 订单!Q1714</v>
      </c>
    </row>
    <row r="1506" ht="26" customHeight="1">
      <c r="A1506" s="2" t="str">
        <v>S2-01511-BH</v>
      </c>
      <c r="B1506" s="2" t="str">
        <v>INP1003</v>
      </c>
      <c r="C1506" s="20" t="str">
        <v>Bộ nồi Inox INP1003 </v>
      </c>
      <c r="D1506" s="2" t="str">
        <v>Cái</v>
      </c>
      <c r="E1506" s="2" t="str">
        <v>12</v>
      </c>
      <c r="F1506" s="2" t="str">
        <v>333333.33</v>
      </c>
      <c r="G1506" s="19" t="n">
        <v>4320000</v>
      </c>
      <c r="H1506" s="2" t="str">
        <v>2.xlsx | 订单!Q1511</v>
      </c>
    </row>
    <row r="1507" ht="26" customHeight="1">
      <c r="A1507" s="2" t="str">
        <v>S2-01511-BH</v>
      </c>
      <c r="B1507" s="2" t="str">
        <v>INP7901</v>
      </c>
      <c r="C1507" s="20" t="str">
        <v>Vợt muỗi điện INP7901</v>
      </c>
      <c r="D1507" s="2" t="str">
        <v>Cái</v>
      </c>
      <c r="E1507" s="2" t="str">
        <v>40</v>
      </c>
      <c r="F1507" s="2" t="str">
        <v>69444.44</v>
      </c>
      <c r="G1507" s="19" t="n">
        <v>3000000</v>
      </c>
      <c r="H1507" s="2" t="str">
        <v>2.xlsx | 订单!Q1518</v>
      </c>
    </row>
    <row r="1508" ht="26" customHeight="1">
      <c r="A1508" s="2" t="str">
        <v>S2-01511-BH</v>
      </c>
      <c r="B1508" s="2" t="str">
        <v>INP7902</v>
      </c>
      <c r="C1508" s="20" t="str">
        <v>Vợt muỗi điện INP7902</v>
      </c>
      <c r="D1508" s="2" t="str">
        <v>Cái</v>
      </c>
      <c r="E1508" s="2" t="str">
        <v>40</v>
      </c>
      <c r="F1508" s="2" t="str">
        <v>97222.22</v>
      </c>
      <c r="G1508" s="19" t="n">
        <v>4200000</v>
      </c>
      <c r="H1508" s="2" t="str">
        <v>2.xlsx | 订单!Q1519</v>
      </c>
    </row>
    <row r="1509" ht="26" customHeight="1">
      <c r="A1509" s="2" t="str">
        <v>S2-01511-BH</v>
      </c>
      <c r="B1509" s="2" t="str">
        <v>INP6004</v>
      </c>
      <c r="C1509" s="20" t="str">
        <v>Nồi cơm điện INP6004 (1,2L)</v>
      </c>
      <c r="D1509" s="2" t="str">
        <v>Cái</v>
      </c>
      <c r="E1509" s="2" t="str">
        <v>15</v>
      </c>
      <c r="F1509" s="2" t="str">
        <v>537037.04</v>
      </c>
      <c r="G1509" s="19" t="n">
        <v>8700000</v>
      </c>
      <c r="H1509" s="2" t="str">
        <v>2.xlsx | 订单!Q1512</v>
      </c>
    </row>
    <row r="1510" ht="26" customHeight="1">
      <c r="A1510" s="2" t="str">
        <v>S2-01511-BH</v>
      </c>
      <c r="B1510" s="2" t="str">
        <v>INP6005</v>
      </c>
      <c r="C1510" s="20" t="str">
        <v>Nồi cơm điện INP6005 (1,8L)</v>
      </c>
      <c r="D1510" s="2" t="str">
        <v>Cái</v>
      </c>
      <c r="E1510" s="2" t="str">
        <v>15</v>
      </c>
      <c r="F1510" s="2" t="str">
        <v>638888.89</v>
      </c>
      <c r="G1510" s="19" t="n">
        <v>10350000</v>
      </c>
      <c r="H1510" s="2" t="str">
        <v>2.xlsx | 订单!Q1513</v>
      </c>
    </row>
    <row r="1511" ht="26" customHeight="1">
      <c r="A1511" s="2" t="str">
        <v>S2-01511-BH</v>
      </c>
      <c r="B1511" s="2" t="str">
        <v>INP6006</v>
      </c>
      <c r="C1511" s="20" t="str">
        <v>Nồi cơm điện INP6006 (1,2L)</v>
      </c>
      <c r="D1511" s="2" t="str">
        <v>Cái</v>
      </c>
      <c r="E1511" s="2" t="str">
        <v>15</v>
      </c>
      <c r="F1511" s="2" t="str">
        <v>527777.78</v>
      </c>
      <c r="G1511" s="19" t="n">
        <v>8550000</v>
      </c>
      <c r="H1511" s="2" t="str">
        <v>2.xlsx | 订单!Q1514</v>
      </c>
    </row>
    <row r="1512" ht="26" customHeight="1">
      <c r="A1512" s="2" t="str">
        <v>S2-01511-BH</v>
      </c>
      <c r="B1512" s="2" t="str">
        <v>INP6010</v>
      </c>
      <c r="C1512" s="20" t="str">
        <v>Nồi cơm điện INP6010 (1,2L)</v>
      </c>
      <c r="D1512" s="2" t="str">
        <v>Cái</v>
      </c>
      <c r="E1512" s="2" t="str">
        <v>15</v>
      </c>
      <c r="F1512" s="2" t="str">
        <v>481481.48</v>
      </c>
      <c r="G1512" s="19" t="n">
        <v>7800000</v>
      </c>
      <c r="H1512" s="2" t="str">
        <v>2.xlsx | 订单!Q1515</v>
      </c>
    </row>
    <row r="1513" ht="26" customHeight="1">
      <c r="A1513" s="2" t="str">
        <v>S2-01511-BH</v>
      </c>
      <c r="B1513" s="2" t="str">
        <v>INP6011</v>
      </c>
      <c r="C1513" s="20" t="str">
        <v>Nồi cơm điện INP6011 (1,8L)</v>
      </c>
      <c r="D1513" s="2" t="str">
        <v>Cái</v>
      </c>
      <c r="E1513" s="2" t="str">
        <v>15</v>
      </c>
      <c r="F1513" s="2" t="str">
        <v>574074.07</v>
      </c>
      <c r="G1513" s="19" t="n">
        <v>9300000</v>
      </c>
      <c r="H1513" s="2" t="str">
        <v>2.xlsx | 订单!Q1516</v>
      </c>
    </row>
    <row r="1514" ht="26" customHeight="1">
      <c r="A1514" s="2" t="str">
        <v>S2-01511-BH</v>
      </c>
      <c r="B1514" s="2" t="str">
        <v>INP6701</v>
      </c>
      <c r="C1514" s="20" t="str">
        <v>Máy xay thực phẩm INP6701</v>
      </c>
      <c r="D1514" s="2" t="str">
        <v>Cái</v>
      </c>
      <c r="E1514" s="2" t="str">
        <v>16</v>
      </c>
      <c r="F1514" s="2" t="str">
        <v>382407.41</v>
      </c>
      <c r="G1514" s="19" t="n">
        <v>6608000</v>
      </c>
      <c r="H1514" s="2" t="str">
        <v>2.xlsx | 订单!Q1517</v>
      </c>
    </row>
    <row r="1515" ht="26" customHeight="1">
      <c r="A1515" s="2" t="str">
        <v>S2-01670-BH</v>
      </c>
      <c r="B1515" s="2" t="str">
        <v>INP6005</v>
      </c>
      <c r="C1515" s="20" t="str">
        <v>Nồi cơm điện INP6005 (1,8L)</v>
      </c>
      <c r="D1515" s="2" t="str">
        <v>Cái</v>
      </c>
      <c r="E1515" s="2" t="str">
        <v>15</v>
      </c>
      <c r="F1515" s="2" t="str">
        <v>638888.89</v>
      </c>
      <c r="G1515" s="19" t="n">
        <v>10350000</v>
      </c>
      <c r="H1515" s="2" t="str">
        <v>2.xlsx | 订单!Q1670</v>
      </c>
    </row>
    <row r="1516" ht="26" customHeight="1">
      <c r="A1516" s="2" t="str">
        <v>S2-01670-BH</v>
      </c>
      <c r="B1516" s="2" t="str">
        <v>INP6006</v>
      </c>
      <c r="C1516" s="20" t="str">
        <v>Nồi cơm điện INP6006 (1,2L)</v>
      </c>
      <c r="D1516" s="2" t="str">
        <v>Cái</v>
      </c>
      <c r="E1516" s="2" t="str">
        <v>15</v>
      </c>
      <c r="F1516" s="2" t="str">
        <v>527777.78</v>
      </c>
      <c r="G1516" s="19" t="n">
        <v>8550000</v>
      </c>
      <c r="H1516" s="2" t="str">
        <v>2.xlsx | 订单!Q1671</v>
      </c>
    </row>
    <row r="1517" ht="26" customHeight="1">
      <c r="A1517" s="2" t="str">
        <v>S2-01792-BH</v>
      </c>
      <c r="B1517" s="2" t="str">
        <v>INP6007</v>
      </c>
      <c r="C1517" s="20" t="str">
        <v>Nồi cơm điện INP6007 (1,8L)</v>
      </c>
      <c r="D1517" s="2" t="str">
        <v>Cái</v>
      </c>
      <c r="E1517" s="2" t="str">
        <v>15</v>
      </c>
      <c r="F1517" s="2" t="str">
        <v>629629.63</v>
      </c>
      <c r="G1517" s="19" t="n">
        <v>10200000</v>
      </c>
      <c r="H1517" s="2" t="str">
        <v>2.xlsx | 订单!Q1792</v>
      </c>
    </row>
    <row r="1518" ht="26" customHeight="1">
      <c r="A1518" s="2" t="str">
        <v>S2-02091-BH</v>
      </c>
      <c r="B1518" s="2" t="str">
        <v>INP1401</v>
      </c>
      <c r="C1518" s="20" t="str">
        <v>Nồi áp suất 4.5L INP1401</v>
      </c>
      <c r="D1518" s="2" t="str">
        <v>Cái</v>
      </c>
      <c r="E1518" s="2" t="str">
        <v>6</v>
      </c>
      <c r="F1518" s="2" t="str">
        <v>824074.07</v>
      </c>
      <c r="G1518" s="19" t="n">
        <v>5339999.97</v>
      </c>
      <c r="H1518" s="2" t="str">
        <v>2.xlsx | 订单!Q2091</v>
      </c>
    </row>
    <row r="1519" ht="26" customHeight="1">
      <c r="A1519" s="2" t="str">
        <v>S2-02091-BH</v>
      </c>
      <c r="B1519" s="2" t="str">
        <v>INP1402</v>
      </c>
      <c r="C1519" s="20" t="str">
        <v>Nồi áp suất 6L INP1402</v>
      </c>
      <c r="D1519" s="2" t="str">
        <v>Cái</v>
      </c>
      <c r="E1519" s="2" t="str">
        <v>6</v>
      </c>
      <c r="F1519" s="2" t="str">
        <v>937962.96</v>
      </c>
      <c r="G1519" s="19" t="n">
        <v>6077999.98</v>
      </c>
      <c r="H1519" s="2" t="str">
        <v>2.xlsx | 订单!Q2092</v>
      </c>
    </row>
    <row r="1520" ht="26" customHeight="1">
      <c r="A1520" s="2" t="str">
        <v>S2-02091-BH</v>
      </c>
      <c r="B1520" s="2" t="str">
        <v>INP2002</v>
      </c>
      <c r="C1520" s="20" t="str">
        <v>Bộ nồi inox đúc nguyên khối INP2002</v>
      </c>
      <c r="D1520" s="2" t="str">
        <v>Cái</v>
      </c>
      <c r="E1520" s="2" t="str">
        <v>15</v>
      </c>
      <c r="F1520" s="2" t="str">
        <v>851851.85</v>
      </c>
      <c r="G1520" s="19" t="n">
        <v>13799999.97</v>
      </c>
      <c r="H1520" s="2" t="str">
        <v>2.xlsx | 订单!Q2093</v>
      </c>
    </row>
    <row r="1521" ht="26" customHeight="1">
      <c r="A1521" s="2" t="str">
        <v>S2-02091-BH</v>
      </c>
      <c r="B1521" s="2" t="str">
        <v>INP2003</v>
      </c>
      <c r="C1521" s="20" t="str">
        <v>Bộ nồi inox INP2003</v>
      </c>
      <c r="D1521" s="2" t="str">
        <v>Cái</v>
      </c>
      <c r="E1521" s="2" t="str">
        <v>2</v>
      </c>
      <c r="F1521" s="2" t="str">
        <v>1185185.19</v>
      </c>
      <c r="G1521" s="19" t="n">
        <v>2560000.01</v>
      </c>
      <c r="H1521" s="2" t="str">
        <v>2.xlsx | 订单!Q2094</v>
      </c>
    </row>
    <row r="1522" ht="26" customHeight="1">
      <c r="A1522" s="2" t="str">
        <v>S2-02091-BH</v>
      </c>
      <c r="B1522" s="2" t="str">
        <v>INP6152</v>
      </c>
      <c r="C1522" s="20" t="str">
        <v>Bếp hồng ngoại INP6152</v>
      </c>
      <c r="D1522" s="2" t="str">
        <v>Cái</v>
      </c>
      <c r="E1522" s="2" t="str">
        <v>18</v>
      </c>
      <c r="F1522" s="2" t="str">
        <v>500000</v>
      </c>
      <c r="G1522" s="19" t="n">
        <v>9720000</v>
      </c>
      <c r="H1522" s="2" t="str">
        <v>2.xlsx | 订单!Q2095</v>
      </c>
    </row>
    <row r="1523" ht="26" customHeight="1">
      <c r="A1523" s="2" t="str">
        <v>S2-02091-BH</v>
      </c>
      <c r="B1523" s="2" t="str">
        <v>INP6154</v>
      </c>
      <c r="C1523" s="20" t="str">
        <v>Bếp hồng ngoại INP6154</v>
      </c>
      <c r="D1523" s="2" t="str">
        <v>Cái</v>
      </c>
      <c r="E1523" s="2" t="str">
        <v>18</v>
      </c>
      <c r="F1523" s="2" t="str">
        <v>564814.81</v>
      </c>
      <c r="G1523" s="19" t="n">
        <v>10979999.91</v>
      </c>
      <c r="H1523" s="2" t="str">
        <v>2.xlsx | 订单!Q2096</v>
      </c>
    </row>
    <row r="1524" ht="26" customHeight="1">
      <c r="A1524" s="2" t="str">
        <v>S2-02091-BH</v>
      </c>
      <c r="B1524" s="2" t="str">
        <v>INP6207</v>
      </c>
      <c r="C1524" s="20" t="str">
        <v>Ấm siêu tốc INP6207</v>
      </c>
      <c r="D1524" s="2" t="str">
        <v>Cái</v>
      </c>
      <c r="E1524" s="2" t="str">
        <v>12</v>
      </c>
      <c r="F1524" s="2" t="str">
        <v>203703.7</v>
      </c>
      <c r="G1524" s="19" t="n">
        <v>2639999.95</v>
      </c>
      <c r="H1524" s="2" t="str">
        <v>2.xlsx | 订单!Q2097</v>
      </c>
    </row>
    <row r="1525" ht="26" customHeight="1">
      <c r="A1525" s="2" t="str">
        <v>S2-02091-BH</v>
      </c>
      <c r="B1525" s="2" t="str">
        <v>INP6208</v>
      </c>
      <c r="C1525" s="20" t="str">
        <v>Ấm siêu tốc INP6208</v>
      </c>
      <c r="D1525" s="2" t="str">
        <v>Cái</v>
      </c>
      <c r="E1525" s="2" t="str">
        <v>12</v>
      </c>
      <c r="F1525" s="2" t="str">
        <v>203703.7</v>
      </c>
      <c r="G1525" s="19" t="n">
        <v>2639999.95</v>
      </c>
      <c r="H1525" s="2" t="str">
        <v>2.xlsx | 订单!Q2098</v>
      </c>
    </row>
    <row r="1526" ht="26" customHeight="1">
      <c r="A1526" s="2" t="str">
        <v>S2-02091-BH</v>
      </c>
      <c r="B1526" s="2" t="str">
        <v>INP6209B</v>
      </c>
      <c r="C1526" s="20" t="str">
        <v>Ấm siêu tốc INP6209B</v>
      </c>
      <c r="D1526" s="2" t="str">
        <v>Cái</v>
      </c>
      <c r="E1526" s="2" t="str">
        <v>12</v>
      </c>
      <c r="F1526" s="2" t="str">
        <v>212962.96</v>
      </c>
      <c r="G1526" s="19" t="n">
        <v>2759999.97</v>
      </c>
      <c r="H1526" s="2" t="str">
        <v>2.xlsx | 订单!Q2099</v>
      </c>
    </row>
    <row r="1527" ht="26" customHeight="1">
      <c r="A1527" s="2" t="str">
        <v>S2-02113-BH</v>
      </c>
      <c r="B1527" s="2" t="str">
        <v>INP6101</v>
      </c>
      <c r="C1527" s="20" t="str">
        <v>Bếp từ đơn INP6101( 2200W, mặt kính màu sữa )</v>
      </c>
      <c r="D1527" s="2" t="str">
        <v>Cái</v>
      </c>
      <c r="E1527" s="2" t="str">
        <v>12</v>
      </c>
      <c r="F1527" s="2" t="str">
        <v>601851.85</v>
      </c>
      <c r="G1527" s="19" t="n">
        <v>7799999.98</v>
      </c>
      <c r="H1527" s="2" t="str">
        <v>2.xlsx | 订单!Q2113</v>
      </c>
    </row>
    <row r="1528" ht="26" customHeight="1">
      <c r="A1528" s="2" t="str">
        <v>S2-02113-BH</v>
      </c>
      <c r="B1528" s="2" t="str">
        <v>INP6105</v>
      </c>
      <c r="C1528" s="20" t="str">
        <v>Bếp từ đơn INP6105</v>
      </c>
      <c r="D1528" s="2" t="str">
        <v>Cái</v>
      </c>
      <c r="E1528" s="2" t="str">
        <v>12</v>
      </c>
      <c r="F1528" s="2" t="str">
        <v>675925.93</v>
      </c>
      <c r="G1528" s="19" t="n">
        <v>8760000.05</v>
      </c>
      <c r="H1528" s="2" t="str">
        <v>2.xlsx | 订单!Q2114</v>
      </c>
    </row>
    <row r="1529" ht="26" customHeight="1">
      <c r="A1529" s="2" t="str">
        <v>S2-02113-BH</v>
      </c>
      <c r="B1529" s="2" t="str">
        <v>INP6902</v>
      </c>
      <c r="C1529" s="20" t="str">
        <v>Nồi áp suất điện INP6902</v>
      </c>
      <c r="D1529" s="2" t="str">
        <v>Cái</v>
      </c>
      <c r="E1529" s="2" t="str">
        <v>12</v>
      </c>
      <c r="F1529" s="2" t="str">
        <v>814814.81</v>
      </c>
      <c r="G1529" s="19" t="n">
        <v>10559999.94</v>
      </c>
      <c r="H1529" s="2" t="str">
        <v>2.xlsx | 订单!Q2115</v>
      </c>
    </row>
    <row r="1530" ht="26" customHeight="1">
      <c r="A1530" s="2" t="str">
        <v>S2-02113-BH</v>
      </c>
      <c r="B1530" s="2" t="str">
        <v>INP6207</v>
      </c>
      <c r="C1530" s="20" t="str">
        <v>Ấm siêu tốc INP6207</v>
      </c>
      <c r="D1530" s="2" t="str">
        <v>Cái</v>
      </c>
      <c r="E1530" s="2" t="str">
        <v>24</v>
      </c>
      <c r="F1530" s="2" t="str">
        <v>203703.7</v>
      </c>
      <c r="G1530" s="19" t="n">
        <v>5279999.91</v>
      </c>
      <c r="H1530" s="2" t="str">
        <v>2.xlsx | 订单!Q2116</v>
      </c>
    </row>
    <row r="1531" ht="26" customHeight="1">
      <c r="A1531" s="2" t="str">
        <v>S2-02113-BH</v>
      </c>
      <c r="B1531" s="2" t="str">
        <v>INP6208</v>
      </c>
      <c r="C1531" s="20" t="str">
        <v>Ấm siêu tốc INP6208</v>
      </c>
      <c r="D1531" s="2" t="str">
        <v>Cái</v>
      </c>
      <c r="E1531" s="2" t="str">
        <v>24</v>
      </c>
      <c r="F1531" s="2" t="str">
        <v>203703.7</v>
      </c>
      <c r="G1531" s="19" t="n">
        <v>5279999.9</v>
      </c>
      <c r="H1531" s="2" t="str">
        <v>2.xlsx | 订单!Q2117</v>
      </c>
    </row>
    <row r="1532" ht="26" customHeight="1">
      <c r="A1532" s="2" t="str">
        <v>S2-02113-BH</v>
      </c>
      <c r="B1532" s="2" t="str">
        <v>INP6209B</v>
      </c>
      <c r="C1532" s="20" t="str">
        <v>Ấm siêu tốc INP6209B</v>
      </c>
      <c r="D1532" s="2" t="str">
        <v>Cái</v>
      </c>
      <c r="E1532" s="2" t="str">
        <v>24</v>
      </c>
      <c r="F1532" s="2" t="str">
        <v>212962.96</v>
      </c>
      <c r="G1532" s="19" t="n">
        <v>5519999.92</v>
      </c>
      <c r="H1532" s="2" t="str">
        <v>2.xlsx | 订单!Q2118</v>
      </c>
    </row>
    <row r="1533" ht="26" customHeight="1">
      <c r="A1533" s="2" t="str">
        <v>S2-02113-BH</v>
      </c>
      <c r="B1533" s="2" t="str">
        <v>INP2003</v>
      </c>
      <c r="C1533" s="20" t="str">
        <v>Bộ nồi inox INP2003</v>
      </c>
      <c r="D1533" s="2" t="str">
        <v>Cái</v>
      </c>
      <c r="E1533" s="2" t="str">
        <v>13</v>
      </c>
      <c r="F1533" s="2" t="str">
        <v>1185185.19</v>
      </c>
      <c r="G1533" s="19" t="n">
        <v>16640000.07</v>
      </c>
      <c r="H1533" s="2" t="str">
        <v>2.xlsx | 订单!Q2119</v>
      </c>
    </row>
    <row r="1534" ht="26" customHeight="1">
      <c r="A1534" s="2" t="str">
        <v>S2-02204-TH</v>
      </c>
      <c r="B1534" s="2" t="str">
        <v>INP6902</v>
      </c>
      <c r="C1534" s="20" t="str">
        <v>Nồi áp suất INP6902</v>
      </c>
      <c r="D1534" s="2" t="str">
        <v>Cái</v>
      </c>
      <c r="E1534" s="2" t="str">
        <v>-3</v>
      </c>
      <c r="F1534" s="2" t="str">
        <v>814814.81</v>
      </c>
      <c r="G1534" s="19" t="n">
        <v>2640000</v>
      </c>
      <c r="H1534" s="2" t="str">
        <v>2.xlsx | 订单!Q2204</v>
      </c>
    </row>
    <row r="1535" ht="26" customHeight="1">
      <c r="A1535" s="2" t="str">
        <v>S2-02204-TH</v>
      </c>
      <c r="B1535" s="2" t="str">
        <v>INP7901</v>
      </c>
      <c r="C1535" s="20" t="str">
        <v>Vợt muỗi INP7901</v>
      </c>
      <c r="D1535" s="2" t="str">
        <v>Cái</v>
      </c>
      <c r="E1535" s="2" t="str">
        <v>-40</v>
      </c>
      <c r="F1535" s="2" t="str">
        <v>69444.44</v>
      </c>
      <c r="G1535" s="19" t="n">
        <v>3000000</v>
      </c>
      <c r="H1535" s="2" t="str">
        <v>2.xlsx | 订单!Q2205</v>
      </c>
    </row>
    <row r="1536" ht="26" customHeight="1">
      <c r="A1536" s="2" t="str">
        <v>S2-02204-TH</v>
      </c>
      <c r="B1536" s="2" t="str">
        <v>INP7902</v>
      </c>
      <c r="C1536" s="20" t="str">
        <v>Vợt muỗi INP7902</v>
      </c>
      <c r="D1536" s="2" t="str">
        <v>Cái</v>
      </c>
      <c r="E1536" s="2" t="str">
        <v>-40</v>
      </c>
      <c r="F1536" s="2" t="str">
        <v>97222.22</v>
      </c>
      <c r="G1536" s="19" t="n">
        <v>4200000</v>
      </c>
      <c r="H1536" s="2" t="str">
        <v>2.xlsx | 订单!Q2206</v>
      </c>
    </row>
    <row r="1537" ht="26" customHeight="1">
      <c r="A1537" s="2" t="str">
        <v>S2-02204-TH</v>
      </c>
      <c r="B1537" s="2" t="str">
        <v>INP1003</v>
      </c>
      <c r="C1537" s="20" t="str">
        <v>Bộ nồi inox INP1003</v>
      </c>
      <c r="D1537" s="2" t="str">
        <v>Cái</v>
      </c>
      <c r="E1537" s="2" t="str">
        <v>-12</v>
      </c>
      <c r="F1537" s="2" t="str">
        <v>333333.33</v>
      </c>
      <c r="G1537" s="19" t="n">
        <v>4320000</v>
      </c>
      <c r="H1537" s="2" t="str">
        <v>2.xlsx | 订单!Q2207</v>
      </c>
    </row>
    <row r="1538" ht="26" customHeight="1">
      <c r="A1538" s="2" t="str">
        <v>S2-01744-BH</v>
      </c>
      <c r="B1538" s="2" t="str">
        <v>INP1001</v>
      </c>
      <c r="C1538" s="20" t="str">
        <v>Bộ nồi inox INP1001</v>
      </c>
      <c r="D1538" s="2" t="str">
        <v>Cái</v>
      </c>
      <c r="E1538" s="2" t="str">
        <v>2</v>
      </c>
      <c r="F1538" s="2" t="str">
        <v>526851.85</v>
      </c>
      <c r="G1538" s="19" t="n">
        <v>1138000</v>
      </c>
      <c r="H1538" s="2" t="str">
        <v>2.xlsx | 订单!Q1744</v>
      </c>
    </row>
    <row r="1539" ht="26" customHeight="1">
      <c r="A1539" s="2" t="str">
        <v>S2-01744-BH</v>
      </c>
      <c r="B1539" s="2" t="str">
        <v>INP1002</v>
      </c>
      <c r="C1539" s="20" t="str">
        <v>Bộ nồi inox  INP1002</v>
      </c>
      <c r="D1539" s="2" t="str">
        <v>Cái</v>
      </c>
      <c r="E1539" s="2" t="str">
        <v>2</v>
      </c>
      <c r="F1539" s="2" t="str">
        <v>693518.52</v>
      </c>
      <c r="G1539" s="19" t="n">
        <v>1498000</v>
      </c>
      <c r="H1539" s="2" t="str">
        <v>2.xlsx | 订单!Q1745</v>
      </c>
    </row>
    <row r="1540" ht="26" customHeight="1">
      <c r="A1540" s="2" t="str">
        <v>S2-01744-BH</v>
      </c>
      <c r="B1540" s="2" t="str">
        <v>INP1003</v>
      </c>
      <c r="C1540" s="20" t="str">
        <v>Bộ nồi inox  INP1003</v>
      </c>
      <c r="D1540" s="2" t="str">
        <v>Cái</v>
      </c>
      <c r="E1540" s="2" t="str">
        <v>2</v>
      </c>
      <c r="F1540" s="2" t="str">
        <v>370370.37</v>
      </c>
      <c r="G1540" s="19" t="n">
        <v>800000</v>
      </c>
      <c r="H1540" s="2" t="str">
        <v>2.xlsx | 订单!Q1746</v>
      </c>
    </row>
    <row r="1541" ht="26" customHeight="1">
      <c r="A1541" s="2" t="str">
        <v>S2-01744-BH</v>
      </c>
      <c r="B1541" s="2" t="str">
        <v>INP1202</v>
      </c>
      <c r="C1541" s="20" t="str">
        <v>Nồi Inox INP1202</v>
      </c>
      <c r="D1541" s="2" t="str">
        <v>Cái</v>
      </c>
      <c r="E1541" s="2" t="str">
        <v>2</v>
      </c>
      <c r="F1541" s="2" t="str">
        <v>518518.52</v>
      </c>
      <c r="G1541" s="19" t="n">
        <v>1120000</v>
      </c>
      <c r="H1541" s="2" t="str">
        <v>2.xlsx | 订单!Q1747</v>
      </c>
    </row>
    <row r="1542" ht="26" customHeight="1">
      <c r="A1542" s="2" t="str">
        <v>S2-01744-BH</v>
      </c>
      <c r="B1542" s="2" t="str">
        <v>INP1301B</v>
      </c>
      <c r="C1542" s="20" t="str">
        <v>Nồi mã INP1301B</v>
      </c>
      <c r="D1542" s="2" t="str">
        <v>Cái</v>
      </c>
      <c r="E1542" s="2" t="str">
        <v>2</v>
      </c>
      <c r="F1542" s="2" t="str">
        <v>129629.63</v>
      </c>
      <c r="G1542" s="19" t="n">
        <v>280000</v>
      </c>
      <c r="H1542" s="2" t="str">
        <v>2.xlsx | 订单!Q1748</v>
      </c>
    </row>
    <row r="1543" ht="26" customHeight="1">
      <c r="A1543" s="2" t="str">
        <v>S2-01744-BH</v>
      </c>
      <c r="B1543" s="2" t="str">
        <v>INP1501</v>
      </c>
      <c r="C1543" s="20" t="str">
        <v>Ấm đun nước 3L INP1501</v>
      </c>
      <c r="D1543" s="2" t="str">
        <v>Cái</v>
      </c>
      <c r="E1543" s="2" t="str">
        <v>2</v>
      </c>
      <c r="F1543" s="2" t="str">
        <v>148148.15</v>
      </c>
      <c r="G1543" s="19" t="n">
        <v>320000</v>
      </c>
      <c r="H1543" s="2" t="str">
        <v>2.xlsx | 订单!Q1749</v>
      </c>
    </row>
    <row r="1544" ht="26" customHeight="1">
      <c r="A1544" s="2" t="str">
        <v>S2-01744-BH</v>
      </c>
      <c r="B1544" s="2" t="str">
        <v>INP2101</v>
      </c>
      <c r="C1544" s="20" t="str">
        <v>Chảo inox chống dính đúc nguyên khốiINP2101</v>
      </c>
      <c r="D1544" s="2" t="str">
        <v>Cái</v>
      </c>
      <c r="E1544" s="2" t="str">
        <v>2</v>
      </c>
      <c r="F1544" s="2" t="str">
        <v>252777.78</v>
      </c>
      <c r="G1544" s="19" t="n">
        <v>546000</v>
      </c>
      <c r="H1544" s="2" t="str">
        <v>2.xlsx | 订单!Q1750</v>
      </c>
    </row>
    <row r="1545" ht="26" customHeight="1">
      <c r="A1545" s="2" t="str">
        <v>S2-01744-BH</v>
      </c>
      <c r="B1545" s="2" t="str">
        <v>INP2102</v>
      </c>
      <c r="C1545" s="20" t="str">
        <v>Chảo inox chống dính đúc nguyên khốiINP2102</v>
      </c>
      <c r="D1545" s="2" t="str">
        <v>Cái</v>
      </c>
      <c r="E1545" s="2" t="str">
        <v>2</v>
      </c>
      <c r="F1545" s="2" t="str">
        <v>275000</v>
      </c>
      <c r="G1545" s="19" t="n">
        <v>594000</v>
      </c>
      <c r="H1545" s="2" t="str">
        <v>2.xlsx | 订单!Q1751</v>
      </c>
    </row>
    <row r="1546" ht="26" customHeight="1">
      <c r="A1546" s="2" t="str">
        <v>S2-01744-BH</v>
      </c>
      <c r="B1546" s="2" t="str">
        <v>INP2105</v>
      </c>
      <c r="C1546" s="20" t="str">
        <v>Chảo inox đúc nguyên khối (không chống dính)INP2105</v>
      </c>
      <c r="D1546" s="2" t="str">
        <v>Cái</v>
      </c>
      <c r="E1546" s="2" t="str">
        <v>2</v>
      </c>
      <c r="F1546" s="2" t="str">
        <v>259259.26</v>
      </c>
      <c r="G1546" s="19" t="n">
        <v>560000</v>
      </c>
      <c r="H1546" s="2" t="str">
        <v>2.xlsx | 订单!Q1752</v>
      </c>
    </row>
    <row r="1547" ht="26" customHeight="1">
      <c r="A1547" s="2" t="str">
        <v>S2-01744-BH</v>
      </c>
      <c r="B1547" s="2" t="str">
        <v>INP6002</v>
      </c>
      <c r="C1547" s="20" t="str">
        <v>Nồi cơm điện tử (Nồi cơm điện đa năng giảm đường) INP6002</v>
      </c>
      <c r="D1547" s="2" t="str">
        <v>Cái</v>
      </c>
      <c r="E1547" s="2" t="str">
        <v>2</v>
      </c>
      <c r="F1547" s="2" t="str">
        <v>1143518.52</v>
      </c>
      <c r="G1547" s="19" t="n">
        <v>2470000</v>
      </c>
      <c r="H1547" s="2" t="str">
        <v>2.xlsx | 订单!Q1753</v>
      </c>
    </row>
    <row r="1548" ht="26" customHeight="1">
      <c r="A1548" s="2" t="str">
        <v>S2-01744-BH</v>
      </c>
      <c r="B1548" s="2" t="str">
        <v>INP6003</v>
      </c>
      <c r="C1548" s="20" t="str">
        <v>Nồi cơm điện tử (Nồi cơm điện đa năng giảm đường) INP6003</v>
      </c>
      <c r="D1548" s="2" t="str">
        <v>Cái</v>
      </c>
      <c r="E1548" s="2" t="str">
        <v>2</v>
      </c>
      <c r="F1548" s="2" t="str">
        <v>898148.15</v>
      </c>
      <c r="G1548" s="19" t="n">
        <v>1940000</v>
      </c>
      <c r="H1548" s="2" t="str">
        <v>2.xlsx | 订单!Q1754</v>
      </c>
    </row>
    <row r="1549" ht="26" customHeight="1">
      <c r="A1549" s="2" t="str">
        <v>S2-01744-BH</v>
      </c>
      <c r="B1549" s="2" t="str">
        <v>INP6203</v>
      </c>
      <c r="C1549" s="20" t="str">
        <v>Ấm đun nước INP6203, 1.7L</v>
      </c>
      <c r="D1549" s="2" t="str">
        <v>Cái</v>
      </c>
      <c r="E1549" s="2" t="str">
        <v>2</v>
      </c>
      <c r="F1549" s="2" t="str">
        <v>376851.85</v>
      </c>
      <c r="G1549" s="19" t="n">
        <v>814000</v>
      </c>
      <c r="H1549" s="2" t="str">
        <v>2.xlsx | 订单!Q1755</v>
      </c>
    </row>
    <row r="1550" ht="26" customHeight="1">
      <c r="A1550" s="2" t="str">
        <v>S2-01744-BH</v>
      </c>
      <c r="B1550" s="2" t="str">
        <v>INP6204</v>
      </c>
      <c r="C1550" s="20" t="str">
        <v>Ấm đun nước INP6204, 1.0L</v>
      </c>
      <c r="D1550" s="2" t="str">
        <v>Cái</v>
      </c>
      <c r="E1550" s="2" t="str">
        <v>2</v>
      </c>
      <c r="F1550" s="2" t="str">
        <v>312037.04</v>
      </c>
      <c r="G1550" s="19" t="n">
        <v>674000</v>
      </c>
      <c r="H1550" s="2" t="str">
        <v>2.xlsx | 订单!Q1756</v>
      </c>
    </row>
    <row r="1551" ht="26" customHeight="1">
      <c r="A1551" s="2" t="str">
        <v>S2-01873-BH</v>
      </c>
      <c r="B1551" s="2" t="str">
        <v>INP2202</v>
      </c>
      <c r="C1551" s="20" t="str">
        <v>Nồi luộc gà inox đúc nguyên khốiINP2202</v>
      </c>
      <c r="D1551" s="2" t="str">
        <v>Cái</v>
      </c>
      <c r="E1551" s="2" t="str">
        <v>1</v>
      </c>
      <c r="F1551" s="2" t="str">
        <v>928703.7</v>
      </c>
      <c r="G1551" s="19" t="n">
        <v>1003000</v>
      </c>
      <c r="H1551" s="2" t="str">
        <v>2.xlsx | 订单!Q1873</v>
      </c>
    </row>
    <row r="1552" ht="26" customHeight="1">
      <c r="A1552" s="2" t="str">
        <v>S2-01873-BH</v>
      </c>
      <c r="B1552" s="2" t="str">
        <v>INP2103</v>
      </c>
      <c r="C1552" s="20" t="str">
        <v>Chảo inox chống dính đúc nguyên khốiINP2103</v>
      </c>
      <c r="D1552" s="2" t="str">
        <v>Cái</v>
      </c>
      <c r="E1552" s="2" t="str">
        <v>2</v>
      </c>
      <c r="F1552" s="2" t="str">
        <v>309259.26</v>
      </c>
      <c r="G1552" s="19" t="n">
        <v>668000</v>
      </c>
      <c r="H1552" s="2" t="str">
        <v>2.xlsx | 订单!Q1874</v>
      </c>
    </row>
    <row r="1553" ht="26" customHeight="1">
      <c r="A1553" s="2" t="str">
        <v>S2-01873-BH</v>
      </c>
      <c r="B1553" s="2" t="str">
        <v>INP3201</v>
      </c>
      <c r="C1553" s="20" t="str">
        <v>Chảo gang tráng menINP3201</v>
      </c>
      <c r="D1553" s="2" t="str">
        <v>Cái</v>
      </c>
      <c r="E1553" s="2" t="str">
        <v>1</v>
      </c>
      <c r="F1553" s="2" t="str">
        <v>264814.81</v>
      </c>
      <c r="G1553" s="19" t="n">
        <v>286000</v>
      </c>
      <c r="H1553" s="2" t="str">
        <v>2.xlsx | 订单!Q1875</v>
      </c>
    </row>
    <row r="1554" ht="26" customHeight="1">
      <c r="A1554" s="2" t="str">
        <v>S2-01873-BH</v>
      </c>
      <c r="B1554" s="2" t="str">
        <v>INP6103</v>
      </c>
      <c r="C1554" s="20" t="str">
        <v>Bếp từ đơn INP6103</v>
      </c>
      <c r="D1554" s="2" t="str">
        <v>Cái</v>
      </c>
      <c r="E1554" s="2" t="str">
        <v>2</v>
      </c>
      <c r="F1554" s="2" t="str">
        <v>878703.7</v>
      </c>
      <c r="G1554" s="19" t="n">
        <v>1898000</v>
      </c>
      <c r="H1554" s="2" t="str">
        <v>2.xlsx | 订单!Q1876</v>
      </c>
    </row>
    <row r="1555" ht="26" customHeight="1">
      <c r="A1555" s="2" t="str">
        <v>S2-02002-BH</v>
      </c>
      <c r="B1555" s="2" t="str">
        <v>INP1201</v>
      </c>
      <c r="C1555" s="20" t="str">
        <v>Nồi Inox INP1201</v>
      </c>
      <c r="D1555" s="2" t="str">
        <v>Cái</v>
      </c>
      <c r="E1555" s="2" t="str">
        <v>1</v>
      </c>
      <c r="F1555" s="2" t="str">
        <v>426851.85</v>
      </c>
      <c r="G1555" s="19" t="n">
        <v>461000</v>
      </c>
      <c r="H1555" s="2" t="str">
        <v>2.xlsx | 订单!Q2002</v>
      </c>
    </row>
    <row r="1556" ht="26" customHeight="1">
      <c r="A1556" s="2" t="str">
        <v>S2-02002-BH</v>
      </c>
      <c r="B1556" s="2" t="str">
        <v>INP2103</v>
      </c>
      <c r="C1556" s="20" t="str">
        <v>Chảo inox chống dính đúc nguyên khốiINP2103</v>
      </c>
      <c r="D1556" s="2" t="str">
        <v>Cái</v>
      </c>
      <c r="E1556" s="2" t="str">
        <v>1</v>
      </c>
      <c r="F1556" s="2" t="str">
        <v>309259.26</v>
      </c>
      <c r="G1556" s="19" t="n">
        <v>334000</v>
      </c>
      <c r="H1556" s="2" t="str">
        <v>2.xlsx | 订单!Q2003</v>
      </c>
    </row>
    <row r="1557" ht="26" customHeight="1">
      <c r="A1557" s="2" t="str">
        <v>S2-02002-BH</v>
      </c>
      <c r="B1557" s="2" t="str">
        <v>INP6001</v>
      </c>
      <c r="C1557" s="20" t="str">
        <v>Nồi cơm điện tử (Nồi cơm điện đa năng giảm đường) INP6001</v>
      </c>
      <c r="D1557" s="2" t="str">
        <v>Cái</v>
      </c>
      <c r="E1557" s="2" t="str">
        <v>2</v>
      </c>
      <c r="F1557" s="2" t="str">
        <v>1252777.78</v>
      </c>
      <c r="G1557" s="19" t="n">
        <v>2706000</v>
      </c>
      <c r="H1557" s="2" t="str">
        <v>2.xlsx | 订单!Q2004</v>
      </c>
    </row>
    <row r="1558" ht="26" customHeight="1">
      <c r="A1558" s="2" t="str">
        <v>S2-02049-BH</v>
      </c>
      <c r="B1558" s="2" t="str">
        <v>INP2001</v>
      </c>
      <c r="C1558" s="20" t="str">
        <v>Bộ nồi inox đúc nguyên khối INP2001</v>
      </c>
      <c r="D1558" s="2" t="str">
        <v>Cái</v>
      </c>
      <c r="E1558" s="2" t="str">
        <v>1</v>
      </c>
      <c r="F1558" s="2" t="str">
        <v>1148148.15</v>
      </c>
      <c r="G1558" s="19" t="n">
        <v>1240000</v>
      </c>
      <c r="H1558" s="2" t="str">
        <v>2.xlsx | 订单!Q2049</v>
      </c>
    </row>
    <row r="1559" ht="26" customHeight="1">
      <c r="A1559" s="2" t="str">
        <v>S2-02049-BH</v>
      </c>
      <c r="B1559" s="2" t="str">
        <v>INP2103</v>
      </c>
      <c r="C1559" s="20" t="str">
        <v>Chảo inox chống dính đúc nguyên khốiINP2103</v>
      </c>
      <c r="D1559" s="2" t="str">
        <v>Cái</v>
      </c>
      <c r="E1559" s="2" t="str">
        <v>1</v>
      </c>
      <c r="F1559" s="2" t="str">
        <v>309259.26</v>
      </c>
      <c r="G1559" s="19" t="n">
        <v>334000</v>
      </c>
      <c r="H1559" s="2" t="str">
        <v>2.xlsx | 订单!Q2050</v>
      </c>
    </row>
    <row r="1560" ht="26" customHeight="1">
      <c r="A1560" s="2" t="str">
        <v>S2-01906-BH</v>
      </c>
      <c r="B1560" s="2" t="str">
        <v>INP2001</v>
      </c>
      <c r="C1560" s="20" t="str">
        <v>Bộ nồi inox đúc nguyên khối INP2001</v>
      </c>
      <c r="D1560" s="2" t="str">
        <v>Cái</v>
      </c>
      <c r="E1560" s="2" t="str">
        <v>1</v>
      </c>
      <c r="F1560" s="2" t="str">
        <v>1127000</v>
      </c>
      <c r="G1560" s="19" t="n">
        <v>1127000</v>
      </c>
      <c r="H1560" s="2" t="str">
        <v>2.xlsx | 订单!Q1906</v>
      </c>
    </row>
    <row r="1561" ht="26" customHeight="1">
      <c r="A1561" s="2" t="str">
        <v>S2-01906-BH</v>
      </c>
      <c r="B1561" s="2" t="str">
        <v>INP2003</v>
      </c>
      <c r="C1561" s="20" t="str">
        <v>Bộ nồi inox INP2003</v>
      </c>
      <c r="D1561" s="2" t="str">
        <v>Cái</v>
      </c>
      <c r="E1561" s="2" t="str">
        <v>1</v>
      </c>
      <c r="F1561" s="2" t="str">
        <v>1280000</v>
      </c>
      <c r="G1561" s="19" t="n">
        <v>1280000</v>
      </c>
      <c r="H1561" s="2" t="str">
        <v>2.xlsx | 订单!Q1907</v>
      </c>
    </row>
    <row r="1562" ht="26" customHeight="1">
      <c r="A1562" s="2" t="str">
        <v>S2-01906-BH</v>
      </c>
      <c r="B1562" s="2" t="str">
        <v>INP7951</v>
      </c>
      <c r="C1562" s="20" t="str">
        <v>Máy sấy tóc INP7951</v>
      </c>
      <c r="D1562" s="2" t="str">
        <v>Cái</v>
      </c>
      <c r="E1562" s="2" t="str">
        <v>1</v>
      </c>
      <c r="F1562" s="2" t="str">
        <v>420000</v>
      </c>
      <c r="G1562" s="19" t="n">
        <v>420000</v>
      </c>
      <c r="H1562" s="2" t="str">
        <v>2.xlsx | 订单!Q1908</v>
      </c>
    </row>
    <row r="1563" ht="26" customHeight="1">
      <c r="A1563" s="2" t="str">
        <v>S2-01100-BH</v>
      </c>
      <c r="B1563" s="2" t="str">
        <v>INP6701</v>
      </c>
      <c r="C1563" s="20" t="str">
        <v>Máy xay thực phẩm INP6701</v>
      </c>
      <c r="D1563" s="2" t="str">
        <v>cái</v>
      </c>
      <c r="E1563" s="2" t="str">
        <v>1</v>
      </c>
      <c r="F1563" s="2" t="str">
        <v>361111.11</v>
      </c>
      <c r="G1563" s="19" t="n">
        <v>390000</v>
      </c>
      <c r="H1563" s="2" t="str">
        <v>2.xlsx | 订单!Q1100</v>
      </c>
    </row>
    <row r="1564" ht="26" customHeight="1">
      <c r="A1564" s="2" t="str">
        <v>S2-02079-BH</v>
      </c>
      <c r="B1564" s="2" t="str">
        <v>INP6153</v>
      </c>
      <c r="C1564" s="20" t="str">
        <v>Bếp hồng ngoại INP6153</v>
      </c>
      <c r="D1564" s="2" t="str">
        <v>Cái</v>
      </c>
      <c r="E1564" s="2" t="str">
        <v>1</v>
      </c>
      <c r="F1564" s="2" t="str">
        <v>555555.56</v>
      </c>
      <c r="G1564" s="19" t="n">
        <v>600000.01</v>
      </c>
      <c r="H1564" s="2" t="str">
        <v>2.xlsx | 订单!Q2079</v>
      </c>
    </row>
    <row r="1565" ht="26" customHeight="1">
      <c r="A1565" s="2" t="str">
        <v>S2-02079-BH</v>
      </c>
      <c r="B1565" s="2" t="str">
        <v>INP2106</v>
      </c>
      <c r="C1565" s="20" t="str">
        <v>Chảo inox đúc nguyên khối (không chống dính)INP2106</v>
      </c>
      <c r="D1565" s="2" t="str">
        <v>Cái</v>
      </c>
      <c r="E1565" s="2" t="str">
        <v>1</v>
      </c>
      <c r="F1565" s="2" t="str">
        <v>259259.26</v>
      </c>
      <c r="G1565" s="19" t="n">
        <v>280000</v>
      </c>
      <c r="H1565" s="2" t="str">
        <v>2.xlsx | 订单!Q2080</v>
      </c>
    </row>
  </sheetData>
  <pageMargins left="0.7" right="0.7" top="0.75" bottom="0.75" header="0.3" footer="0.3"/>
  <tableParts count="1">
    <tablePart xmlns:r="http://schemas.openxmlformats.org/officeDocument/2006/relationships" r:id="Rad684bd2c6dd45a7"/>
  </tableParts>
</worksheet>
</file>

<file path=xl/worksheets/sheet4.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2" hidden="0" customWidth="1"/>
    <col min="2" max="2" width="24" hidden="0" customWidth="1"/>
    <col min="3" max="3" width="24" hidden="0" customWidth="1"/>
    <col min="4" max="4" width="24" hidden="0" customWidth="1"/>
    <col min="5" max="5" width="24" hidden="0" customWidth="1"/>
    <col min="6" max="6" width="28" hidden="0" customWidth="1"/>
    <col min="7" max="7" width="100" hidden="0" customWidth="1"/>
  </cols>
  <sheetData>
    <row r="1" ht="42" customHeight="1">
      <c r="A1" s="5" t="str">
        <v>Mã KH *</v>
      </c>
      <c r="B1" s="5" t="str">
        <v>Tổng công nợ</v>
      </c>
      <c r="C1" s="5" t="str">
        <v>Đã thanh toán</v>
      </c>
      <c r="D1" s="5" t="str">
        <v>Phí vận chuyển</v>
      </c>
      <c r="E1" s="5" t="str">
        <v>Còn lại</v>
      </c>
      <c r="F1" s="5" t="str">
        <v>Sheet đối chiếu</v>
      </c>
      <c r="G1" s="5" t="str">
        <v>Ghi chú</v>
      </c>
    </row>
    <row r="2" ht="44" customHeight="1">
      <c r="A2" s="2" t="str">
        <v>KH001</v>
      </c>
      <c r="B2" s="19" t="n">
        <v>927474395</v>
      </c>
      <c r="C2" s="19" t="n">
        <v>221332402</v>
      </c>
      <c r="D2" s="19" t="n">
        <v>0</v>
      </c>
      <c r="E2" s="19" t="n">
        <v>772291992.95</v>
      </c>
      <c r="F2" s="2" t="str">
        <v>DOI_CHIEU_KH</v>
      </c>
      <c r="G2" s="20" t="str">
        <v>Theo cơ chế đối chiếu của ERP: B–D là lô nhập; E là số trong tệp kể cả dòng BH ghép ERP, chưa trừ phiếu thu ERP đã loại. Dư nợ cuối xem DOI_CHIEU_KH.</v>
      </c>
    </row>
    <row r="3" ht="44" customHeight="1">
      <c r="A3" s="2" t="str">
        <v>KH002</v>
      </c>
      <c r="B3" s="19" t="n">
        <v>358638000</v>
      </c>
      <c r="C3" s="19" t="n">
        <v>127700000</v>
      </c>
      <c r="D3" s="19" t="n">
        <v>0</v>
      </c>
      <c r="E3" s="19" t="n">
        <v>413637999.71</v>
      </c>
      <c r="F3" s="2" t="str">
        <v>DOI_CHIEU_KH</v>
      </c>
      <c r="G3" s="20" t="str">
        <v>Theo cơ chế đối chiếu của ERP: B–D là lô nhập; E là số trong tệp kể cả dòng BH ghép ERP, chưa trừ phiếu thu ERP đã loại. Dư nợ cuối xem DOI_CHIEU_KH.</v>
      </c>
    </row>
    <row r="4" ht="44" customHeight="1">
      <c r="A4" s="2" t="str">
        <v>KH003</v>
      </c>
      <c r="B4" s="19" t="n">
        <v>0</v>
      </c>
      <c r="C4" s="19" t="n">
        <v>7120000</v>
      </c>
      <c r="D4" s="19" t="n">
        <v>0</v>
      </c>
      <c r="E4" s="19" t="n">
        <v>-7120000</v>
      </c>
      <c r="F4" s="2" t="str">
        <v>DOI_CHIEU_KH</v>
      </c>
      <c r="G4" s="20" t="str">
        <v>Theo cơ chế đối chiếu của ERP: B–D là lô nhập; E là số trong tệp kể cả dòng BH ghép ERP, chưa trừ phiếu thu ERP đã loại. Dư nợ cuối xem DOI_CHIEU_KH.</v>
      </c>
    </row>
    <row r="5" ht="44" customHeight="1">
      <c r="A5" s="2" t="str">
        <v>KH004</v>
      </c>
      <c r="B5" s="19" t="n">
        <v>7646000</v>
      </c>
      <c r="C5" s="19" t="n">
        <v>7646000</v>
      </c>
      <c r="D5" s="19" t="n">
        <v>0</v>
      </c>
      <c r="E5" s="19" t="n">
        <v>16823999.98</v>
      </c>
      <c r="F5" s="2" t="str">
        <v>DOI_CHIEU_KH</v>
      </c>
      <c r="G5" s="20" t="str">
        <v>Theo cơ chế đối chiếu của ERP: B–D là lô nhập; E là số trong tệp kể cả dòng BH ghép ERP, chưa trừ phiếu thu ERP đã loại. Dư nợ cuối xem DOI_CHIEU_KH.</v>
      </c>
    </row>
    <row r="6" ht="44" customHeight="1">
      <c r="A6" s="2" t="str">
        <v>KH005</v>
      </c>
      <c r="B6" s="19" t="n">
        <v>227437000</v>
      </c>
      <c r="C6" s="19" t="n">
        <v>50000000</v>
      </c>
      <c r="D6" s="19" t="n">
        <v>1580000</v>
      </c>
      <c r="E6" s="19" t="n">
        <v>175857000</v>
      </c>
      <c r="F6" s="2" t="str">
        <v>DOI_CHIEU_KH</v>
      </c>
      <c r="G6" s="20" t="str">
        <v>Theo cơ chế đối chiếu của ERP: B–D là lô nhập; E là số trong tệp kể cả dòng BH ghép ERP, chưa trừ phiếu thu ERP đã loại. Dư nợ cuối xem DOI_CHIEU_KH.</v>
      </c>
    </row>
    <row r="7" ht="44" customHeight="1">
      <c r="A7" s="2" t="str">
        <v>KH006</v>
      </c>
      <c r="B7" s="19" t="n">
        <v>31748000</v>
      </c>
      <c r="C7" s="19" t="n">
        <v>31748000</v>
      </c>
      <c r="D7" s="19" t="n">
        <v>0</v>
      </c>
      <c r="E7" s="19" t="n">
        <v>0</v>
      </c>
      <c r="F7" s="2" t="str">
        <v>DOI_CHIEU_KH</v>
      </c>
      <c r="G7" s="20" t="str">
        <v>Theo cơ chế đối chiếu của ERP: B–D là lô nhập; E là số trong tệp kể cả dòng BH ghép ERP, chưa trừ phiếu thu ERP đã loại. Dư nợ cuối xem DOI_CHIEU_KH.</v>
      </c>
    </row>
    <row r="8" ht="44" customHeight="1">
      <c r="A8" s="2" t="str">
        <v>KH007</v>
      </c>
      <c r="B8" s="19" t="n">
        <v>65603259</v>
      </c>
      <c r="C8" s="19" t="n">
        <v>7442963</v>
      </c>
      <c r="D8" s="19" t="n">
        <v>0</v>
      </c>
      <c r="E8" s="19" t="n">
        <v>58160296</v>
      </c>
      <c r="F8" s="2" t="str">
        <v>DOI_CHIEU_KH</v>
      </c>
      <c r="G8" s="20" t="str">
        <v>Theo cơ chế đối chiếu của ERP: B–D là lô nhập; E là số trong tệp kể cả dòng BH ghép ERP, chưa trừ phiếu thu ERP đã loại. Dư nợ cuối xem DOI_CHIEU_KH.</v>
      </c>
    </row>
    <row r="9" ht="44" customHeight="1">
      <c r="A9" s="2" t="str">
        <v>KH011</v>
      </c>
      <c r="B9" s="19" t="n">
        <v>273325680</v>
      </c>
      <c r="C9" s="19" t="n">
        <v>102000000</v>
      </c>
      <c r="D9" s="19" t="n">
        <v>0</v>
      </c>
      <c r="E9" s="19" t="n">
        <v>171325680</v>
      </c>
      <c r="F9" s="2" t="str">
        <v>DOI_CHIEU_KH</v>
      </c>
      <c r="G9" s="20" t="str">
        <v>Theo cơ chế đối chiếu của ERP: B–D là lô nhập; E là số trong tệp kể cả dòng BH ghép ERP, chưa trừ phiếu thu ERP đã loại. Dư nợ cuối xem DOI_CHIEU_KH.</v>
      </c>
    </row>
    <row r="10" ht="44" customHeight="1">
      <c r="A10" s="2" t="str">
        <v>KH012</v>
      </c>
      <c r="B10" s="19" t="n">
        <v>319542000</v>
      </c>
      <c r="C10" s="19" t="n">
        <v>111652000</v>
      </c>
      <c r="D10" s="19" t="n">
        <v>0</v>
      </c>
      <c r="E10" s="19" t="n">
        <v>212209999.96</v>
      </c>
      <c r="F10" s="2" t="str">
        <v>DOI_CHIEU_KH</v>
      </c>
      <c r="G10" s="20" t="str">
        <v>Theo cơ chế đối chiếu của ERP: B–D là lô nhập; E là số trong tệp kể cả dòng BH ghép ERP, chưa trừ phiếu thu ERP đã loại. Dư nợ cuối xem DOI_CHIEU_KH.</v>
      </c>
    </row>
    <row r="11" ht="44" customHeight="1">
      <c r="A11" s="2" t="str">
        <v>KH015</v>
      </c>
      <c r="B11" s="19" t="n">
        <v>273651000</v>
      </c>
      <c r="C11" s="19" t="n">
        <v>140760000</v>
      </c>
      <c r="D11" s="19" t="n">
        <v>0</v>
      </c>
      <c r="E11" s="19" t="n">
        <v>132891000</v>
      </c>
      <c r="F11" s="2" t="str">
        <v>DOI_CHIEU_KH</v>
      </c>
      <c r="G11" s="20" t="str">
        <v>Theo cơ chế đối chiếu của ERP: B–D là lô nhập; E là số trong tệp kể cả dòng BH ghép ERP, chưa trừ phiếu thu ERP đã loại. Dư nợ cuối xem DOI_CHIEU_KH.</v>
      </c>
    </row>
    <row r="12" ht="44" customHeight="1">
      <c r="A12" s="2" t="str">
        <v>KH017</v>
      </c>
      <c r="B12" s="19" t="n">
        <v>1600000</v>
      </c>
      <c r="C12" s="19" t="n">
        <v>1600000</v>
      </c>
      <c r="D12" s="19" t="n">
        <v>0</v>
      </c>
      <c r="E12" s="19" t="n">
        <v>0</v>
      </c>
      <c r="F12" s="2" t="str">
        <v>DOI_CHIEU_KH</v>
      </c>
      <c r="G12" s="20" t="str">
        <v>Theo cơ chế đối chiếu của ERP: B–D là lô nhập; E là số trong tệp kể cả dòng BH ghép ERP, chưa trừ phiếu thu ERP đã loại. Dư nợ cuối xem DOI_CHIEU_KH.</v>
      </c>
    </row>
    <row r="13" ht="44" customHeight="1">
      <c r="A13" s="2" t="str">
        <v>KH021</v>
      </c>
      <c r="B13" s="19" t="n">
        <v>9360000</v>
      </c>
      <c r="C13" s="19" t="n">
        <v>14760001</v>
      </c>
      <c r="D13" s="19" t="n">
        <v>0</v>
      </c>
      <c r="E13" s="19" t="n">
        <v>-0.96</v>
      </c>
      <c r="F13" s="2" t="str">
        <v>DOI_CHIEU_KH</v>
      </c>
      <c r="G13" s="20" t="str">
        <v>Theo cơ chế đối chiếu của ERP: B–D là lô nhập; E là số trong tệp kể cả dòng BH ghép ERP, chưa trừ phiếu thu ERP đã loại. Dư nợ cuối xem DOI_CHIEU_KH.</v>
      </c>
    </row>
    <row r="14" ht="44" customHeight="1">
      <c r="A14" s="2" t="str">
        <v>KH024</v>
      </c>
      <c r="B14" s="19" t="n">
        <v>378696000</v>
      </c>
      <c r="C14" s="19" t="n">
        <v>332108000</v>
      </c>
      <c r="D14" s="19" t="n">
        <v>5182000</v>
      </c>
      <c r="E14" s="19" t="n">
        <v>75855999.89</v>
      </c>
      <c r="F14" s="2" t="str">
        <v>DOI_CHIEU_KH</v>
      </c>
      <c r="G14" s="20" t="str">
        <v>Theo cơ chế đối chiếu của ERP: B–D là lô nhập; E là số trong tệp kể cả dòng BH ghép ERP, chưa trừ phiếu thu ERP đã loại. Dư nợ cuối xem DOI_CHIEU_KH.</v>
      </c>
    </row>
    <row r="15" ht="44" customHeight="1">
      <c r="A15" s="2" t="str">
        <v>KH025</v>
      </c>
      <c r="B15" s="19" t="n">
        <v>4680000</v>
      </c>
      <c r="C15" s="19" t="n">
        <v>0</v>
      </c>
      <c r="D15" s="19" t="n">
        <v>0</v>
      </c>
      <c r="E15" s="19" t="n">
        <v>4680000</v>
      </c>
      <c r="F15" s="2" t="str">
        <v>DOI_CHIEU_KH</v>
      </c>
      <c r="G15" s="20" t="str">
        <v>Theo cơ chế đối chiếu của ERP: B–D là lô nhập; E là số trong tệp kể cả dòng BH ghép ERP, chưa trừ phiếu thu ERP đã loại. Dư nợ cuối xem DOI_CHIEU_KH.</v>
      </c>
    </row>
    <row r="16" ht="44" customHeight="1">
      <c r="A16" s="2" t="str">
        <v>KH028</v>
      </c>
      <c r="B16" s="19" t="n">
        <v>0</v>
      </c>
      <c r="C16" s="19" t="n">
        <v>2520000</v>
      </c>
      <c r="D16" s="19" t="n">
        <v>0</v>
      </c>
      <c r="E16" s="19" t="n">
        <v>-2520000</v>
      </c>
      <c r="F16" s="2" t="str">
        <v>DOI_CHIEU_KH</v>
      </c>
      <c r="G16" s="20" t="str">
        <v>Theo cơ chế đối chiếu của ERP: B–D là lô nhập; E là số trong tệp kể cả dòng BH ghép ERP, chưa trừ phiếu thu ERP đã loại. Dư nợ cuối xem DOI_CHIEU_KH.</v>
      </c>
    </row>
    <row r="17" ht="44" customHeight="1">
      <c r="A17" s="2" t="str">
        <v>KH029</v>
      </c>
      <c r="B17" s="19" t="n">
        <v>360000</v>
      </c>
      <c r="C17" s="19" t="n">
        <v>120000</v>
      </c>
      <c r="D17" s="19" t="n">
        <v>0</v>
      </c>
      <c r="E17" s="19" t="n">
        <v>240000</v>
      </c>
      <c r="F17" s="2" t="str">
        <v>DOI_CHIEU_KH</v>
      </c>
      <c r="G17" s="20" t="str">
        <v>Theo cơ chế đối chiếu của ERP: B–D là lô nhập; E là số trong tệp kể cả dòng BH ghép ERP, chưa trừ phiếu thu ERP đã loại. Dư nợ cuối xem DOI_CHIEU_KH.</v>
      </c>
    </row>
    <row r="18" ht="44" customHeight="1">
      <c r="A18" s="2" t="str">
        <v>KH034</v>
      </c>
      <c r="B18" s="19" t="n">
        <v>824255992</v>
      </c>
      <c r="C18" s="19" t="n">
        <v>450000000</v>
      </c>
      <c r="D18" s="19" t="n">
        <v>9515000</v>
      </c>
      <c r="E18" s="19" t="n">
        <v>364740992</v>
      </c>
      <c r="F18" s="2" t="str">
        <v>DOI_CHIEU_KH</v>
      </c>
      <c r="G18" s="20" t="str">
        <v>Theo cơ chế đối chiếu của ERP: B–D là lô nhập; E là số trong tệp kể cả dòng BH ghép ERP, chưa trừ phiếu thu ERP đã loại. Dư nợ cuối xem DOI_CHIEU_KH.</v>
      </c>
    </row>
    <row r="19" ht="44" customHeight="1">
      <c r="A19" s="2" t="str">
        <v>KH042</v>
      </c>
      <c r="B19" s="19" t="n">
        <v>888542203</v>
      </c>
      <c r="C19" s="19" t="n">
        <v>385612012</v>
      </c>
      <c r="D19" s="19" t="n">
        <v>0</v>
      </c>
      <c r="E19" s="19" t="n">
        <v>502930191</v>
      </c>
      <c r="F19" s="2" t="str">
        <v>DOI_CHIEU_KH</v>
      </c>
      <c r="G19" s="20" t="str">
        <v>Theo cơ chế đối chiếu của ERP: B–D là lô nhập; E là số trong tệp kể cả dòng BH ghép ERP, chưa trừ phiếu thu ERP đã loại. Dư nợ cuối xem DOI_CHIEU_KH.</v>
      </c>
    </row>
    <row r="20" ht="44" customHeight="1">
      <c r="A20" s="2" t="str">
        <v>KH043</v>
      </c>
      <c r="B20" s="19" t="n">
        <v>780000</v>
      </c>
      <c r="C20" s="19" t="n">
        <v>780000</v>
      </c>
      <c r="D20" s="19" t="n">
        <v>0</v>
      </c>
      <c r="E20" s="19" t="n">
        <v>0</v>
      </c>
      <c r="F20" s="2" t="str">
        <v>DOI_CHIEU_KH</v>
      </c>
      <c r="G20" s="20" t="str">
        <v>Theo cơ chế đối chiếu của ERP: B–D là lô nhập; E là số trong tệp kể cả dòng BH ghép ERP, chưa trừ phiếu thu ERP đã loại. Dư nợ cuối xem DOI_CHIEU_KH.</v>
      </c>
    </row>
    <row r="21" ht="44" customHeight="1">
      <c r="A21" s="2" t="str">
        <v>KH049</v>
      </c>
      <c r="B21" s="19" t="n">
        <v>151588198</v>
      </c>
      <c r="C21" s="19" t="n">
        <v>151588197</v>
      </c>
      <c r="D21" s="19" t="n">
        <v>0</v>
      </c>
      <c r="E21" s="19" t="n">
        <v>1</v>
      </c>
      <c r="F21" s="2" t="str">
        <v>DOI_CHIEU_KH</v>
      </c>
      <c r="G21" s="20" t="str">
        <v>Theo cơ chế đối chiếu của ERP: B–D là lô nhập; E là số trong tệp kể cả dòng BH ghép ERP, chưa trừ phiếu thu ERP đã loại. Dư nợ cuối xem DOI_CHIEU_KH.</v>
      </c>
    </row>
    <row r="22" ht="44" customHeight="1">
      <c r="A22" s="2" t="str">
        <v>KH050</v>
      </c>
      <c r="B22" s="19" t="n">
        <v>2400000</v>
      </c>
      <c r="C22" s="19" t="n">
        <v>6300000</v>
      </c>
      <c r="D22" s="19" t="n">
        <v>0</v>
      </c>
      <c r="E22" s="19" t="n">
        <v>-3900000</v>
      </c>
      <c r="F22" s="2" t="str">
        <v>DOI_CHIEU_KH</v>
      </c>
      <c r="G22" s="20" t="str">
        <v>Theo cơ chế đối chiếu của ERP: B–D là lô nhập; E là số trong tệp kể cả dòng BH ghép ERP, chưa trừ phiếu thu ERP đã loại. Dư nợ cuối xem DOI_CHIEU_KH.</v>
      </c>
    </row>
    <row r="23" ht="44" customHeight="1">
      <c r="A23" s="2" t="str">
        <v>KH053</v>
      </c>
      <c r="B23" s="19" t="n">
        <v>12640000</v>
      </c>
      <c r="C23" s="19" t="n">
        <v>12640000</v>
      </c>
      <c r="D23" s="19" t="n">
        <v>0</v>
      </c>
      <c r="E23" s="19" t="n">
        <v>14280000.04</v>
      </c>
      <c r="F23" s="2" t="str">
        <v>DOI_CHIEU_KH</v>
      </c>
      <c r="G23" s="20" t="str">
        <v>Theo cơ chế đối chiếu của ERP: B–D là lô nhập; E là số trong tệp kể cả dòng BH ghép ERP, chưa trừ phiếu thu ERP đã loại. Dư nợ cuối xem DOI_CHIEU_KH.</v>
      </c>
    </row>
    <row r="24" ht="44" customHeight="1">
      <c r="A24" s="2" t="str">
        <v>KH055</v>
      </c>
      <c r="B24" s="19" t="n">
        <v>29124000</v>
      </c>
      <c r="C24" s="19" t="n">
        <v>29412000</v>
      </c>
      <c r="D24" s="19" t="n">
        <v>0</v>
      </c>
      <c r="E24" s="19" t="n">
        <v>14392000.02</v>
      </c>
      <c r="F24" s="2" t="str">
        <v>DOI_CHIEU_KH</v>
      </c>
      <c r="G24" s="20" t="str">
        <v>Theo cơ chế đối chiếu của ERP: B–D là lô nhập; E là số trong tệp kể cả dòng BH ghép ERP, chưa trừ phiếu thu ERP đã loại. Dư nợ cuối xem DOI_CHIEU_KH.</v>
      </c>
    </row>
    <row r="25" ht="44" customHeight="1">
      <c r="A25" s="2" t="str">
        <v>KH056</v>
      </c>
      <c r="B25" s="19" t="n">
        <v>0</v>
      </c>
      <c r="C25" s="19" t="n">
        <v>0</v>
      </c>
      <c r="D25" s="19" t="n">
        <v>0</v>
      </c>
      <c r="E25" s="19" t="n">
        <v>2499999.98</v>
      </c>
      <c r="F25" s="2" t="str">
        <v>DOI_CHIEU_KH</v>
      </c>
      <c r="G25" s="20" t="str">
        <v>Theo cơ chế đối chiếu của ERP: B–D là lô nhập; E là số trong tệp kể cả dòng BH ghép ERP, chưa trừ phiếu thu ERP đã loại. Dư nợ cuối xem DOI_CHIEU_KH.</v>
      </c>
    </row>
    <row r="26" ht="44" customHeight="1">
      <c r="A26" s="2" t="str">
        <v>KH058</v>
      </c>
      <c r="B26" s="19" t="n">
        <v>966912521</v>
      </c>
      <c r="C26" s="19" t="n">
        <v>527560000</v>
      </c>
      <c r="D26" s="19" t="n">
        <v>1140000</v>
      </c>
      <c r="E26" s="19" t="n">
        <v>500392520.67</v>
      </c>
      <c r="F26" s="2" t="str">
        <v>DOI_CHIEU_KH</v>
      </c>
      <c r="G26" s="20" t="str">
        <v>Theo cơ chế đối chiếu của ERP: B–D là lô nhập; E là số trong tệp kể cả dòng BH ghép ERP, chưa trừ phiếu thu ERP đã loại. Dư nợ cuối xem DOI_CHIEU_KH.</v>
      </c>
    </row>
    <row r="27" ht="44" customHeight="1">
      <c r="A27" s="2" t="str">
        <v>KH059</v>
      </c>
      <c r="B27" s="19" t="n">
        <v>0</v>
      </c>
      <c r="C27" s="19" t="n">
        <v>5530000</v>
      </c>
      <c r="D27" s="19" t="n">
        <v>0</v>
      </c>
      <c r="E27" s="19" t="n">
        <v>-5530000</v>
      </c>
      <c r="F27" s="2" t="str">
        <v>DOI_CHIEU_KH</v>
      </c>
      <c r="G27" s="20" t="str">
        <v>Theo cơ chế đối chiếu của ERP: B–D là lô nhập; E là số trong tệp kể cả dòng BH ghép ERP, chưa trừ phiếu thu ERP đã loại. Dư nợ cuối xem DOI_CHIEU_KH.</v>
      </c>
    </row>
    <row r="28" ht="44" customHeight="1">
      <c r="A28" s="2" t="str">
        <v>KH062</v>
      </c>
      <c r="B28" s="19" t="n">
        <v>0</v>
      </c>
      <c r="C28" s="19" t="n">
        <v>9130000</v>
      </c>
      <c r="D28" s="19" t="n">
        <v>0</v>
      </c>
      <c r="E28" s="19" t="n">
        <v>-9130000</v>
      </c>
      <c r="F28" s="2" t="str">
        <v>DOI_CHIEU_KH</v>
      </c>
      <c r="G28" s="20" t="str">
        <v>Theo cơ chế đối chiếu của ERP: B–D là lô nhập; E là số trong tệp kể cả dòng BH ghép ERP, chưa trừ phiếu thu ERP đã loại. Dư nợ cuối xem DOI_CHIEU_KH.</v>
      </c>
    </row>
    <row r="29" ht="44" customHeight="1">
      <c r="A29" s="2" t="str">
        <v>KH066</v>
      </c>
      <c r="B29" s="19" t="n">
        <v>1282025995</v>
      </c>
      <c r="C29" s="19" t="n">
        <v>750000000</v>
      </c>
      <c r="D29" s="19" t="n">
        <v>5500000</v>
      </c>
      <c r="E29" s="19" t="n">
        <v>526525995</v>
      </c>
      <c r="F29" s="2" t="str">
        <v>DOI_CHIEU_KH</v>
      </c>
      <c r="G29" s="20" t="str">
        <v>Theo cơ chế đối chiếu của ERP: B–D là lô nhập; E là số trong tệp kể cả dòng BH ghép ERP, chưa trừ phiếu thu ERP đã loại. Dư nợ cuối xem DOI_CHIEU_KH.</v>
      </c>
    </row>
    <row r="30" ht="44" customHeight="1">
      <c r="A30" s="2" t="str">
        <v>KH067</v>
      </c>
      <c r="B30" s="19" t="n">
        <v>3770000</v>
      </c>
      <c r="C30" s="19" t="n">
        <v>3770000</v>
      </c>
      <c r="D30" s="19" t="n">
        <v>0</v>
      </c>
      <c r="E30" s="19" t="n">
        <v>0</v>
      </c>
      <c r="F30" s="2" t="str">
        <v>DOI_CHIEU_KH</v>
      </c>
      <c r="G30" s="20" t="str">
        <v>Theo cơ chế đối chiếu của ERP: B–D là lô nhập; E là số trong tệp kể cả dòng BH ghép ERP, chưa trừ phiếu thu ERP đã loại. Dư nợ cuối xem DOI_CHIEU_KH.</v>
      </c>
    </row>
    <row r="31" ht="44" customHeight="1">
      <c r="A31" s="2" t="str">
        <v>KH068</v>
      </c>
      <c r="B31" s="19" t="n">
        <v>1339130993</v>
      </c>
      <c r="C31" s="19" t="n">
        <v>606360000</v>
      </c>
      <c r="D31" s="19" t="n">
        <v>2986800</v>
      </c>
      <c r="E31" s="19" t="n">
        <v>756604190.29</v>
      </c>
      <c r="F31" s="2" t="str">
        <v>DOI_CHIEU_KH</v>
      </c>
      <c r="G31" s="20" t="str">
        <v>Theo cơ chế đối chiếu của ERP: B–D là lô nhập; E là số trong tệp kể cả dòng BH ghép ERP, chưa trừ phiếu thu ERP đã loại. Dư nợ cuối xem DOI_CHIEU_KH.</v>
      </c>
    </row>
    <row r="32" ht="44" customHeight="1">
      <c r="A32" s="2" t="str">
        <v>KH070</v>
      </c>
      <c r="B32" s="19" t="n">
        <v>57880001</v>
      </c>
      <c r="C32" s="19" t="n">
        <v>111880002</v>
      </c>
      <c r="D32" s="19" t="n">
        <v>0</v>
      </c>
      <c r="E32" s="19" t="n">
        <v>-0.57</v>
      </c>
      <c r="F32" s="2" t="str">
        <v>DOI_CHIEU_KH</v>
      </c>
      <c r="G32" s="20" t="str">
        <v>Theo cơ chế đối chiếu của ERP: B–D là lô nhập; E là số trong tệp kể cả dòng BH ghép ERP, chưa trừ phiếu thu ERP đã loại. Dư nợ cuối xem DOI_CHIEU_KH.</v>
      </c>
    </row>
    <row r="33" ht="44" customHeight="1">
      <c r="A33" s="2" t="str">
        <v>KH071</v>
      </c>
      <c r="B33" s="19" t="n">
        <v>382565985</v>
      </c>
      <c r="C33" s="19" t="n">
        <v>188917997</v>
      </c>
      <c r="D33" s="19" t="n">
        <v>0</v>
      </c>
      <c r="E33" s="19" t="n">
        <v>255565987.94</v>
      </c>
      <c r="F33" s="2" t="str">
        <v>DOI_CHIEU_KH</v>
      </c>
      <c r="G33" s="20" t="str">
        <v>Theo cơ chế đối chiếu của ERP: B–D là lô nhập; E là số trong tệp kể cả dòng BH ghép ERP, chưa trừ phiếu thu ERP đã loại. Dư nợ cuối xem DOI_CHIEU_KH.</v>
      </c>
    </row>
    <row r="34" ht="44" customHeight="1">
      <c r="A34" s="2" t="str">
        <v>KH074</v>
      </c>
      <c r="B34" s="19" t="n">
        <v>343472004</v>
      </c>
      <c r="C34" s="19" t="n">
        <v>195954885</v>
      </c>
      <c r="D34" s="19" t="n">
        <v>3632120</v>
      </c>
      <c r="E34" s="19" t="n">
        <v>143884999</v>
      </c>
      <c r="F34" s="2" t="str">
        <v>DOI_CHIEU_KH</v>
      </c>
      <c r="G34" s="20" t="str">
        <v>Theo cơ chế đối chiếu của ERP: B–D là lô nhập; E là số trong tệp kể cả dòng BH ghép ERP, chưa trừ phiếu thu ERP đã loại. Dư nợ cuối xem DOI_CHIEU_KH.</v>
      </c>
    </row>
    <row r="35" ht="44" customHeight="1">
      <c r="A35" s="2" t="str">
        <v>KH076</v>
      </c>
      <c r="B35" s="19" t="n">
        <v>100778001</v>
      </c>
      <c r="C35" s="19" t="n">
        <v>0</v>
      </c>
      <c r="D35" s="19" t="n">
        <v>0</v>
      </c>
      <c r="E35" s="19" t="n">
        <v>100778001</v>
      </c>
      <c r="F35" s="2" t="str">
        <v>DOI_CHIEU_KH</v>
      </c>
      <c r="G35" s="20" t="str">
        <v>Theo cơ chế đối chiếu của ERP: B–D là lô nhập; E là số trong tệp kể cả dòng BH ghép ERP, chưa trừ phiếu thu ERP đã loại. Dư nợ cuối xem DOI_CHIEU_KH.</v>
      </c>
    </row>
    <row r="36" ht="44" customHeight="1">
      <c r="A36" s="2" t="str">
        <v>KH080</v>
      </c>
      <c r="B36" s="19" t="n">
        <v>0</v>
      </c>
      <c r="C36" s="19" t="n">
        <v>12480000</v>
      </c>
      <c r="D36" s="19" t="n">
        <v>0</v>
      </c>
      <c r="E36" s="19" t="n">
        <v>0.09</v>
      </c>
      <c r="F36" s="2" t="str">
        <v>DOI_CHIEU_KH</v>
      </c>
      <c r="G36" s="20" t="str">
        <v>Theo cơ chế đối chiếu của ERP: B–D là lô nhập; E là số trong tệp kể cả dòng BH ghép ERP, chưa trừ phiếu thu ERP đã loại. Dư nợ cuối xem DOI_CHIEU_KH.</v>
      </c>
    </row>
    <row r="37" ht="44" customHeight="1">
      <c r="A37" s="2" t="str">
        <v>KH082</v>
      </c>
      <c r="B37" s="19" t="n">
        <v>2700000</v>
      </c>
      <c r="C37" s="19" t="n">
        <v>2700000</v>
      </c>
      <c r="D37" s="19" t="n">
        <v>0</v>
      </c>
      <c r="E37" s="19" t="n">
        <v>0</v>
      </c>
      <c r="F37" s="2" t="str">
        <v>DOI_CHIEU_KH</v>
      </c>
      <c r="G37" s="20" t="str">
        <v>Theo cơ chế đối chiếu của ERP: B–D là lô nhập; E là số trong tệp kể cả dòng BH ghép ERP, chưa trừ phiếu thu ERP đã loại. Dư nợ cuối xem DOI_CHIEU_KH.</v>
      </c>
    </row>
    <row r="38" ht="44" customHeight="1">
      <c r="A38" s="2" t="str">
        <v>KH083</v>
      </c>
      <c r="B38" s="19" t="n">
        <v>5160000</v>
      </c>
      <c r="C38" s="19" t="n">
        <v>5160000</v>
      </c>
      <c r="D38" s="19" t="n">
        <v>0</v>
      </c>
      <c r="E38" s="19" t="n">
        <v>2400000</v>
      </c>
      <c r="F38" s="2" t="str">
        <v>DOI_CHIEU_KH</v>
      </c>
      <c r="G38" s="20" t="str">
        <v>Theo cơ chế đối chiếu của ERP: B–D là lô nhập; E là số trong tệp kể cả dòng BH ghép ERP, chưa trừ phiếu thu ERP đã loại. Dư nợ cuối xem DOI_CHIEU_KH.</v>
      </c>
    </row>
    <row r="39" ht="44" customHeight="1">
      <c r="A39" s="2" t="str">
        <v>KH084</v>
      </c>
      <c r="B39" s="19" t="n">
        <v>276319999</v>
      </c>
      <c r="C39" s="19" t="n">
        <v>231596000</v>
      </c>
      <c r="D39" s="19" t="n">
        <v>0</v>
      </c>
      <c r="E39" s="19" t="n">
        <v>44723999</v>
      </c>
      <c r="F39" s="2" t="str">
        <v>DOI_CHIEU_KH</v>
      </c>
      <c r="G39" s="20" t="str">
        <v>Theo cơ chế đối chiếu của ERP: B–D là lô nhập; E là số trong tệp kể cả dòng BH ghép ERP, chưa trừ phiếu thu ERP đã loại. Dư nợ cuối xem DOI_CHIEU_KH.</v>
      </c>
    </row>
    <row r="40" ht="44" customHeight="1">
      <c r="A40" s="2" t="str">
        <v>KH086</v>
      </c>
      <c r="B40" s="19" t="n">
        <v>103189999</v>
      </c>
      <c r="C40" s="19" t="n">
        <v>70000000</v>
      </c>
      <c r="D40" s="19" t="n">
        <v>757230</v>
      </c>
      <c r="E40" s="19" t="n">
        <v>32432769</v>
      </c>
      <c r="F40" s="2" t="str">
        <v>DOI_CHIEU_KH</v>
      </c>
      <c r="G40" s="20" t="str">
        <v>Theo cơ chế đối chiếu của ERP: B–D là lô nhập; E là số trong tệp kể cả dòng BH ghép ERP, chưa trừ phiếu thu ERP đã loại. Dư nợ cuối xem DOI_CHIEU_KH.</v>
      </c>
    </row>
    <row r="41" ht="44" customHeight="1">
      <c r="A41" s="2" t="str">
        <v>KH088</v>
      </c>
      <c r="B41" s="19" t="n">
        <v>156373999</v>
      </c>
      <c r="C41" s="19" t="n">
        <v>84244002</v>
      </c>
      <c r="D41" s="19" t="n">
        <v>0</v>
      </c>
      <c r="E41" s="19" t="n">
        <v>72129997</v>
      </c>
      <c r="F41" s="2" t="str">
        <v>DOI_CHIEU_KH</v>
      </c>
      <c r="G41" s="20" t="str">
        <v>Theo cơ chế đối chiếu của ERP: B–D là lô nhập; E là số trong tệp kể cả dòng BH ghép ERP, chưa trừ phiếu thu ERP đã loại. Dư nợ cuối xem DOI_CHIEU_KH.</v>
      </c>
    </row>
    <row r="42" ht="44" customHeight="1">
      <c r="A42" s="2" t="str">
        <v>KH089</v>
      </c>
      <c r="B42" s="19" t="n">
        <v>2160000</v>
      </c>
      <c r="C42" s="19" t="n">
        <v>2160000</v>
      </c>
      <c r="D42" s="19" t="n">
        <v>0</v>
      </c>
      <c r="E42" s="19" t="n">
        <v>0</v>
      </c>
      <c r="F42" s="2" t="str">
        <v>DOI_CHIEU_KH</v>
      </c>
      <c r="G42" s="20" t="str">
        <v>Theo cơ chế đối chiếu của ERP: B–D là lô nhập; E là số trong tệp kể cả dòng BH ghép ERP, chưa trừ phiếu thu ERP đã loại. Dư nợ cuối xem DOI_CHIEU_KH.</v>
      </c>
    </row>
    <row r="43" ht="44" customHeight="1">
      <c r="A43" s="2" t="str">
        <v>KH090</v>
      </c>
      <c r="B43" s="19" t="n">
        <v>36722000</v>
      </c>
      <c r="C43" s="19" t="n">
        <v>0</v>
      </c>
      <c r="D43" s="19" t="n">
        <v>0</v>
      </c>
      <c r="E43" s="19" t="n">
        <v>36722000</v>
      </c>
      <c r="F43" s="2" t="str">
        <v>DOI_CHIEU_KH</v>
      </c>
      <c r="G43" s="20" t="str">
        <v>Theo cơ chế đối chiếu của ERP: B–D là lô nhập; E là số trong tệp kể cả dòng BH ghép ERP, chưa trừ phiếu thu ERP đã loại. Dư nợ cuối xem DOI_CHIEU_KH.</v>
      </c>
    </row>
    <row r="44" ht="44" customHeight="1">
      <c r="A44" s="2" t="str">
        <v>KH091</v>
      </c>
      <c r="B44" s="19" t="n">
        <v>77768000</v>
      </c>
      <c r="C44" s="19" t="n">
        <v>50000000</v>
      </c>
      <c r="D44" s="19" t="n">
        <v>2380000</v>
      </c>
      <c r="E44" s="19" t="n">
        <v>141745999.48</v>
      </c>
      <c r="F44" s="2" t="str">
        <v>DOI_CHIEU_KH</v>
      </c>
      <c r="G44" s="20" t="str">
        <v>Theo cơ chế đối chiếu của ERP: B–D là lô nhập; E là số trong tệp kể cả dòng BH ghép ERP, chưa trừ phiếu thu ERP đã loại. Dư nợ cuối xem DOI_CHIEU_KH.</v>
      </c>
    </row>
    <row r="45" ht="44" customHeight="1">
      <c r="A45" s="2" t="str">
        <v>KH092</v>
      </c>
      <c r="B45" s="19" t="n">
        <v>16609000</v>
      </c>
      <c r="C45" s="19" t="n">
        <v>0</v>
      </c>
      <c r="D45" s="19" t="n">
        <v>0</v>
      </c>
      <c r="E45" s="19" t="n">
        <v>21684000</v>
      </c>
      <c r="F45" s="2" t="str">
        <v>DOI_CHIEU_KH</v>
      </c>
      <c r="G45" s="20" t="str">
        <v>Theo cơ chế đối chiếu của ERP: B–D là lô nhập; E là số trong tệp kể cả dòng BH ghép ERP, chưa trừ phiếu thu ERP đã loại. Dư nợ cuối xem DOI_CHIEU_KH.</v>
      </c>
    </row>
    <row r="46" ht="44" customHeight="1">
      <c r="A46" s="2" t="str">
        <v>KH094</v>
      </c>
      <c r="B46" s="19" t="n">
        <v>2827000</v>
      </c>
      <c r="C46" s="19" t="n">
        <v>2827000</v>
      </c>
      <c r="D46" s="19" t="n">
        <v>0</v>
      </c>
      <c r="E46" s="19" t="n">
        <v>0</v>
      </c>
      <c r="F46" s="2" t="str">
        <v>DOI_CHIEU_KH</v>
      </c>
      <c r="G46" s="20" t="str">
        <v>Theo cơ chế đối chiếu của ERP: B–D là lô nhập; E là số trong tệp kể cả dòng BH ghép ERP, chưa trừ phiếu thu ERP đã loại. Dư nợ cuối xem DOI_CHIEU_KH.</v>
      </c>
    </row>
    <row r="47" ht="44" customHeight="1">
      <c r="A47" s="2" t="str">
        <v>KH095</v>
      </c>
      <c r="B47" s="19" t="n">
        <v>390000</v>
      </c>
      <c r="C47" s="19" t="n">
        <v>390000</v>
      </c>
      <c r="D47" s="19" t="n">
        <v>0</v>
      </c>
      <c r="E47" s="19" t="n">
        <v>0</v>
      </c>
      <c r="F47" s="2" t="str">
        <v>DOI_CHIEU_KH</v>
      </c>
      <c r="G47" s="20" t="str">
        <v>Theo cơ chế đối chiếu của ERP: B–D là lô nhập; E là số trong tệp kể cả dòng BH ghép ERP, chưa trừ phiếu thu ERP đã loại. Dư nợ cuối xem DOI_CHIEU_KH.</v>
      </c>
    </row>
    <row r="48" ht="44" customHeight="1">
      <c r="A48" s="2" t="str">
        <v>KH096</v>
      </c>
      <c r="B48" s="19" t="n">
        <v>0</v>
      </c>
      <c r="C48" s="19" t="n">
        <v>880000</v>
      </c>
      <c r="D48" s="19" t="n">
        <v>0</v>
      </c>
      <c r="E48" s="19" t="n">
        <v>0.01</v>
      </c>
      <c r="F48" s="2" t="str">
        <v>DOI_CHIEU_KH</v>
      </c>
      <c r="G48" s="20" t="str">
        <v>Theo cơ chế đối chiếu của ERP: B–D là lô nhập; E là số trong tệp kể cả dòng BH ghép ERP, chưa trừ phiếu thu ERP đã loại. Dư nợ cuối xem DOI_CHIEU_KH.</v>
      </c>
    </row>
  </sheetData>
  <pageMargins left="0.7" right="0.7" top="0.75" bottom="0.75" header="0.3" footer="0.3"/>
  <tableParts count="1">
    <tablePart xmlns:r="http://schemas.openxmlformats.org/officeDocument/2006/relationships" r:id="R9e458a79380c439c"/>
  </tableParts>
</worksheet>
</file>

<file path=xl/worksheets/sheet5.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2" hidden="0" customWidth="1"/>
    <col min="2" max="2" width="48" hidden="0" customWidth="1"/>
    <col min="3" max="3" width="27" hidden="0" customWidth="1"/>
    <col min="4" max="4" width="24" hidden="0" customWidth="1"/>
    <col min="5" max="5" width="26" hidden="0" customWidth="1"/>
    <col min="6" max="6" width="25" hidden="0" customWidth="1"/>
    <col min="7" max="7" width="72" hidden="0" customWidth="1"/>
    <col min="8" max="8" width="72" hidden="0" customWidth="1"/>
    <col min="9" max="9" width="86" hidden="0" customWidth="1"/>
  </cols>
  <sheetData>
    <row r="1" ht="42" customHeight="1">
      <c r="A1" s="5" t="str">
        <v>Mã KH</v>
      </c>
      <c r="B1" s="5" t="str">
        <v>Khách hàng</v>
      </c>
      <c r="C1" s="5" t="str">
        <v>Đề xuất phạm vi</v>
      </c>
      <c r="D1" s="5" t="str">
        <v>Quạt phát sinh ròng</v>
      </c>
      <c r="E1" s="5" t="str">
        <v>Vợt muỗi phát sinh ròng</v>
      </c>
      <c r="F1" s="5" t="str">
        <v>Nợ nhóm mô phỏng</v>
      </c>
      <c r="G1" s="5" t="str">
        <v>Mã gốc có phát sinh</v>
      </c>
      <c r="H1" s="5" t="str">
        <v>Mã danh mục qua ghép</v>
      </c>
      <c r="I1" s="5" t="str">
        <v>Lưu ý</v>
      </c>
    </row>
    <row r="2" ht="56" customHeight="1">
      <c r="A2" s="2" t="str">
        <v>KH001</v>
      </c>
      <c r="B2" s="20" t="str">
        <v>CÔNG TY TNHH THƯƠNG MẠI CẢNH CƯỜNG</v>
      </c>
      <c r="C2" s="20" t="str">
        <v>Quạt</v>
      </c>
      <c r="D2" s="7" t="n">
        <v>187100000</v>
      </c>
      <c r="E2" s="7" t="n">
        <v>0</v>
      </c>
      <c r="F2" s="7" t="n">
        <v>187100000</v>
      </c>
      <c r="G2" s="20" t="str">
        <v>INP6401, INP6402, INP6403, INP6407, INP6408, INP6409, INP6410, INP6411</v>
      </c>
      <c r="H2" s="20" t="str">
        <v>INP6401-A, INP6402, INP6403, INP6407, INP6408, INP6409, INP6410, INP6411</v>
      </c>
      <c r="I2" s="20" t="str">
        <v>INP6401 cũ ghép INP6401-A; cấu hình chỉ mã cũ sẽ thiếu 55.000.000 đ</v>
      </c>
    </row>
    <row r="3" ht="56" customHeight="1">
      <c r="A3" s="2" t="str">
        <v>KH002</v>
      </c>
      <c r="B3" s="20" t="str">
        <v>CÔNG TY TNHH LỘC HƯNG THÁI</v>
      </c>
      <c r="C3" s="20" t="str">
        <v>Quạt</v>
      </c>
      <c r="D3" s="7" t="n">
        <v>110000000</v>
      </c>
      <c r="E3" s="7" t="n">
        <v>0</v>
      </c>
      <c r="F3" s="7" t="n">
        <v>110000000</v>
      </c>
      <c r="G3" s="20" t="str">
        <v>INP6401</v>
      </c>
      <c r="H3" s="20" t="str">
        <v>INP6401-A</v>
      </c>
      <c r="I3" s="20" t="str">
        <v>Chọn đúng khách; không chọn toàn bộ TIEN-ICH vì có máy sấy tóc</v>
      </c>
    </row>
    <row r="4" ht="56" customHeight="1">
      <c r="A4" s="2" t="str">
        <v>KH007</v>
      </c>
      <c r="B4" s="20" t="str">
        <v>CÔNG TY TNHH ĐẦU TƯ THƯƠNG MẠI QUỐC TẾ VIỆT LỢI</v>
      </c>
      <c r="C4" s="20" t="str">
        <v>Chỉ tách nếu được duyệt</v>
      </c>
      <c r="D4" s="7" t="n">
        <v>15351852</v>
      </c>
      <c r="E4" s="7" t="n">
        <v>0</v>
      </c>
      <c r="F4" s="7"/>
      <c r="G4" s="20" t="str">
        <v>INP6401, INP6403</v>
      </c>
      <c r="H4" s="20" t="str">
        <v>INP6401-A, INP6403</v>
      </c>
      <c r="I4" s="20" t="str">
        <v>Chọn đúng khách; không chọn toàn bộ TIEN-ICH vì có máy sấy tóc</v>
      </c>
    </row>
    <row r="5" ht="56" customHeight="1">
      <c r="A5" s="2" t="str">
        <v>KH017</v>
      </c>
      <c r="B5" s="20" t="str">
        <v>Nguyễn Thị Thanh Hương</v>
      </c>
      <c r="C5" s="20" t="str">
        <v>Chỉ tách nếu được duyệt</v>
      </c>
      <c r="D5" s="7" t="n">
        <v>1600000</v>
      </c>
      <c r="E5" s="7" t="n">
        <v>0</v>
      </c>
      <c r="F5" s="7"/>
      <c r="G5" s="20" t="str">
        <v>INP6403</v>
      </c>
      <c r="H5" s="20" t="str">
        <v>INP6403</v>
      </c>
      <c r="I5" s="20" t="str">
        <v>Chọn đúng khách; không chọn toàn bộ TIEN-ICH vì có máy sấy tóc</v>
      </c>
    </row>
    <row r="6" ht="56" customHeight="1">
      <c r="A6" s="2" t="str">
        <v>KH034</v>
      </c>
      <c r="B6" s="20" t="str">
        <v>CÔNG TY TNHH THƯƠNG MẠI 319 ĐÔNG ANH</v>
      </c>
      <c r="C6" s="20" t="str">
        <v>Quạt</v>
      </c>
      <c r="D6" s="7" t="n">
        <v>63600000</v>
      </c>
      <c r="E6" s="7" t="n">
        <v>0</v>
      </c>
      <c r="F6" s="7" t="n">
        <v>63600000</v>
      </c>
      <c r="G6" s="20" t="str">
        <v>INP6407, INP6408, INP6409, INP6410, INP6411</v>
      </c>
      <c r="H6" s="20" t="str">
        <v>INP6407, INP6408, INP6409, INP6410, INP6411</v>
      </c>
      <c r="I6" s="20" t="str">
        <v>5 mã INP6407–INP6411 = 63.600.000 đ</v>
      </c>
    </row>
    <row r="7" ht="56" customHeight="1">
      <c r="A7" s="2" t="str">
        <v>KH042</v>
      </c>
      <c r="B7" s="20" t="str">
        <v>CÔNG TY TNHH THƯƠNG MẠI TỔNG HỢP BẰNG ÁNH</v>
      </c>
      <c r="C7" s="20" t="str">
        <v>Quạt</v>
      </c>
      <c r="D7" s="7" t="n">
        <v>42520000</v>
      </c>
      <c r="E7" s="7" t="n">
        <v>0</v>
      </c>
      <c r="F7" s="7" t="n">
        <v>42520000</v>
      </c>
      <c r="G7" s="20" t="str">
        <v>INP6401, INP6402, INP6403, INP6407, INP6408, INP6409, INP6410, INP6411</v>
      </c>
      <c r="H7" s="20" t="str">
        <v>INP6401-A, INP6402, INP6403, INP6407, INP6408, INP6409, INP6410, INP6411</v>
      </c>
      <c r="I7" s="20" t="str">
        <v>Chọn đúng khách; không chọn toàn bộ TIEN-ICH vì có máy sấy tóc</v>
      </c>
    </row>
    <row r="8" ht="56" customHeight="1">
      <c r="A8" s="2" t="str">
        <v>KH049</v>
      </c>
      <c r="B8" s="20" t="str">
        <v>CÔNG TY TNHH XUẤT NHẬP KHẨU HOÀNG TÂN</v>
      </c>
      <c r="C8" s="20" t="str">
        <v>Chỉ tách nếu được duyệt</v>
      </c>
      <c r="D8" s="7" t="n">
        <v>1430000</v>
      </c>
      <c r="E8" s="7" t="n">
        <v>10980000</v>
      </c>
      <c r="F8" s="7"/>
      <c r="G8" s="20" t="str">
        <v>INP6407, INP6408, INP6409, INP6410, INP6411, INP7901, INP7902</v>
      </c>
      <c r="H8" s="20" t="str">
        <v>INP6407, INP6408, INP6409, INP6410, INP6411, INP7901, INP7902</v>
      </c>
      <c r="I8" s="20" t="str">
        <v>Chọn đúng khách; không chọn toàn bộ TIEN-ICH vì có máy sấy tóc</v>
      </c>
    </row>
    <row r="9" ht="56" customHeight="1">
      <c r="A9" s="2" t="str">
        <v>KH050</v>
      </c>
      <c r="B9" s="20" t="str">
        <v>Cửa hàng Phương Bắc</v>
      </c>
      <c r="C9" s="20" t="str">
        <v>Chỉ tách nếu được duyệt</v>
      </c>
      <c r="D9" s="7" t="n">
        <v>2400000</v>
      </c>
      <c r="E9" s="7" t="n">
        <v>0</v>
      </c>
      <c r="F9" s="7"/>
      <c r="G9" s="20" t="str">
        <v>INP6403</v>
      </c>
      <c r="H9" s="20" t="str">
        <v>INP6403</v>
      </c>
      <c r="I9" s="20" t="str">
        <v>Chọn đúng khách; không chọn toàn bộ TIEN-ICH vì có máy sấy tóc</v>
      </c>
    </row>
    <row r="10" ht="56" customHeight="1">
      <c r="A10" s="2" t="str">
        <v>KH053</v>
      </c>
      <c r="B10" s="20" t="str">
        <v>CÔNG TY TNHH SƠN HÙNG</v>
      </c>
      <c r="C10" s="20" t="str">
        <v>Chỉ tách nếu được duyệt</v>
      </c>
      <c r="D10" s="7" t="n">
        <v>4800000</v>
      </c>
      <c r="E10" s="7" t="n">
        <v>0</v>
      </c>
      <c r="F10" s="7"/>
      <c r="G10" s="20" t="str">
        <v>INP6403</v>
      </c>
      <c r="H10" s="20" t="str">
        <v>INP6403</v>
      </c>
      <c r="I10" s="20" t="str">
        <v>Chọn đúng khách; không chọn toàn bộ TIEN-ICH vì có máy sấy tóc</v>
      </c>
    </row>
    <row r="11" ht="56" customHeight="1">
      <c r="A11" s="2" t="str">
        <v>KH055</v>
      </c>
      <c r="B11" s="20" t="str">
        <v>Nguyễn Lệ Nây</v>
      </c>
      <c r="C11" s="20" t="str">
        <v>Chỉ tách nếu được duyệt</v>
      </c>
      <c r="D11" s="7" t="n">
        <v>3200000</v>
      </c>
      <c r="E11" s="7" t="n">
        <v>0</v>
      </c>
      <c r="F11" s="7"/>
      <c r="G11" s="20" t="str">
        <v>INP6403</v>
      </c>
      <c r="H11" s="20" t="str">
        <v>INP6403</v>
      </c>
      <c r="I11" s="20" t="str">
        <v>Chọn đúng khách; không chọn toàn bộ TIEN-ICH vì có máy sấy tóc</v>
      </c>
    </row>
    <row r="12" ht="56" customHeight="1">
      <c r="A12" s="2" t="str">
        <v>KH058</v>
      </c>
      <c r="B12" s="20" t="str">
        <v>CÔNG TY TNHH PHÁT TRIỂN SẢN XUẤT THƯƠNG MẠI DỊCH VỤ RỒNG VIỆT</v>
      </c>
      <c r="C12" s="20" t="str">
        <v>Quạt</v>
      </c>
      <c r="D12" s="7" t="n">
        <v>136820000</v>
      </c>
      <c r="E12" s="7" t="n">
        <v>0</v>
      </c>
      <c r="F12" s="7" t="n">
        <v>136820000</v>
      </c>
      <c r="G12" s="20" t="str">
        <v>INP6401, INP6402, INP6403</v>
      </c>
      <c r="H12" s="20" t="str">
        <v>INP6401-A, INP6402, INP6403</v>
      </c>
      <c r="I12" s="20" t="str">
        <v>Gồm thêm INP6402 ngày 09/10: 620.000 đ; footer quạt chưa cộng</v>
      </c>
    </row>
    <row r="13" ht="56" customHeight="1">
      <c r="A13" s="2" t="str">
        <v>KH066</v>
      </c>
      <c r="B13" s="20" t="str">
        <v>CÔNG TY TNHH THƯƠNG MẠI GIANG MINH NGỌC</v>
      </c>
      <c r="C13" s="20" t="str">
        <v>Chỉ tách nếu được duyệt</v>
      </c>
      <c r="D13" s="7" t="n">
        <v>95249999</v>
      </c>
      <c r="E13" s="7" t="n">
        <v>0</v>
      </c>
      <c r="F13" s="7"/>
      <c r="G13" s="20" t="str">
        <v>INP6403</v>
      </c>
      <c r="H13" s="20" t="str">
        <v>INP6403</v>
      </c>
      <c r="I13" s="20" t="str">
        <v>Chọn đúng khách; không chọn toàn bộ TIEN-ICH vì có máy sấy tóc</v>
      </c>
    </row>
    <row r="14" ht="56" customHeight="1">
      <c r="A14" s="2" t="str">
        <v>KH068</v>
      </c>
      <c r="B14" s="20" t="str">
        <v>CÔNG TY TNHH NHÂN VƯỢNG</v>
      </c>
      <c r="C14" s="20" t="str">
        <v>Quạt + vợt muỗi</v>
      </c>
      <c r="D14" s="7" t="n">
        <v>124749999</v>
      </c>
      <c r="E14" s="7" t="n">
        <v>0</v>
      </c>
      <c r="F14" s="7" t="n">
        <v>124749999</v>
      </c>
      <c r="G14" s="20" t="str">
        <v>INP6401, INP6401(XANH), INP6401(ĐEN), INP6402, INP6403, INP6407, INP6408, INP6409, INP6410, INP6411, INP7901, INP7902</v>
      </c>
      <c r="H14" s="20" t="str">
        <v>INP6401-A, INP6401-B, INP6402, INP6403, INP6407, INP6408, INP6409, INP6410, INP6411, INP7901, INP7902</v>
      </c>
      <c r="I14" s="20" t="str">
        <v>Đã trừ hàng quạt trả lại; chưa có vợt muỗi phát sinh ở khách này</v>
      </c>
    </row>
    <row r="15" ht="56" customHeight="1">
      <c r="A15" s="2" t="str">
        <v>KH071</v>
      </c>
      <c r="B15" s="20" t="str">
        <v>CÔNG TY TNHH GIA BẢO HP</v>
      </c>
      <c r="C15" s="20" t="str">
        <v>Quạt</v>
      </c>
      <c r="D15" s="7" t="n">
        <v>99799999</v>
      </c>
      <c r="E15" s="7" t="n">
        <v>0</v>
      </c>
      <c r="F15" s="7" t="n">
        <v>99799999</v>
      </c>
      <c r="G15" s="20" t="str">
        <v>INP6401, INP6402, INP6403</v>
      </c>
      <c r="H15" s="20" t="str">
        <v>INP6401-A, INP6402, INP6403</v>
      </c>
      <c r="I15" s="20" t="str">
        <v>Chọn đúng khách; không chọn toàn bộ TIEN-ICH vì có máy sấy tóc</v>
      </c>
    </row>
    <row r="16" ht="56" customHeight="1">
      <c r="A16" s="2" t="str">
        <v>KH074</v>
      </c>
      <c r="B16" s="20" t="str">
        <v>CÔNG TY TNHH THƯƠNG MẠI VÀ DỊCH VỤ THẢO NGUYÊN HD</v>
      </c>
      <c r="C16" s="20" t="str">
        <v>Quạt</v>
      </c>
      <c r="D16" s="7" t="n">
        <v>18000000</v>
      </c>
      <c r="E16" s="7" t="n">
        <v>0</v>
      </c>
      <c r="F16" s="7" t="n">
        <v>18000000</v>
      </c>
      <c r="G16" s="20" t="str">
        <v>INP6401, INP6403</v>
      </c>
      <c r="H16" s="20" t="str">
        <v>INP6401-A, INP6403</v>
      </c>
      <c r="I16" s="20" t="str">
        <v>Chọn đúng khách; không chọn toàn bộ TIEN-ICH vì có máy sấy tóc</v>
      </c>
    </row>
    <row r="17" ht="56" customHeight="1">
      <c r="A17" s="2" t="str">
        <v>KH083</v>
      </c>
      <c r="B17" s="20" t="str">
        <v>Nguyễn Đức Tuấn</v>
      </c>
      <c r="C17" s="20" t="str">
        <v>Chỉ tách nếu được duyệt</v>
      </c>
      <c r="D17" s="7" t="n">
        <v>5600000</v>
      </c>
      <c r="E17" s="7" t="n">
        <v>0</v>
      </c>
      <c r="F17" s="7"/>
      <c r="G17" s="20" t="str">
        <v>INP6403</v>
      </c>
      <c r="H17" s="20" t="str">
        <v>INP6403</v>
      </c>
      <c r="I17" s="20" t="str">
        <v>Chọn đúng khách; không chọn toàn bộ TIEN-ICH vì có máy sấy tóc</v>
      </c>
    </row>
  </sheetData>
  <pageMargins left="0.7" right="0.7" top="0.75" bottom="0.75" header="0.3" footer="0.3"/>
  <tableParts count="1">
    <tablePart xmlns:r="http://schemas.openxmlformats.org/officeDocument/2006/relationships" r:id="R7b4c7621cada4371"/>
  </tableParts>
</worksheet>
</file>

<file path=xl/worksheets/sheet6.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6" hidden="0" customWidth="1"/>
    <col min="2" max="2" width="12" hidden="0" customWidth="1"/>
    <col min="3" max="3" width="21" hidden="0" customWidth="1"/>
    <col min="4" max="4" width="24" hidden="0" customWidth="1"/>
    <col min="5" max="5" width="25" hidden="0" customWidth="1"/>
    <col min="6" max="6" width="18" hidden="0" customWidth="1"/>
    <col min="7" max="7" width="18" hidden="0" customWidth="1"/>
    <col min="8" max="8" width="27" hidden="0" customWidth="1"/>
    <col min="9" max="9" width="24" hidden="0" customWidth="1"/>
    <col min="10" max="10" width="22" hidden="0" customWidth="1"/>
    <col min="11" max="11" width="60" hidden="0" customWidth="1"/>
    <col min="12" max="12" width="85" hidden="0" customWidth="1"/>
    <col min="13" max="13" width="48" hidden="0" customWidth="1"/>
  </cols>
  <sheetData>
    <row r="1" ht="42" customHeight="1">
      <c r="A1" s="5" t="str">
        <v>Loại</v>
      </c>
      <c r="B1" s="5" t="str">
        <v>Mã KH</v>
      </c>
      <c r="C1" s="5" t="str">
        <v>Mã dòng nguồn</v>
      </c>
      <c r="D1" s="5" t="str">
        <v>Phiếu nguồn</v>
      </c>
      <c r="E1" s="5" t="str">
        <v>Phiếu ERP giữ lại</v>
      </c>
      <c r="F1" s="5" t="str">
        <v>Ngày nguồn</v>
      </c>
      <c r="G1" s="5" t="str">
        <v>Ngày ERP</v>
      </c>
      <c r="H1" s="5" t="str">
        <v>Số gốc nguồn (text)</v>
      </c>
      <c r="I1" s="5" t="str">
        <v>Số tiền ERP</v>
      </c>
      <c r="J1" s="5" t="str">
        <v>ERP − nguồn</v>
      </c>
      <c r="K1" s="5" t="str">
        <v>Cách tránh trùng</v>
      </c>
      <c r="L1" s="5" t="str">
        <v>Căn cứ ghép</v>
      </c>
      <c r="M1" s="5" t="str">
        <v>Nguồn</v>
      </c>
    </row>
    <row r="2" ht="50" customHeight="1">
      <c r="A2" s="2" t="str">
        <v>Bán hàng</v>
      </c>
      <c r="B2" s="2" t="str">
        <v>KH092</v>
      </c>
      <c r="C2" s="2" t="str">
        <v>S2-02002-BH</v>
      </c>
      <c r="D2" s="2" t="str">
        <v>BH2026100110</v>
      </c>
      <c r="E2" s="2" t="str">
        <v>BH2026100110</v>
      </c>
      <c r="F2" s="2" t="str">
        <v>2026-10-03</v>
      </c>
      <c r="G2" s="2" t="str">
        <v>2026-10-03</v>
      </c>
      <c r="H2" s="2" t="str">
        <v>3501000.00</v>
      </c>
      <c r="I2" s="7" t="n">
        <v>3501000</v>
      </c>
      <c r="J2" s="28" t="n">
        <v>0</v>
      </c>
      <c r="K2" s="20" t="str">
        <v>Ghi cột Phiếu ERP (trùng); ERP bỏ qua toàn bộ dòng</v>
      </c>
      <c r="L2" s="20" t="str">
        <v>Trùng mã phiếu, đối chiếu khách + hàng + tiền</v>
      </c>
      <c r="M2" s="20" t="str">
        <v>2.xlsx | 订单!2002-2004</v>
      </c>
    </row>
    <row r="3" ht="50" customHeight="1">
      <c r="A3" s="2" t="str">
        <v>Bán hàng</v>
      </c>
      <c r="B3" s="2" t="str">
        <v>KH080</v>
      </c>
      <c r="C3" s="2" t="str">
        <v>S2-02006-BH</v>
      </c>
      <c r="D3" s="2" t="str">
        <v>BH2026100109</v>
      </c>
      <c r="E3" s="2" t="str">
        <v>BH2026100109</v>
      </c>
      <c r="F3" s="2" t="str">
        <v>2026-10-03</v>
      </c>
      <c r="G3" s="2" t="str">
        <v>2026-10-03</v>
      </c>
      <c r="H3" s="2" t="str">
        <v>12480000.09</v>
      </c>
      <c r="I3" s="7" t="n">
        <v>12480000</v>
      </c>
      <c r="J3" s="28" t="n">
        <v>-0.08999999985098839</v>
      </c>
      <c r="K3" s="20" t="str">
        <v>Ghi cột Phiếu ERP (trùng); ERP bỏ qua toàn bộ dòng</v>
      </c>
      <c r="L3" s="20" t="str">
        <v>Trùng mã phiếu, đối chiếu khách + hàng + tiền</v>
      </c>
      <c r="M3" s="20" t="str">
        <v>2.xlsx | 订单!2006-2008</v>
      </c>
    </row>
    <row r="4" ht="50" customHeight="1">
      <c r="A4" s="2" t="str">
        <v>Bán hàng</v>
      </c>
      <c r="B4" s="2" t="str">
        <v>KH055</v>
      </c>
      <c r="C4" s="2" t="str">
        <v>S2-02010-BH</v>
      </c>
      <c r="D4" s="2" t="str">
        <v>BH2026100106</v>
      </c>
      <c r="E4" s="2" t="str">
        <v>BH2026100106</v>
      </c>
      <c r="F4" s="2" t="str">
        <v>2026-10-02</v>
      </c>
      <c r="G4" s="2" t="str">
        <v>2026-10-02</v>
      </c>
      <c r="H4" s="2" t="str">
        <v>8040000.00</v>
      </c>
      <c r="I4" s="7" t="n">
        <v>8040000</v>
      </c>
      <c r="J4" s="28" t="n">
        <v>0</v>
      </c>
      <c r="K4" s="20" t="str">
        <v>Ghi cột Phiếu ERP (trùng); ERP bỏ qua toàn bộ dòng</v>
      </c>
      <c r="L4" s="20" t="str">
        <v>Trùng mã phiếu, đối chiếu khách + hàng + tiền</v>
      </c>
      <c r="M4" s="20" t="str">
        <v>2.xlsx | 订单!2010-2011</v>
      </c>
    </row>
    <row r="5" ht="50" customHeight="1">
      <c r="A5" s="2" t="str">
        <v>Bán hàng</v>
      </c>
      <c r="B5" s="2" t="str">
        <v>KH056</v>
      </c>
      <c r="C5" s="2" t="str">
        <v>S2-02012-BH</v>
      </c>
      <c r="D5" s="2" t="str">
        <v>BH2026100108</v>
      </c>
      <c r="E5" s="2" t="str">
        <v>BH2026100108</v>
      </c>
      <c r="F5" s="2" t="str">
        <v>2026-10-03</v>
      </c>
      <c r="G5" s="2" t="str">
        <v>2026-10-03</v>
      </c>
      <c r="H5" s="2" t="str">
        <v>2499999.98</v>
      </c>
      <c r="I5" s="7" t="n">
        <v>2500000</v>
      </c>
      <c r="J5" s="28" t="n">
        <v>0.02000000001862645</v>
      </c>
      <c r="K5" s="20" t="str">
        <v>Ghi cột Phiếu ERP (trùng); ERP bỏ qua toàn bộ dòng</v>
      </c>
      <c r="L5" s="20" t="str">
        <v>Trùng mã phiếu, đối chiếu khách + hàng + tiền</v>
      </c>
      <c r="M5" s="20" t="str">
        <v>2.xlsx | 订单!2012-2013</v>
      </c>
    </row>
    <row r="6" ht="50" customHeight="1">
      <c r="A6" s="2" t="str">
        <v>Bán hàng</v>
      </c>
      <c r="B6" s="2" t="str">
        <v>KH002</v>
      </c>
      <c r="C6" s="2" t="str">
        <v>S2-02043-BH</v>
      </c>
      <c r="D6" s="2" t="str">
        <v>BH2026100111</v>
      </c>
      <c r="E6" s="2" t="str">
        <v>BH2026100111</v>
      </c>
      <c r="F6" s="2" t="str">
        <v>2026-10-05</v>
      </c>
      <c r="G6" s="2" t="str">
        <v>2026-10-05</v>
      </c>
      <c r="H6" s="2" t="str">
        <v>84299999.94</v>
      </c>
      <c r="I6" s="7" t="n">
        <v>84300000</v>
      </c>
      <c r="J6" s="28" t="n">
        <v>0.06000000238418579</v>
      </c>
      <c r="K6" s="20" t="str">
        <v>Ghi cột Phiếu ERP (trùng); ERP bỏ qua toàn bộ dòng</v>
      </c>
      <c r="L6" s="20" t="str">
        <v>Trùng mã phiếu, đối chiếu khách + hàng + tiền</v>
      </c>
      <c r="M6" s="20" t="str">
        <v>2.xlsx | 订单!2043-2045</v>
      </c>
    </row>
    <row r="7" ht="50" customHeight="1">
      <c r="A7" s="2" t="str">
        <v>Bán hàng</v>
      </c>
      <c r="B7" s="2" t="str">
        <v>KH092</v>
      </c>
      <c r="C7" s="2" t="str">
        <v>S2-02049-BH</v>
      </c>
      <c r="D7" s="2" t="str">
        <v>BH2026100116</v>
      </c>
      <c r="E7" s="2" t="str">
        <v>BH2026100116</v>
      </c>
      <c r="F7" s="2" t="str">
        <v>2026-10-07</v>
      </c>
      <c r="G7" s="2" t="str">
        <v>2026-10-07</v>
      </c>
      <c r="H7" s="2" t="str">
        <v>1574000.00</v>
      </c>
      <c r="I7" s="7" t="n">
        <v>1574000</v>
      </c>
      <c r="J7" s="28" t="n">
        <v>0</v>
      </c>
      <c r="K7" s="20" t="str">
        <v>Ghi cột Phiếu ERP (trùng); ERP bỏ qua toàn bộ dòng</v>
      </c>
      <c r="L7" s="20" t="str">
        <v>Trùng mã phiếu, đối chiếu khách + hàng + tiền</v>
      </c>
      <c r="M7" s="20" t="str">
        <v>2.xlsx | 订单!2049-2050</v>
      </c>
    </row>
    <row r="8" ht="50" customHeight="1">
      <c r="A8" s="2" t="str">
        <v>Bán hàng</v>
      </c>
      <c r="B8" s="2" t="str">
        <v>KH055</v>
      </c>
      <c r="C8" s="2" t="str">
        <v>S2-02051-BH</v>
      </c>
      <c r="D8" s="2" t="str">
        <v>BH2026100117</v>
      </c>
      <c r="E8" s="2" t="str">
        <v>BH2026100117</v>
      </c>
      <c r="F8" s="2" t="str">
        <v>2026-10-08</v>
      </c>
      <c r="G8" s="2" t="str">
        <v>2026-10-08</v>
      </c>
      <c r="H8" s="2" t="str">
        <v>2400000.00</v>
      </c>
      <c r="I8" s="7" t="n">
        <v>2400000</v>
      </c>
      <c r="J8" s="28" t="n">
        <v>0</v>
      </c>
      <c r="K8" s="20" t="str">
        <v>Ghi cột Phiếu ERP (trùng); ERP bỏ qua toàn bộ dòng</v>
      </c>
      <c r="L8" s="20" t="str">
        <v>Trùng mã phiếu, đối chiếu khách + hàng + tiền</v>
      </c>
      <c r="M8" s="20" t="str">
        <v>2.xlsx | 订单!2051</v>
      </c>
    </row>
    <row r="9" ht="50" customHeight="1">
      <c r="A9" s="2" t="str">
        <v>Bán hàng</v>
      </c>
      <c r="B9" s="2" t="str">
        <v>KH053</v>
      </c>
      <c r="C9" s="2" t="str">
        <v>S2-02058-BH</v>
      </c>
      <c r="D9" s="2" t="str">
        <v>BH2026100120</v>
      </c>
      <c r="E9" s="2" t="str">
        <v>BH2026100120</v>
      </c>
      <c r="F9" s="2" t="str">
        <v>2026-10-08</v>
      </c>
      <c r="G9" s="2" t="str">
        <v>2026-10-08</v>
      </c>
      <c r="H9" s="2" t="str">
        <v>5880000.02</v>
      </c>
      <c r="I9" s="7" t="n">
        <v>5880000</v>
      </c>
      <c r="J9" s="28" t="n">
        <v>-0.019999999552965164</v>
      </c>
      <c r="K9" s="20" t="str">
        <v>Ghi cột Phiếu ERP (trùng); ERP bỏ qua toàn bộ dòng</v>
      </c>
      <c r="L9" s="20" t="str">
        <v>Trùng mã phiếu, đối chiếu khách + hàng + tiền</v>
      </c>
      <c r="M9" s="20" t="str">
        <v>2.xlsx | 订单!2058</v>
      </c>
    </row>
    <row r="10" ht="50" customHeight="1">
      <c r="A10" s="2" t="str">
        <v>Bán hàng</v>
      </c>
      <c r="B10" s="2" t="str">
        <v>KH070</v>
      </c>
      <c r="C10" s="2" t="str">
        <v>S2-02059-BH</v>
      </c>
      <c r="D10" s="2" t="str">
        <v>BH2026100121</v>
      </c>
      <c r="E10" s="2" t="str">
        <v>BH2026100121</v>
      </c>
      <c r="F10" s="2" t="str">
        <v>2026-10-08</v>
      </c>
      <c r="G10" s="2" t="str">
        <v>2026-10-08</v>
      </c>
      <c r="H10" s="2" t="str">
        <v>54000000.43</v>
      </c>
      <c r="I10" s="7" t="n">
        <v>54000000</v>
      </c>
      <c r="J10" s="28" t="n">
        <v>-0.4299999997019768</v>
      </c>
      <c r="K10" s="20" t="str">
        <v>Ghi cột Phiếu ERP (trùng); ERP bỏ qua toàn bộ dòng</v>
      </c>
      <c r="L10" s="20" t="str">
        <v>Trùng mã phiếu, đối chiếu khách + hàng + tiền</v>
      </c>
      <c r="M10" s="20" t="str">
        <v>2.xlsx | 订单!2059-2061</v>
      </c>
    </row>
    <row r="11" ht="50" customHeight="1">
      <c r="A11" s="2" t="str">
        <v>Bán hàng</v>
      </c>
      <c r="B11" s="2" t="str">
        <v>KH021</v>
      </c>
      <c r="C11" s="2" t="str">
        <v>S2-02074-BH</v>
      </c>
      <c r="D11" s="2" t="str">
        <v>BH2026100123</v>
      </c>
      <c r="E11" s="2" t="str">
        <v>BH2026100123</v>
      </c>
      <c r="F11" s="2" t="str">
        <v>2026-10-09</v>
      </c>
      <c r="G11" s="2" t="str">
        <v>2026-10-09</v>
      </c>
      <c r="H11" s="2" t="str">
        <v>5400000.04</v>
      </c>
      <c r="I11" s="7" t="n">
        <v>5400000</v>
      </c>
      <c r="J11" s="28" t="n">
        <v>-0.0400000000372529</v>
      </c>
      <c r="K11" s="20" t="str">
        <v>Ghi cột Phiếu ERP (trùng); ERP bỏ qua toàn bộ dòng</v>
      </c>
      <c r="L11" s="20" t="str">
        <v>Trùng mã phiếu, đối chiếu khách + hàng + tiền</v>
      </c>
      <c r="M11" s="20" t="str">
        <v>2.xlsx | 订单!2074-2076</v>
      </c>
    </row>
    <row r="12" ht="50" customHeight="1">
      <c r="A12" s="2" t="str">
        <v>Bán hàng</v>
      </c>
      <c r="B12" s="2" t="str">
        <v>KH091</v>
      </c>
      <c r="C12" s="2" t="str">
        <v>S2-02091-BH</v>
      </c>
      <c r="D12" s="2" t="str">
        <v>BH2026100126</v>
      </c>
      <c r="E12" s="2" t="str">
        <v>BH2026100126</v>
      </c>
      <c r="F12" s="2" t="str">
        <v>2026-10-12</v>
      </c>
      <c r="G12" s="2" t="str">
        <v>2026-10-12</v>
      </c>
      <c r="H12" s="2" t="str">
        <v>56517999.71</v>
      </c>
      <c r="I12" s="7" t="n">
        <v>56518000</v>
      </c>
      <c r="J12" s="28" t="n">
        <v>0.28999999910593033</v>
      </c>
      <c r="K12" s="20" t="str">
        <v>Ghi cột Phiếu ERP (trùng); ERP bỏ qua toàn bộ dòng</v>
      </c>
      <c r="L12" s="20" t="str">
        <v>Trùng mã phiếu, đối chiếu khách + hàng + tiền</v>
      </c>
      <c r="M12" s="20" t="str">
        <v>2.xlsx | 订单!2091-2099</v>
      </c>
    </row>
    <row r="13" ht="50" customHeight="1">
      <c r="A13" s="2" t="str">
        <v>Bán hàng</v>
      </c>
      <c r="B13" s="2" t="str">
        <v>KH058</v>
      </c>
      <c r="C13" s="2" t="str">
        <v>S2-02104-BH</v>
      </c>
      <c r="D13" s="2" t="str">
        <v>BH2026100122</v>
      </c>
      <c r="E13" s="2" t="str">
        <v>BH2026100122</v>
      </c>
      <c r="F13" s="2" t="str">
        <v>2026-10-09</v>
      </c>
      <c r="G13" s="2" t="str">
        <v>2026-10-09</v>
      </c>
      <c r="H13" s="2" t="str">
        <v>62179999.67</v>
      </c>
      <c r="I13" s="7" t="n">
        <v>62180000</v>
      </c>
      <c r="J13" s="28" t="n">
        <v>0.32999999821186066</v>
      </c>
      <c r="K13" s="20" t="str">
        <v>Ghi cột Phiếu ERP (trùng); ERP bỏ qua toàn bộ dòng</v>
      </c>
      <c r="L13" s="20" t="str">
        <v>Trùng mã phiếu, đối chiếu khách + hàng + tiền</v>
      </c>
      <c r="M13" s="20" t="str">
        <v>2.xlsx | 订单!2104-2108</v>
      </c>
    </row>
    <row r="14" ht="50" customHeight="1">
      <c r="A14" s="2" t="str">
        <v>Bán hàng</v>
      </c>
      <c r="B14" s="2" t="str">
        <v>KH091</v>
      </c>
      <c r="C14" s="2" t="str">
        <v>S2-02113-BH</v>
      </c>
      <c r="D14" s="2" t="str">
        <v>BH2026100129</v>
      </c>
      <c r="E14" s="2" t="str">
        <v>BH2026100129</v>
      </c>
      <c r="F14" s="2" t="str">
        <v>2026-10-13</v>
      </c>
      <c r="G14" s="2" t="str">
        <v>2026-10-13</v>
      </c>
      <c r="H14" s="2" t="str">
        <v>59839999.77</v>
      </c>
      <c r="I14" s="7" t="n">
        <v>59840000</v>
      </c>
      <c r="J14" s="28" t="n">
        <v>0.22999999672174454</v>
      </c>
      <c r="K14" s="20" t="str">
        <v>Ghi cột Phiếu ERP (trùng); ERP bỏ qua toàn bộ dòng</v>
      </c>
      <c r="L14" s="20" t="str">
        <v>Trùng mã phiếu, đối chiếu khách + hàng + tiền</v>
      </c>
      <c r="M14" s="20" t="str">
        <v>2.xlsx | 订单!2113-2119</v>
      </c>
    </row>
    <row r="15" ht="50" customHeight="1">
      <c r="A15" s="2" t="str">
        <v>Bán hàng</v>
      </c>
      <c r="B15" s="2" t="str">
        <v>KH024</v>
      </c>
      <c r="C15" s="2" t="str">
        <v>S2-02122-BH</v>
      </c>
      <c r="D15" s="2" t="str">
        <v>BH2026100130</v>
      </c>
      <c r="E15" s="2" t="str">
        <v>BH2026100130</v>
      </c>
      <c r="F15" s="2" t="str">
        <v>2026-10-14</v>
      </c>
      <c r="G15" s="2" t="str">
        <v>2026-10-14</v>
      </c>
      <c r="H15" s="2" t="str">
        <v>34449999.89</v>
      </c>
      <c r="I15" s="7" t="n">
        <v>34450000</v>
      </c>
      <c r="J15" s="28" t="n">
        <v>0.10999999940395355</v>
      </c>
      <c r="K15" s="20" t="str">
        <v>Ghi cột Phiếu ERP (trùng); ERP bỏ qua toàn bộ dòng</v>
      </c>
      <c r="L15" s="20" t="str">
        <v>Trùng mã phiếu, đối chiếu khách + hàng + tiền</v>
      </c>
      <c r="M15" s="20" t="str">
        <v>2.xlsx | 订单!2122-2125</v>
      </c>
    </row>
    <row r="16" ht="50" customHeight="1">
      <c r="A16" s="2" t="str">
        <v>Bán hàng</v>
      </c>
      <c r="B16" s="2" t="str">
        <v>KH004</v>
      </c>
      <c r="C16" s="2" t="str">
        <v>S2-02185-BH</v>
      </c>
      <c r="D16" s="2" t="str">
        <v>BH2026100131</v>
      </c>
      <c r="E16" s="2" t="str">
        <v>BH2026100131</v>
      </c>
      <c r="F16" s="2" t="str">
        <v>2026-10-14</v>
      </c>
      <c r="G16" s="2" t="str">
        <v>2026-10-14</v>
      </c>
      <c r="H16" s="2" t="str">
        <v>16823999.98</v>
      </c>
      <c r="I16" s="7" t="n">
        <v>16824000</v>
      </c>
      <c r="J16" s="28" t="n">
        <v>0.019999999552965164</v>
      </c>
      <c r="K16" s="20" t="str">
        <v>Ghi cột Phiếu ERP (trùng); ERP bỏ qua toàn bộ dòng</v>
      </c>
      <c r="L16" s="20" t="str">
        <v>Trùng mã phiếu, đối chiếu khách + hàng + tiền</v>
      </c>
      <c r="M16" s="20" t="str">
        <v>2.xlsx | 订单!2185-2190</v>
      </c>
    </row>
    <row r="17" ht="50" customHeight="1">
      <c r="A17" s="2" t="str">
        <v>Bán hàng</v>
      </c>
      <c r="B17" s="2" t="str">
        <v>KH012</v>
      </c>
      <c r="C17" s="2" t="str">
        <v>S2-02208-BH</v>
      </c>
      <c r="D17" s="2" t="str">
        <v>BH2026100136</v>
      </c>
      <c r="E17" s="2" t="str">
        <v>BH2026100136</v>
      </c>
      <c r="F17" s="2" t="str">
        <v>2026-10-16</v>
      </c>
      <c r="G17" s="2" t="str">
        <v>2026-10-16</v>
      </c>
      <c r="H17" s="2" t="str">
        <v>4319999.96</v>
      </c>
      <c r="I17" s="7" t="n">
        <v>4320000</v>
      </c>
      <c r="J17" s="28" t="n">
        <v>0.0400000000372529</v>
      </c>
      <c r="K17" s="20" t="str">
        <v>Ghi cột Phiếu ERP (trùng); ERP bỏ qua toàn bộ dòng</v>
      </c>
      <c r="L17" s="20" t="str">
        <v>Trùng mã phiếu, đối chiếu khách + hàng + tiền</v>
      </c>
      <c r="M17" s="20" t="str">
        <v>2.xlsx | 订单!2208</v>
      </c>
    </row>
    <row r="18" ht="50" customHeight="1">
      <c r="A18" s="2" t="str">
        <v>Bán hàng</v>
      </c>
      <c r="B18" s="2" t="str">
        <v>KH002</v>
      </c>
      <c r="C18" s="2" t="str">
        <v>S2-02214-BH</v>
      </c>
      <c r="D18" s="2" t="str">
        <v>BH2026100133</v>
      </c>
      <c r="E18" s="2" t="str">
        <v>BH2026100133</v>
      </c>
      <c r="F18" s="2" t="str">
        <v>2026-10-15</v>
      </c>
      <c r="G18" s="2" t="str">
        <v>2026-10-15</v>
      </c>
      <c r="H18" s="2" t="str">
        <v>98399999.77</v>
      </c>
      <c r="I18" s="7" t="n">
        <v>98400000</v>
      </c>
      <c r="J18" s="28" t="n">
        <v>0.23000000417232513</v>
      </c>
      <c r="K18" s="20" t="str">
        <v>Ghi cột Phiếu ERP (trùng); ERP bỏ qua toàn bộ dòng</v>
      </c>
      <c r="L18" s="20" t="str">
        <v>Trùng mã phiếu, đối chiếu khách + hàng + tiền</v>
      </c>
      <c r="M18" s="20" t="str">
        <v>2.xlsx | 订单!2214-2216</v>
      </c>
    </row>
    <row r="19" ht="50" customHeight="1">
      <c r="A19" s="2" t="str">
        <v>Bán hàng</v>
      </c>
      <c r="B19" s="2" t="str">
        <v>KH053</v>
      </c>
      <c r="C19" s="2" t="str">
        <v>S2-02009-BH</v>
      </c>
      <c r="D19" s="2" t="str">
        <v>BH2026100105</v>
      </c>
      <c r="E19" s="2" t="str">
        <v>BH2026100105</v>
      </c>
      <c r="F19" s="2" t="str">
        <v>2026-10-02</v>
      </c>
      <c r="G19" s="2" t="str">
        <v>2026-10-01</v>
      </c>
      <c r="H19" s="2" t="str">
        <v>8400000.02</v>
      </c>
      <c r="I19" s="7" t="n">
        <v>8400000</v>
      </c>
      <c r="J19" s="28" t="n">
        <v>-0.019999999552965164</v>
      </c>
      <c r="K19" s="20" t="str">
        <v>Ghi cột Phiếu ERP (trùng); ERP bỏ qua toàn bộ dòng</v>
      </c>
      <c r="L19" s="20" t="str">
        <v>Trùng mã phiếu, đối chiếu khách + hàng + tiền</v>
      </c>
      <c r="M19" s="20" t="str">
        <v>2.xlsx | 订单!2009</v>
      </c>
    </row>
    <row r="20" ht="50" customHeight="1">
      <c r="A20" s="2" t="str">
        <v>Bán hàng</v>
      </c>
      <c r="B20" s="2" t="str">
        <v>KH055</v>
      </c>
      <c r="C20" s="2" t="str">
        <v>S2-02040-BH</v>
      </c>
      <c r="D20" s="2" t="str">
        <v>BH2026100115</v>
      </c>
      <c r="E20" s="2" t="str">
        <v>BH2026100115</v>
      </c>
      <c r="F20" s="2" t="str">
        <v>2026-10-07</v>
      </c>
      <c r="G20" s="2" t="str">
        <v>2026-10-06</v>
      </c>
      <c r="H20" s="2" t="str">
        <v>4240000.02</v>
      </c>
      <c r="I20" s="7" t="n">
        <v>4240000</v>
      </c>
      <c r="J20" s="28" t="n">
        <v>-0.019999999552965164</v>
      </c>
      <c r="K20" s="20" t="str">
        <v>Ghi cột Phiếu ERP (trùng); ERP bỏ qua toàn bộ dòng</v>
      </c>
      <c r="L20" s="20" t="str">
        <v>Trùng mã phiếu, đối chiếu khách + hàng + tiền</v>
      </c>
      <c r="M20" s="20" t="str">
        <v>2.xlsx | 订单!2040-2042</v>
      </c>
    </row>
    <row r="21" ht="50" customHeight="1">
      <c r="A21" s="2" t="str">
        <v>Bán hàng</v>
      </c>
      <c r="B21" s="2" t="str">
        <v>KH083</v>
      </c>
      <c r="C21" s="2" t="str">
        <v>S2-02191-BH</v>
      </c>
      <c r="D21" s="2" t="str">
        <v>BH2026100134</v>
      </c>
      <c r="E21" s="2" t="str">
        <v>BH2026100134</v>
      </c>
      <c r="F21" s="2" t="str">
        <v>2026-10-15</v>
      </c>
      <c r="G21" s="2" t="str">
        <v>2026-10-16</v>
      </c>
      <c r="H21" s="2" t="str">
        <v>2400000.00</v>
      </c>
      <c r="I21" s="7" t="n">
        <v>2400000</v>
      </c>
      <c r="J21" s="28" t="n">
        <v>0</v>
      </c>
      <c r="K21" s="20" t="str">
        <v>Ghi cột Phiếu ERP (trùng); ERP bỏ qua toàn bộ dòng</v>
      </c>
      <c r="L21" s="20" t="str">
        <v>Trùng mã phiếu, đối chiếu khách + hàng + tiền</v>
      </c>
      <c r="M21" s="20" t="str">
        <v>2.xlsx | 订单!2191</v>
      </c>
    </row>
    <row r="22" ht="50" customHeight="1">
      <c r="A22" s="2" t="str">
        <v>Bán hàng</v>
      </c>
      <c r="B22" s="2" t="str">
        <v>KH096</v>
      </c>
      <c r="C22" s="2" t="str">
        <v>S2-02079-BH</v>
      </c>
      <c r="D22" s="2" t="str">
        <v>BH2026100127</v>
      </c>
      <c r="E22" s="2" t="str">
        <v>BH2026100127</v>
      </c>
      <c r="F22" s="2" t="str">
        <v>2026-10-09</v>
      </c>
      <c r="G22" s="2" t="str">
        <v>2026-10-12</v>
      </c>
      <c r="H22" s="2" t="str">
        <v>880000.01</v>
      </c>
      <c r="I22" s="7" t="n">
        <v>880000</v>
      </c>
      <c r="J22" s="28" t="n">
        <v>-0.010000000009313226</v>
      </c>
      <c r="K22" s="20" t="str">
        <v>Ghi cột Phiếu ERP (trùng); ERP bỏ qua toàn bộ dòng</v>
      </c>
      <c r="L22" s="20" t="str">
        <v>Trùng mã phiếu, đối chiếu khách + hàng + tiền</v>
      </c>
      <c r="M22" s="20" t="str">
        <v>2.xlsx | 订单!2079-2080</v>
      </c>
    </row>
    <row r="23" ht="50" customHeight="1">
      <c r="A23" s="2" t="str">
        <v>Bán hàng</v>
      </c>
      <c r="B23" s="2" t="str">
        <v>KH068</v>
      </c>
      <c r="C23" s="2" t="str">
        <v>S2-02031-BH</v>
      </c>
      <c r="D23" s="2" t="str">
        <v>BH2026100114</v>
      </c>
      <c r="E23" s="2" t="str">
        <v>BH2026100114</v>
      </c>
      <c r="F23" s="2" t="str">
        <v>2026-10-05</v>
      </c>
      <c r="G23" s="2" t="str">
        <v>2026-10-05</v>
      </c>
      <c r="H23" s="2" t="str">
        <v>26819997.29</v>
      </c>
      <c r="I23" s="7" t="n">
        <v>26820000</v>
      </c>
      <c r="J23" s="28" t="n">
        <v>2.7100000008940697</v>
      </c>
      <c r="K23" s="20" t="str">
        <v>Ghi cột Phiếu ERP (trùng); ERP bỏ qua toàn bộ dòng</v>
      </c>
      <c r="L23" s="20" t="str">
        <v>Trùng mã phiếu, đối chiếu khách + hàng + tiền</v>
      </c>
      <c r="M23" s="20" t="str">
        <v>2.xlsx | 订单!2031-2039</v>
      </c>
    </row>
    <row r="24" ht="50" customHeight="1">
      <c r="A24" s="2" t="str">
        <v>Bán hàng</v>
      </c>
      <c r="B24" s="2" t="str">
        <v>KH071</v>
      </c>
      <c r="C24" s="2" t="str">
        <v>S2-02166-BH</v>
      </c>
      <c r="D24" s="2" t="str">
        <v>BH2026100132</v>
      </c>
      <c r="E24" s="2" t="str">
        <v>BH2026100132</v>
      </c>
      <c r="F24" s="2" t="str">
        <v>2026-10-14</v>
      </c>
      <c r="G24" s="2" t="str">
        <v>2026-10-14</v>
      </c>
      <c r="H24" s="2" t="str">
        <v>61917999.94</v>
      </c>
      <c r="I24" s="7" t="n">
        <v>61918000</v>
      </c>
      <c r="J24" s="28" t="n">
        <v>0.06000000238418579</v>
      </c>
      <c r="K24" s="20" t="str">
        <v>Ghi cột Phiếu ERP (trùng); ERP bỏ qua toàn bộ dòng</v>
      </c>
      <c r="L24" s="20" t="str">
        <v>Trùng mã phiếu, đối chiếu khách + hàng + tiền</v>
      </c>
      <c r="M24" s="20" t="str">
        <v>2.xlsx | 订单!2166-2176</v>
      </c>
    </row>
    <row r="25" ht="50" customHeight="1">
      <c r="A25" s="2" t="str">
        <v>Bán hàng</v>
      </c>
      <c r="B25" s="2" t="str">
        <v>KH001</v>
      </c>
      <c r="C25" s="2" t="str">
        <v>S2-01972-BH</v>
      </c>
      <c r="D25" s="2" t="str">
        <v>BH2026090104</v>
      </c>
      <c r="E25" s="2" t="str">
        <v>BH2026100104</v>
      </c>
      <c r="F25" s="2" t="str">
        <v>2026-09-30</v>
      </c>
      <c r="G25" s="2" t="str">
        <v>2026-10-01</v>
      </c>
      <c r="H25" s="2" t="str">
        <v>66149999.95</v>
      </c>
      <c r="I25" s="7" t="n">
        <v>66150000</v>
      </c>
      <c r="J25" s="28" t="n">
        <v>0.04999999701976776</v>
      </c>
      <c r="K25" s="20" t="str">
        <v>Ghi cột Phiếu ERP (trùng); ERP bỏ qua toàn bộ dòng</v>
      </c>
      <c r="L25" s="20" t="str">
        <v>Khác mã: cùng khách, cùng toàn bộ mã hàng / số lượng, chênh ngày 1 ngày</v>
      </c>
      <c r="M25" s="20" t="str">
        <v>2.xlsx | 订单!1972-1978</v>
      </c>
    </row>
    <row r="26" ht="50" customHeight="1">
      <c r="A26" s="2" t="str">
        <v>Thu tiền</v>
      </c>
      <c r="B26" s="2" t="str">
        <v>KH056</v>
      </c>
      <c r="C26" s="2" t="str">
        <v>S2-02071-TT</v>
      </c>
      <c r="D26" s="2" t="str"/>
      <c r="E26" s="2" t="str">
        <v>PAY2610-00001</v>
      </c>
      <c r="F26" s="2" t="str">
        <v>2026-10-09</v>
      </c>
      <c r="G26" s="2" t="str">
        <v>2026-10-04</v>
      </c>
      <c r="H26" s="2" t="str">
        <v>2500000.00</v>
      </c>
      <c r="I26" s="7" t="n">
        <v>2500000</v>
      </c>
      <c r="J26" s="28" t="n">
        <v>0</v>
      </c>
      <c r="K26" s="20" t="str">
        <v>Loại khỏi sheet import để không ghi thêm phiếu thu</v>
      </c>
      <c r="L26" s="20" t="str">
        <v>Ngày khác: khoản duy nhất cùng khách / tiền; cùng một đơn đã thanh toán</v>
      </c>
      <c r="M26" s="20" t="str">
        <v>2.xlsx | 订单!2071</v>
      </c>
    </row>
    <row r="27" ht="50" customHeight="1">
      <c r="A27" s="2" t="str">
        <v>Thu tiền</v>
      </c>
      <c r="B27" s="2" t="str">
        <v>KH083</v>
      </c>
      <c r="C27" s="2" t="str">
        <v>S2-02210-TT</v>
      </c>
      <c r="D27" s="2" t="str"/>
      <c r="E27" s="2" t="str">
        <v>PAY2610-00002</v>
      </c>
      <c r="F27" s="2" t="str">
        <v>2026-10-16</v>
      </c>
      <c r="G27" s="2" t="str">
        <v>2026-10-16</v>
      </c>
      <c r="H27" s="2" t="str">
        <v>2400000.00</v>
      </c>
      <c r="I27" s="7" t="n">
        <v>2400000</v>
      </c>
      <c r="J27" s="28" t="n">
        <v>0</v>
      </c>
      <c r="K27" s="20" t="str">
        <v>Loại khỏi sheet import để không ghi thêm phiếu thu</v>
      </c>
      <c r="L27" s="20" t="str">
        <v>Cùng khách, ngày, tiền</v>
      </c>
      <c r="M27" s="20" t="str">
        <v>2.xlsx | 订单!2210</v>
      </c>
    </row>
  </sheetData>
  <pageMargins left="0.7" right="0.7" top="0.75" bottom="0.75" header="0.3" footer="0.3"/>
  <tableParts count="1">
    <tablePart xmlns:r="http://schemas.openxmlformats.org/officeDocument/2006/relationships" r:id="Rfb944be3f4204582"/>
  </tableParts>
</worksheet>
</file>

<file path=xl/worksheets/sheet7.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8" hidden="0" customWidth="1"/>
    <col min="2" max="2" width="13" hidden="0" customWidth="1"/>
    <col min="3" max="3" width="15" hidden="0" customWidth="1"/>
    <col min="4" max="4" width="21" hidden="0" customWidth="1"/>
    <col min="5" max="5" width="21" hidden="0" customWidth="1"/>
    <col min="6" max="6" width="23" hidden="0" customWidth="1"/>
    <col min="7" max="7" width="20" hidden="0" customWidth="1"/>
    <col min="8" max="8" width="30" hidden="0" customWidth="1"/>
    <col min="9" max="9" width="27" hidden="0" customWidth="1"/>
    <col min="10" max="10" width="23" hidden="0" customWidth="1"/>
    <col min="11" max="11" width="24" hidden="0" customWidth="1"/>
    <col min="12" max="12" width="25" hidden="0" customWidth="1"/>
    <col min="13" max="13" width="26" hidden="0" customWidth="1"/>
    <col min="14" max="14" width="20" hidden="0" customWidth="1"/>
  </cols>
  <sheetData>
    <row r="1" ht="42" customHeight="1">
      <c r="A1" s="5" t="str">
        <v>Ô nguồn 订单</v>
      </c>
      <c r="B1" s="5" t="str">
        <v>Mã KH chuẩn</v>
      </c>
      <c r="C1" s="5" t="str">
        <v>Mã KH gốc</v>
      </c>
      <c r="D1" s="5" t="str">
        <v>Mã dòng</v>
      </c>
      <c r="E1" s="5" t="str">
        <v>Loại</v>
      </c>
      <c r="F1" s="5" t="str">
        <v>Mã hàng</v>
      </c>
      <c r="G1" s="5" t="str">
        <v>Ngày gốc (text)</v>
      </c>
      <c r="H1" s="5" t="str">
        <v>Số gốc đầy đủ (text)</v>
      </c>
      <c r="I1" s="5" t="str">
        <v>Số gốc (trị tuyệt đối)</v>
      </c>
      <c r="J1" s="5" t="str">
        <v>Số import (đ)</v>
      </c>
      <c r="K1" s="5" t="str">
        <v>Import − gốc (đ)</v>
      </c>
      <c r="L1" s="5" t="str">
        <v>Xử lý</v>
      </c>
      <c r="M1" s="5" t="str">
        <v>Phiếu ERP giữ lại</v>
      </c>
      <c r="N1" s="5" t="str">
        <v>Phân loại</v>
      </c>
    </row>
    <row r="2" ht="25" customHeight="1">
      <c r="A2" s="2" t="str">
        <v>Q2</v>
      </c>
      <c r="B2" s="2" t="str">
        <v>KH006</v>
      </c>
      <c r="C2" s="2" t="str">
        <v>KH006</v>
      </c>
      <c r="D2" s="2" t="str">
        <v>S2-00002-BH</v>
      </c>
      <c r="E2" s="2" t="str">
        <v>BAN_HANG</v>
      </c>
      <c r="F2" s="2" t="str">
        <v>INP3004</v>
      </c>
      <c r="G2" s="2" t="str">
        <v>2026-07-10</v>
      </c>
      <c r="H2" s="2" t="str">
        <v>386999.9964</v>
      </c>
      <c r="I2" s="28" t="n">
        <v>386999.9964</v>
      </c>
      <c r="J2" s="7" t="n">
        <v>387000</v>
      </c>
      <c r="K2" s="28" t="n">
        <f>J2-I2</f>
        <v>0.003599999996367842</v>
      </c>
      <c r="L2" s="2" t="str">
        <v>NHẬP</v>
      </c>
      <c r="M2" s="2" t="str"/>
      <c r="N2" s="2" t="str">
        <v>KHAC</v>
      </c>
    </row>
    <row r="3" ht="25" customHeight="1">
      <c r="A3" s="2" t="str">
        <v>Q3</v>
      </c>
      <c r="B3" s="2" t="str">
        <v>KH006</v>
      </c>
      <c r="C3" s="2" t="str">
        <v>KH006</v>
      </c>
      <c r="D3" s="2" t="str">
        <v>S2-00002-BH</v>
      </c>
      <c r="E3" s="2" t="str">
        <v>BAN_HANG</v>
      </c>
      <c r="F3" s="2" t="str">
        <v>INP3005</v>
      </c>
      <c r="G3" s="2" t="str">
        <v>2026-07-10</v>
      </c>
      <c r="H3" s="2" t="str">
        <v>429999.9912</v>
      </c>
      <c r="I3" s="28" t="n">
        <v>429999.9912</v>
      </c>
      <c r="J3" s="7" t="n">
        <v>430000</v>
      </c>
      <c r="K3" s="28" t="n">
        <f>J3-I3</f>
        <v>0.008800000010523945</v>
      </c>
      <c r="L3" s="2" t="str">
        <v>NHẬP</v>
      </c>
      <c r="M3" s="2" t="str"/>
      <c r="N3" s="2" t="str">
        <v>KHAC</v>
      </c>
    </row>
    <row r="4" ht="25" customHeight="1">
      <c r="A4" s="2" t="str">
        <v>Q4</v>
      </c>
      <c r="B4" s="2" t="str">
        <v>KH006</v>
      </c>
      <c r="C4" s="2" t="str">
        <v>KH006</v>
      </c>
      <c r="D4" s="2" t="str">
        <v>S2-00002-BH</v>
      </c>
      <c r="E4" s="2" t="str">
        <v>BAN_HANG</v>
      </c>
      <c r="F4" s="2" t="str">
        <v>INP3201</v>
      </c>
      <c r="G4" s="2" t="str">
        <v>2026-07-10</v>
      </c>
      <c r="H4" s="2" t="str">
        <v>259999.9992</v>
      </c>
      <c r="I4" s="28" t="n">
        <v>259999.9992</v>
      </c>
      <c r="J4" s="7" t="n">
        <v>260000</v>
      </c>
      <c r="K4" s="28" t="n">
        <f>J4-I4</f>
        <v>0.0008000000088941306</v>
      </c>
      <c r="L4" s="2" t="str">
        <v>NHẬP</v>
      </c>
      <c r="M4" s="2" t="str"/>
      <c r="N4" s="2" t="str">
        <v>KHAC</v>
      </c>
    </row>
    <row r="5" ht="25" customHeight="1">
      <c r="A5" s="2" t="str">
        <v>Q5</v>
      </c>
      <c r="B5" s="2" t="str">
        <v>KH006</v>
      </c>
      <c r="C5" s="2" t="str">
        <v>KH006</v>
      </c>
      <c r="D5" s="2" t="str">
        <v>S2-00002-BH</v>
      </c>
      <c r="E5" s="2" t="str">
        <v>BAN_HANG</v>
      </c>
      <c r="F5" s="2" t="str">
        <v>INP3202</v>
      </c>
      <c r="G5" s="2" t="str">
        <v>2026-07-10</v>
      </c>
      <c r="H5" s="2" t="str">
        <v>369999.9972</v>
      </c>
      <c r="I5" s="28" t="n">
        <v>369999.9972</v>
      </c>
      <c r="J5" s="7" t="n">
        <v>370000</v>
      </c>
      <c r="K5" s="28" t="n">
        <f>J5-I5</f>
        <v>0.002800000016577542</v>
      </c>
      <c r="L5" s="2" t="str">
        <v>NHẬP</v>
      </c>
      <c r="M5" s="2" t="str"/>
      <c r="N5" s="2" t="str">
        <v>KHAC</v>
      </c>
    </row>
    <row r="6" ht="25" customHeight="1">
      <c r="A6" s="2" t="str">
        <v>Q6</v>
      </c>
      <c r="B6" s="2" t="str">
        <v>KH006</v>
      </c>
      <c r="C6" s="2" t="str">
        <v>KH006</v>
      </c>
      <c r="D6" s="2" t="str">
        <v>S2-00006-BH</v>
      </c>
      <c r="E6" s="2" t="str">
        <v>BAN_HANG</v>
      </c>
      <c r="F6" s="2" t="str">
        <v>INP3202</v>
      </c>
      <c r="G6" s="2" t="str">
        <v>2026-07-13</v>
      </c>
      <c r="H6" s="2" t="str">
        <v>1849999.986</v>
      </c>
      <c r="I6" s="28" t="n">
        <v>1849999.986</v>
      </c>
      <c r="J6" s="7" t="n">
        <v>1850000</v>
      </c>
      <c r="K6" s="28" t="n">
        <f>J6-I6</f>
        <v>0.013999999966472387</v>
      </c>
      <c r="L6" s="2" t="str">
        <v>NHẬP</v>
      </c>
      <c r="M6" s="2" t="str"/>
      <c r="N6" s="2" t="str">
        <v>KHAC</v>
      </c>
    </row>
    <row r="7" ht="25" customHeight="1">
      <c r="A7" s="2" t="str">
        <v>Q7</v>
      </c>
      <c r="B7" s="2" t="str">
        <v>KH006</v>
      </c>
      <c r="C7" s="2" t="str">
        <v>KH006</v>
      </c>
      <c r="D7" s="2" t="str">
        <v>S2-00006-BH</v>
      </c>
      <c r="E7" s="2" t="str">
        <v>BAN_HANG</v>
      </c>
      <c r="F7" s="2" t="str">
        <v>INP3004</v>
      </c>
      <c r="G7" s="2" t="str">
        <v>2026-07-13</v>
      </c>
      <c r="H7" s="2" t="str">
        <v>1934999.982</v>
      </c>
      <c r="I7" s="28" t="n">
        <v>1934999.982</v>
      </c>
      <c r="J7" s="7" t="n">
        <v>1935000</v>
      </c>
      <c r="K7" s="28" t="n">
        <f>J7-I7</f>
        <v>0.01799999992363155</v>
      </c>
      <c r="L7" s="2" t="str">
        <v>NHẬP</v>
      </c>
      <c r="M7" s="2" t="str"/>
      <c r="N7" s="2" t="str">
        <v>KHAC</v>
      </c>
    </row>
    <row r="8" ht="25" customHeight="1">
      <c r="A8" s="2" t="str">
        <v>Q8</v>
      </c>
      <c r="B8" s="2" t="str">
        <v>KH006</v>
      </c>
      <c r="C8" s="2" t="str">
        <v>KH006</v>
      </c>
      <c r="D8" s="2" t="str">
        <v>S2-00008-BH</v>
      </c>
      <c r="E8" s="2" t="str">
        <v>BAN_HANG</v>
      </c>
      <c r="F8" s="2" t="str">
        <v>INP3005</v>
      </c>
      <c r="G8" s="2" t="str">
        <v>2026-07-13</v>
      </c>
      <c r="H8" s="2" t="str">
        <v>3439999.9296</v>
      </c>
      <c r="I8" s="28" t="n">
        <v>3439999.9296</v>
      </c>
      <c r="J8" s="7" t="n">
        <v>3440000</v>
      </c>
      <c r="K8" s="28" t="n">
        <f>J8-I8</f>
        <v>0.07040000008419156</v>
      </c>
      <c r="L8" s="2" t="str">
        <v>NHẬP</v>
      </c>
      <c r="M8" s="2" t="str"/>
      <c r="N8" s="2" t="str">
        <v>KHAC</v>
      </c>
    </row>
    <row r="9" ht="25" customHeight="1">
      <c r="A9" s="2" t="str">
        <v>Q9</v>
      </c>
      <c r="B9" s="2" t="str">
        <v>KH006</v>
      </c>
      <c r="C9" s="2" t="str">
        <v>KH006</v>
      </c>
      <c r="D9" s="2" t="str">
        <v>S2-00008-BH</v>
      </c>
      <c r="E9" s="2" t="str">
        <v>BAN_HANG</v>
      </c>
      <c r="F9" s="2" t="str">
        <v>INP3004</v>
      </c>
      <c r="G9" s="2" t="str">
        <v>2026-07-13</v>
      </c>
      <c r="H9" s="2" t="str">
        <v>3095999.9712</v>
      </c>
      <c r="I9" s="28" t="n">
        <v>3095999.9712</v>
      </c>
      <c r="J9" s="7" t="n">
        <v>3096000</v>
      </c>
      <c r="K9" s="28" t="n">
        <f>J9-I9</f>
        <v>0.028799999970942736</v>
      </c>
      <c r="L9" s="2" t="str">
        <v>NHẬP</v>
      </c>
      <c r="M9" s="2" t="str"/>
      <c r="N9" s="2" t="str">
        <v>KHAC</v>
      </c>
    </row>
    <row r="10" ht="25" customHeight="1">
      <c r="A10" s="2" t="str">
        <v>Q10</v>
      </c>
      <c r="B10" s="2" t="str">
        <v>KH006</v>
      </c>
      <c r="C10" s="2" t="str">
        <v>KH006</v>
      </c>
      <c r="D10" s="2" t="str">
        <v>S2-00008-BH</v>
      </c>
      <c r="E10" s="2" t="str">
        <v>BAN_HANG</v>
      </c>
      <c r="F10" s="2" t="str">
        <v>INP3202</v>
      </c>
      <c r="G10" s="2" t="str">
        <v>2026-07-13</v>
      </c>
      <c r="H10" s="2" t="str">
        <v>4439999.9664</v>
      </c>
      <c r="I10" s="28" t="n">
        <v>4439999.9664</v>
      </c>
      <c r="J10" s="7" t="n">
        <v>4440000</v>
      </c>
      <c r="K10" s="28" t="n">
        <f>J10-I10</f>
        <v>0.033599999733269215</v>
      </c>
      <c r="L10" s="2" t="str">
        <v>NHẬP</v>
      </c>
      <c r="M10" s="2" t="str"/>
      <c r="N10" s="2" t="str">
        <v>KHAC</v>
      </c>
    </row>
    <row r="11" ht="25" customHeight="1">
      <c r="A11" s="2" t="str">
        <v>Q11</v>
      </c>
      <c r="B11" s="2" t="str">
        <v>KH006</v>
      </c>
      <c r="C11" s="2" t="str">
        <v>KH006</v>
      </c>
      <c r="D11" s="2" t="str">
        <v>S2-00011-BH</v>
      </c>
      <c r="E11" s="2" t="str">
        <v>BAN_HANG</v>
      </c>
      <c r="F11" s="2" t="str">
        <v>INP3004</v>
      </c>
      <c r="G11" s="2" t="str">
        <v>2026-07-20</v>
      </c>
      <c r="H11" s="2" t="str">
        <v>3095999.9712</v>
      </c>
      <c r="I11" s="28" t="n">
        <v>3095999.9712</v>
      </c>
      <c r="J11" s="7" t="n">
        <v>3096000</v>
      </c>
      <c r="K11" s="28" t="n">
        <f>J11-I11</f>
        <v>0.028799999970942736</v>
      </c>
      <c r="L11" s="2" t="str">
        <v>NHẬP</v>
      </c>
      <c r="M11" s="2" t="str"/>
      <c r="N11" s="2" t="str">
        <v>KHAC</v>
      </c>
    </row>
    <row r="12" ht="25" customHeight="1">
      <c r="A12" s="2" t="str">
        <v>Q12</v>
      </c>
      <c r="B12" s="2" t="str">
        <v>KH006</v>
      </c>
      <c r="C12" s="2" t="str">
        <v>KH006</v>
      </c>
      <c r="D12" s="2" t="str">
        <v>S2-00011-BH</v>
      </c>
      <c r="E12" s="2" t="str">
        <v>BAN_HANG</v>
      </c>
      <c r="F12" s="2" t="str">
        <v>INP3201</v>
      </c>
      <c r="G12" s="2" t="str">
        <v>2026-07-20</v>
      </c>
      <c r="H12" s="2" t="str">
        <v>3119999.9904</v>
      </c>
      <c r="I12" s="28" t="n">
        <v>3119999.9904</v>
      </c>
      <c r="J12" s="7" t="n">
        <v>3120000</v>
      </c>
      <c r="K12" s="28" t="n">
        <f>J12-I12</f>
        <v>0.009599999990314245</v>
      </c>
      <c r="L12" s="2" t="str">
        <v>NHẬP</v>
      </c>
      <c r="M12" s="2" t="str"/>
      <c r="N12" s="2" t="str">
        <v>KHAC</v>
      </c>
    </row>
    <row r="13" ht="25" customHeight="1">
      <c r="A13" s="2" t="str">
        <v>Q13</v>
      </c>
      <c r="B13" s="2" t="str">
        <v>KH006</v>
      </c>
      <c r="C13" s="2" t="str">
        <v>KH006</v>
      </c>
      <c r="D13" s="2" t="str">
        <v>S2-00011-BH</v>
      </c>
      <c r="E13" s="2" t="str">
        <v>BAN_HANG</v>
      </c>
      <c r="F13" s="2" t="str">
        <v>INP3005</v>
      </c>
      <c r="G13" s="2" t="str">
        <v>2026-07-20</v>
      </c>
      <c r="H13" s="2" t="str">
        <v>1719999.9648</v>
      </c>
      <c r="I13" s="28" t="n">
        <v>1719999.9648</v>
      </c>
      <c r="J13" s="7" t="n">
        <v>1720000</v>
      </c>
      <c r="K13" s="28" t="n">
        <f>J13-I13</f>
        <v>0.03520000004209578</v>
      </c>
      <c r="L13" s="2" t="str">
        <v>NHẬP</v>
      </c>
      <c r="M13" s="2" t="str"/>
      <c r="N13" s="2" t="str">
        <v>KHAC</v>
      </c>
    </row>
    <row r="14" ht="25" customHeight="1">
      <c r="A14" s="2" t="str">
        <v>Q14</v>
      </c>
      <c r="B14" s="2" t="str">
        <v>KH006</v>
      </c>
      <c r="C14" s="2" t="str">
        <v>KH006</v>
      </c>
      <c r="D14" s="2" t="str">
        <v>S2-00014-BH</v>
      </c>
      <c r="E14" s="2" t="str">
        <v>BAN_HANG</v>
      </c>
      <c r="F14" s="2" t="str">
        <v>INP3202</v>
      </c>
      <c r="G14" s="2" t="str">
        <v>2026-07-31</v>
      </c>
      <c r="H14" s="2" t="str">
        <v>2959999.9776</v>
      </c>
      <c r="I14" s="28" t="n">
        <v>2959999.9776</v>
      </c>
      <c r="J14" s="7" t="n">
        <v>2960000</v>
      </c>
      <c r="K14" s="28" t="n">
        <f>J14-I14</f>
        <v>0.022400000132620335</v>
      </c>
      <c r="L14" s="2" t="str">
        <v>NHẬP</v>
      </c>
      <c r="M14" s="2" t="str"/>
      <c r="N14" s="2" t="str">
        <v>KHAC</v>
      </c>
    </row>
    <row r="15" ht="25" customHeight="1">
      <c r="A15" s="2" t="str">
        <v>Q15</v>
      </c>
      <c r="B15" s="2" t="str">
        <v>KH006</v>
      </c>
      <c r="C15" s="2" t="str">
        <v>KH006</v>
      </c>
      <c r="D15" s="2" t="str">
        <v>S2-00014-BH</v>
      </c>
      <c r="E15" s="2" t="str">
        <v>BAN_HANG</v>
      </c>
      <c r="F15" s="2" t="str">
        <v>INP3004</v>
      </c>
      <c r="G15" s="2" t="str">
        <v>2026-07-31</v>
      </c>
      <c r="H15" s="2" t="str">
        <v>4643999.9568</v>
      </c>
      <c r="I15" s="28" t="n">
        <v>4643999.9568</v>
      </c>
      <c r="J15" s="7" t="n">
        <v>4644000</v>
      </c>
      <c r="K15" s="28" t="n">
        <f>J15-I15</f>
        <v>0.04320000018924475</v>
      </c>
      <c r="L15" s="2" t="str">
        <v>NHẬP</v>
      </c>
      <c r="M15" s="2" t="str"/>
      <c r="N15" s="2" t="str">
        <v>KHAC</v>
      </c>
    </row>
    <row r="16" ht="25" customHeight="1">
      <c r="A16" s="2" t="str">
        <v>Q16</v>
      </c>
      <c r="B16" s="2" t="str">
        <v>KH001</v>
      </c>
      <c r="C16" s="2" t="str">
        <v>KH001</v>
      </c>
      <c r="D16" s="2" t="str">
        <v>S2-00016-BH</v>
      </c>
      <c r="E16" s="2" t="str">
        <v>BAN_HANG</v>
      </c>
      <c r="F16" s="2" t="str">
        <v>INP1001</v>
      </c>
      <c r="G16" s="2" t="str">
        <v>29/01/2026</v>
      </c>
      <c r="H16" s="2" t="str">
        <v>5189999.94</v>
      </c>
      <c r="I16" s="28" t="n">
        <v>5189999.94</v>
      </c>
      <c r="J16" s="7" t="n">
        <v>5190000</v>
      </c>
      <c r="K16" s="28" t="n">
        <f>J16-I16</f>
        <v>0.05999999959021807</v>
      </c>
      <c r="L16" s="2" t="str">
        <v>NHẬP</v>
      </c>
      <c r="M16" s="2" t="str"/>
      <c r="N16" s="2" t="str">
        <v>KHAC</v>
      </c>
    </row>
    <row r="17" ht="25" customHeight="1">
      <c r="A17" s="2" t="str">
        <v>Q17</v>
      </c>
      <c r="B17" s="2" t="str">
        <v>KH001</v>
      </c>
      <c r="C17" s="2" t="str">
        <v>KH001</v>
      </c>
      <c r="D17" s="2" t="str">
        <v>S2-00016-BH</v>
      </c>
      <c r="E17" s="2" t="str">
        <v>BAN_HANG</v>
      </c>
      <c r="F17" s="2" t="str">
        <v>NP1002</v>
      </c>
      <c r="G17" s="2" t="str">
        <v>29/01/2026</v>
      </c>
      <c r="H17" s="2" t="str">
        <v>6989999.976</v>
      </c>
      <c r="I17" s="28" t="n">
        <v>6989999.976</v>
      </c>
      <c r="J17" s="7" t="n">
        <v>6990000</v>
      </c>
      <c r="K17" s="28" t="n">
        <f>J17-I17</f>
        <v>0.024000000208616257</v>
      </c>
      <c r="L17" s="2" t="str">
        <v>NHẬP</v>
      </c>
      <c r="M17" s="2" t="str"/>
      <c r="N17" s="2" t="str">
        <v>KHAC</v>
      </c>
    </row>
    <row r="18" ht="25" customHeight="1">
      <c r="A18" s="2" t="str">
        <v>Q18</v>
      </c>
      <c r="B18" s="2" t="str">
        <v>KH001</v>
      </c>
      <c r="C18" s="2" t="str">
        <v>KH001</v>
      </c>
      <c r="D18" s="2" t="str">
        <v>S2-00016-BH</v>
      </c>
      <c r="E18" s="2" t="str">
        <v>BAN_HANG</v>
      </c>
      <c r="F18" s="2" t="str">
        <v>INP1003</v>
      </c>
      <c r="G18" s="2" t="str">
        <v>29/01/2026</v>
      </c>
      <c r="H18" s="2" t="str">
        <v>10199999.844</v>
      </c>
      <c r="I18" s="28" t="n">
        <v>10199999.844</v>
      </c>
      <c r="J18" s="7" t="n">
        <v>10200000</v>
      </c>
      <c r="K18" s="28" t="n">
        <f>J18-I18</f>
        <v>0.15599999949336052</v>
      </c>
      <c r="L18" s="2" t="str">
        <v>NHẬP</v>
      </c>
      <c r="M18" s="2" t="str"/>
      <c r="N18" s="2" t="str">
        <v>KHAC</v>
      </c>
    </row>
    <row r="19" ht="25" customHeight="1">
      <c r="A19" s="2" t="str">
        <v>Q19</v>
      </c>
      <c r="B19" s="2" t="str">
        <v>KH001</v>
      </c>
      <c r="C19" s="2" t="str">
        <v>KH001</v>
      </c>
      <c r="D19" s="2" t="str">
        <v>S2-00016-BH</v>
      </c>
      <c r="E19" s="2" t="str">
        <v>BAN_HANG</v>
      </c>
      <c r="F19" s="2" t="str">
        <v>INP1101</v>
      </c>
      <c r="G19" s="2" t="str">
        <v>29/01/2026</v>
      </c>
      <c r="H19" s="2" t="str">
        <v>5219999.964</v>
      </c>
      <c r="I19" s="28" t="n">
        <v>5219999.964</v>
      </c>
      <c r="J19" s="7" t="n">
        <v>5220000</v>
      </c>
      <c r="K19" s="28" t="n">
        <f>J19-I19</f>
        <v>0.036000000312924385</v>
      </c>
      <c r="L19" s="2" t="str">
        <v>NHẬP</v>
      </c>
      <c r="M19" s="2" t="str"/>
      <c r="N19" s="2" t="str">
        <v>KHAC</v>
      </c>
    </row>
    <row r="20" ht="25" customHeight="1">
      <c r="A20" s="2" t="str">
        <v>Q20</v>
      </c>
      <c r="B20" s="2" t="str">
        <v>KH001</v>
      </c>
      <c r="C20" s="2" t="str">
        <v>KH001</v>
      </c>
      <c r="D20" s="2" t="str">
        <v>S2-00016-BH</v>
      </c>
      <c r="E20" s="2" t="str">
        <v>BAN_HANG</v>
      </c>
      <c r="F20" s="2" t="str">
        <v>INP1401</v>
      </c>
      <c r="G20" s="2" t="str">
        <v>29/01/2026</v>
      </c>
      <c r="H20" s="2" t="str">
        <v>8899999.956</v>
      </c>
      <c r="I20" s="28" t="n">
        <v>8899999.956</v>
      </c>
      <c r="J20" s="7" t="n">
        <v>8900000</v>
      </c>
      <c r="K20" s="28" t="n">
        <f>J20-I20</f>
        <v>0.04399999976158142</v>
      </c>
      <c r="L20" s="2" t="str">
        <v>NHẬP</v>
      </c>
      <c r="M20" s="2" t="str"/>
      <c r="N20" s="2" t="str">
        <v>KHAC</v>
      </c>
    </row>
    <row r="21" ht="25" customHeight="1">
      <c r="A21" s="2" t="str">
        <v>Q21</v>
      </c>
      <c r="B21" s="2" t="str">
        <v>KH001</v>
      </c>
      <c r="C21" s="2" t="str">
        <v>KH001</v>
      </c>
      <c r="D21" s="2" t="str">
        <v>S2-00016-BH</v>
      </c>
      <c r="E21" s="2" t="str">
        <v>BAN_HANG</v>
      </c>
      <c r="F21" s="2" t="str">
        <v>INP1402</v>
      </c>
      <c r="G21" s="2" t="str">
        <v>29/01/2026</v>
      </c>
      <c r="H21" s="2" t="str">
        <v>10129999.968</v>
      </c>
      <c r="I21" s="28" t="n">
        <v>10129999.968</v>
      </c>
      <c r="J21" s="7" t="n">
        <v>10130000</v>
      </c>
      <c r="K21" s="28" t="n">
        <f>J21-I21</f>
        <v>0.03199999965727329</v>
      </c>
      <c r="L21" s="2" t="str">
        <v>NHẬP</v>
      </c>
      <c r="M21" s="2" t="str"/>
      <c r="N21" s="2" t="str">
        <v>KHAC</v>
      </c>
    </row>
    <row r="22" ht="25" customHeight="1">
      <c r="A22" s="2" t="str">
        <v>Q22</v>
      </c>
      <c r="B22" s="2" t="str">
        <v>KH001</v>
      </c>
      <c r="C22" s="2" t="str">
        <v>KH001</v>
      </c>
      <c r="D22" s="2" t="str">
        <v>S2-00016-BH</v>
      </c>
      <c r="E22" s="2" t="str">
        <v>BAN_HANG</v>
      </c>
      <c r="F22" s="2" t="str">
        <v>INP1501</v>
      </c>
      <c r="G22" s="2" t="str">
        <v>29/01/2026</v>
      </c>
      <c r="H22" s="2" t="str">
        <v>1439999.9856</v>
      </c>
      <c r="I22" s="28" t="n">
        <v>1439999.9856</v>
      </c>
      <c r="J22" s="7" t="n">
        <v>1440000</v>
      </c>
      <c r="K22" s="28" t="n">
        <f>J22-I22</f>
        <v>0.014399999985471368</v>
      </c>
      <c r="L22" s="2" t="str">
        <v>NHẬP</v>
      </c>
      <c r="M22" s="2" t="str"/>
      <c r="N22" s="2" t="str">
        <v>KHAC</v>
      </c>
    </row>
    <row r="23" ht="25" customHeight="1">
      <c r="A23" s="2" t="str">
        <v>Q23</v>
      </c>
      <c r="B23" s="2" t="str">
        <v>KH001</v>
      </c>
      <c r="C23" s="2" t="str">
        <v>KH001</v>
      </c>
      <c r="D23" s="2" t="str">
        <v>S2-00016-BH</v>
      </c>
      <c r="E23" s="2" t="str">
        <v>BAN_HANG</v>
      </c>
      <c r="F23" s="2" t="str">
        <v>INP1502</v>
      </c>
      <c r="G23" s="2" t="str">
        <v>29/01/2026</v>
      </c>
      <c r="H23" s="2" t="str">
        <v>1559999.9952</v>
      </c>
      <c r="I23" s="28" t="n">
        <v>1559999.9952</v>
      </c>
      <c r="J23" s="7" t="n">
        <v>1560000</v>
      </c>
      <c r="K23" s="28" t="n">
        <f>J23-I23</f>
        <v>0.004799999995157123</v>
      </c>
      <c r="L23" s="2" t="str">
        <v>NHẬP</v>
      </c>
      <c r="M23" s="2" t="str"/>
      <c r="N23" s="2" t="str">
        <v>KHAC</v>
      </c>
    </row>
    <row r="24" ht="25" customHeight="1">
      <c r="A24" s="2" t="str">
        <v>Q24</v>
      </c>
      <c r="B24" s="2" t="str">
        <v>KH001</v>
      </c>
      <c r="C24" s="2" t="str">
        <v>KH001</v>
      </c>
      <c r="D24" s="2" t="str">
        <v>S2-00016-BH</v>
      </c>
      <c r="E24" s="2" t="str">
        <v>BAN_HANG</v>
      </c>
      <c r="F24" s="2" t="str">
        <v>INP1503</v>
      </c>
      <c r="G24" s="2" t="str">
        <v>29/01/2026</v>
      </c>
      <c r="H24" s="2" t="str">
        <v>1679999.8752</v>
      </c>
      <c r="I24" s="28" t="n">
        <v>1679999.8752</v>
      </c>
      <c r="J24" s="7" t="n">
        <v>1680000</v>
      </c>
      <c r="K24" s="28" t="n">
        <f>J24-I24</f>
        <v>0.12480000010691583</v>
      </c>
      <c r="L24" s="2" t="str">
        <v>NHẬP</v>
      </c>
      <c r="M24" s="2" t="str"/>
      <c r="N24" s="2" t="str">
        <v>KHAC</v>
      </c>
    </row>
    <row r="25" ht="25" customHeight="1">
      <c r="A25" s="2" t="str">
        <v>Q25</v>
      </c>
      <c r="B25" s="2" t="str">
        <v>KH001</v>
      </c>
      <c r="C25" s="2" t="str">
        <v>KH001</v>
      </c>
      <c r="D25" s="2" t="str">
        <v>S2-00016-BH</v>
      </c>
      <c r="E25" s="2" t="str">
        <v>BAN_HANG</v>
      </c>
      <c r="F25" s="2" t="str">
        <v>INP2003</v>
      </c>
      <c r="G25" s="2" t="str">
        <v>29/01/2026</v>
      </c>
      <c r="H25" s="2" t="str">
        <v>12799999.944</v>
      </c>
      <c r="I25" s="28" t="n">
        <v>12799999.944</v>
      </c>
      <c r="J25" s="7" t="n">
        <v>12800000</v>
      </c>
      <c r="K25" s="28" t="n">
        <f>J25-I25</f>
        <v>0.05599999986588955</v>
      </c>
      <c r="L25" s="2" t="str">
        <v>NHẬP</v>
      </c>
      <c r="M25" s="2" t="str"/>
      <c r="N25" s="2" t="str">
        <v>KHAC</v>
      </c>
    </row>
    <row r="26" ht="25" customHeight="1">
      <c r="A26" s="2" t="str">
        <v>Q26</v>
      </c>
      <c r="B26" s="2" t="str">
        <v>KH001</v>
      </c>
      <c r="C26" s="2" t="str">
        <v>KH001</v>
      </c>
      <c r="D26" s="2" t="str">
        <v>S2-00016-BH</v>
      </c>
      <c r="E26" s="2" t="str">
        <v>BAN_HANG</v>
      </c>
      <c r="F26" s="2" t="str">
        <v>INP2101</v>
      </c>
      <c r="G26" s="2" t="str">
        <v>29/01/2026</v>
      </c>
      <c r="H26" s="2" t="str">
        <v>5059999.8</v>
      </c>
      <c r="I26" s="28" t="n">
        <v>5059999.8</v>
      </c>
      <c r="J26" s="7" t="n">
        <v>5060000</v>
      </c>
      <c r="K26" s="28" t="n">
        <f>J26-I26</f>
        <v>0.20000000018626451</v>
      </c>
      <c r="L26" s="2" t="str">
        <v>NHẬP</v>
      </c>
      <c r="M26" s="2" t="str"/>
      <c r="N26" s="2" t="str">
        <v>KHAC</v>
      </c>
    </row>
    <row r="27" ht="25" customHeight="1">
      <c r="A27" s="2" t="str">
        <v>Q27</v>
      </c>
      <c r="B27" s="2" t="str">
        <v>KH001</v>
      </c>
      <c r="C27" s="2" t="str">
        <v>KH001</v>
      </c>
      <c r="D27" s="2" t="str">
        <v>S2-00016-BH</v>
      </c>
      <c r="E27" s="2" t="str">
        <v>BAN_HANG</v>
      </c>
      <c r="F27" s="2" t="str">
        <v>INP2102</v>
      </c>
      <c r="G27" s="2" t="str">
        <v>29/01/2026</v>
      </c>
      <c r="H27" s="2" t="str">
        <v>5539999.968</v>
      </c>
      <c r="I27" s="28" t="n">
        <v>5539999.968</v>
      </c>
      <c r="J27" s="7" t="n">
        <v>5540000</v>
      </c>
      <c r="K27" s="28" t="n">
        <f>J27-I27</f>
        <v>0.03199999965727329</v>
      </c>
      <c r="L27" s="2" t="str">
        <v>NHẬP</v>
      </c>
      <c r="M27" s="2" t="str"/>
      <c r="N27" s="2" t="str">
        <v>KHAC</v>
      </c>
    </row>
    <row r="28" ht="25" customHeight="1">
      <c r="A28" s="2" t="str">
        <v>Q28</v>
      </c>
      <c r="B28" s="2" t="str">
        <v>KH001</v>
      </c>
      <c r="C28" s="2" t="str">
        <v>KH001</v>
      </c>
      <c r="D28" s="2" t="str">
        <v>S2-00016-BH</v>
      </c>
      <c r="E28" s="2" t="str">
        <v>BAN_HANG</v>
      </c>
      <c r="F28" s="2" t="str">
        <v>INP2103</v>
      </c>
      <c r="G28" s="2" t="str">
        <v>29/01/2026</v>
      </c>
      <c r="H28" s="2" t="str">
        <v>6079999.968</v>
      </c>
      <c r="I28" s="28" t="n">
        <v>6079999.968</v>
      </c>
      <c r="J28" s="7" t="n">
        <v>6080000</v>
      </c>
      <c r="K28" s="28" t="n">
        <f>J28-I28</f>
        <v>0.03199999965727329</v>
      </c>
      <c r="L28" s="2" t="str">
        <v>NHẬP</v>
      </c>
      <c r="M28" s="2" t="str"/>
      <c r="N28" s="2" t="str">
        <v>KHAC</v>
      </c>
    </row>
    <row r="29" ht="25" customHeight="1">
      <c r="A29" s="2" t="str">
        <v>Q29</v>
      </c>
      <c r="B29" s="2" t="str">
        <v>KH001</v>
      </c>
      <c r="C29" s="2" t="str">
        <v>KH001</v>
      </c>
      <c r="D29" s="2" t="str">
        <v>S2-00016-BH</v>
      </c>
      <c r="E29" s="2" t="str">
        <v>BAN_HANG</v>
      </c>
      <c r="F29" s="2" t="str">
        <v>INP2105</v>
      </c>
      <c r="G29" s="2" t="str">
        <v>29/01/2026</v>
      </c>
      <c r="H29" s="2" t="str">
        <v>5199999.984</v>
      </c>
      <c r="I29" s="28" t="n">
        <v>5199999.984</v>
      </c>
      <c r="J29" s="7" t="n">
        <v>5200000</v>
      </c>
      <c r="K29" s="28" t="n">
        <f>J29-I29</f>
        <v>0.015999999828636646</v>
      </c>
      <c r="L29" s="2" t="str">
        <v>NHẬP</v>
      </c>
      <c r="M29" s="2" t="str"/>
      <c r="N29" s="2" t="str">
        <v>KHAC</v>
      </c>
    </row>
    <row r="30" ht="25" customHeight="1">
      <c r="A30" s="2" t="str">
        <v>Q30</v>
      </c>
      <c r="B30" s="2" t="str">
        <v>KH001</v>
      </c>
      <c r="C30" s="2" t="str">
        <v>KH001</v>
      </c>
      <c r="D30" s="2" t="str">
        <v>S2-00016-BH</v>
      </c>
      <c r="E30" s="2" t="str">
        <v>BAN_HANG</v>
      </c>
      <c r="F30" s="2" t="str">
        <v>INP2106</v>
      </c>
      <c r="G30" s="2" t="str">
        <v>29/01/2026</v>
      </c>
      <c r="H30" s="2" t="str">
        <v>5599999.8</v>
      </c>
      <c r="I30" s="28" t="n">
        <v>5599999.8</v>
      </c>
      <c r="J30" s="7" t="n">
        <v>5600000</v>
      </c>
      <c r="K30" s="28" t="n">
        <f>J30-I30</f>
        <v>0.20000000018626451</v>
      </c>
      <c r="L30" s="2" t="str">
        <v>NHẬP</v>
      </c>
      <c r="M30" s="2" t="str"/>
      <c r="N30" s="2" t="str">
        <v>KHAC</v>
      </c>
    </row>
    <row r="31" ht="25" customHeight="1">
      <c r="A31" s="2" t="str">
        <v>Q31</v>
      </c>
      <c r="B31" s="2" t="str">
        <v>KH001</v>
      </c>
      <c r="C31" s="2" t="str">
        <v>KH001</v>
      </c>
      <c r="D31" s="2" t="str">
        <v>S2-00016-BH</v>
      </c>
      <c r="E31" s="2" t="str">
        <v>BAN_HANG</v>
      </c>
      <c r="F31" s="2" t="str">
        <v>INP2108</v>
      </c>
      <c r="G31" s="2" t="str">
        <v>29/01/2026</v>
      </c>
      <c r="H31" s="2" t="str">
        <v>4899999.96</v>
      </c>
      <c r="I31" s="28" t="n">
        <v>4899999.96</v>
      </c>
      <c r="J31" s="7" t="n">
        <v>4900000</v>
      </c>
      <c r="K31" s="28" t="n">
        <f>J31-I31</f>
        <v>0.0400000000372529</v>
      </c>
      <c r="L31" s="2" t="str">
        <v>NHẬP</v>
      </c>
      <c r="M31" s="2" t="str"/>
      <c r="N31" s="2" t="str">
        <v>KHAC</v>
      </c>
    </row>
    <row r="32" ht="25" customHeight="1">
      <c r="A32" s="2" t="str">
        <v>Q32</v>
      </c>
      <c r="B32" s="2" t="str">
        <v>KH001</v>
      </c>
      <c r="C32" s="2" t="str">
        <v>KH001</v>
      </c>
      <c r="D32" s="2" t="str">
        <v>S2-00016-BH</v>
      </c>
      <c r="E32" s="2" t="str">
        <v>BAN_HANG</v>
      </c>
      <c r="F32" s="2" t="str">
        <v>INP2109</v>
      </c>
      <c r="G32" s="2" t="str">
        <v>29/01/2026</v>
      </c>
      <c r="H32" s="2" t="str">
        <v>5199999.984</v>
      </c>
      <c r="I32" s="28" t="n">
        <v>5199999.984</v>
      </c>
      <c r="J32" s="7" t="n">
        <v>5200000</v>
      </c>
      <c r="K32" s="28" t="n">
        <f>J32-I32</f>
        <v>0.015999999828636646</v>
      </c>
      <c r="L32" s="2" t="str">
        <v>NHẬP</v>
      </c>
      <c r="M32" s="2" t="str"/>
      <c r="N32" s="2" t="str">
        <v>KHAC</v>
      </c>
    </row>
    <row r="33" ht="25" customHeight="1">
      <c r="A33" s="2" t="str">
        <v>Q33</v>
      </c>
      <c r="B33" s="2" t="str">
        <v>KH001</v>
      </c>
      <c r="C33" s="2" t="str">
        <v>KH001</v>
      </c>
      <c r="D33" s="2" t="str">
        <v>S2-00016-BH</v>
      </c>
      <c r="E33" s="2" t="str">
        <v>BAN_HANG</v>
      </c>
      <c r="F33" s="2" t="str">
        <v>INP2110</v>
      </c>
      <c r="G33" s="2" t="str">
        <v>29/01/2026</v>
      </c>
      <c r="H33" s="2" t="str">
        <v>5599999.8</v>
      </c>
      <c r="I33" s="28" t="n">
        <v>5599999.8</v>
      </c>
      <c r="J33" s="7" t="n">
        <v>5600000</v>
      </c>
      <c r="K33" s="28" t="n">
        <f>J33-I33</f>
        <v>0.20000000018626451</v>
      </c>
      <c r="L33" s="2" t="str">
        <v>NHẬP</v>
      </c>
      <c r="M33" s="2" t="str"/>
      <c r="N33" s="2" t="str">
        <v>KHAC</v>
      </c>
    </row>
    <row r="34" ht="25" customHeight="1">
      <c r="A34" s="2" t="str">
        <v>Q34</v>
      </c>
      <c r="B34" s="2" t="str">
        <v>KH001</v>
      </c>
      <c r="C34" s="2" t="str">
        <v>KH001</v>
      </c>
      <c r="D34" s="2" t="str">
        <v>S2-00016-BH</v>
      </c>
      <c r="E34" s="2" t="str">
        <v>BAN_HANG</v>
      </c>
      <c r="F34" s="2" t="str">
        <v>INP2111</v>
      </c>
      <c r="G34" s="2" t="str">
        <v>29/01/2026</v>
      </c>
      <c r="H34" s="2" t="str">
        <v>5999999.832</v>
      </c>
      <c r="I34" s="28" t="n">
        <v>5999999.832</v>
      </c>
      <c r="J34" s="7" t="n">
        <v>6000000</v>
      </c>
      <c r="K34" s="28" t="n">
        <f>J34-I34</f>
        <v>0.16799999959766865</v>
      </c>
      <c r="L34" s="2" t="str">
        <v>NHẬP</v>
      </c>
      <c r="M34" s="2" t="str"/>
      <c r="N34" s="2" t="str">
        <v>KHAC</v>
      </c>
    </row>
    <row r="35" ht="25" customHeight="1">
      <c r="A35" s="2" t="str">
        <v>Q35</v>
      </c>
      <c r="B35" s="2" t="str">
        <v>KH001</v>
      </c>
      <c r="C35" s="2" t="str">
        <v>KH001</v>
      </c>
      <c r="D35" s="2" t="str">
        <v>S2-00016-BH</v>
      </c>
      <c r="E35" s="2" t="str">
        <v>BAN_HANG</v>
      </c>
      <c r="F35" s="2" t="str">
        <v>INP2202</v>
      </c>
      <c r="G35" s="2" t="str">
        <v>29/01/2026</v>
      </c>
      <c r="H35" s="2" t="str">
        <v>9119999.952</v>
      </c>
      <c r="I35" s="28" t="n">
        <v>9119999.952</v>
      </c>
      <c r="J35" s="7" t="n">
        <v>9120000</v>
      </c>
      <c r="K35" s="28" t="n">
        <f>J35-I35</f>
        <v>0.04800000041723251</v>
      </c>
      <c r="L35" s="2" t="str">
        <v>NHẬP</v>
      </c>
      <c r="M35" s="2" t="str"/>
      <c r="N35" s="2" t="str">
        <v>KHAC</v>
      </c>
    </row>
    <row r="36" ht="25" customHeight="1">
      <c r="A36" s="2" t="str">
        <v>Q36</v>
      </c>
      <c r="B36" s="2" t="str">
        <v>KH001</v>
      </c>
      <c r="C36" s="2" t="str">
        <v>KH001</v>
      </c>
      <c r="D36" s="2" t="str">
        <v>S2-00016-BH</v>
      </c>
      <c r="E36" s="2" t="str">
        <v>BAN_HANG</v>
      </c>
      <c r="F36" s="2" t="str">
        <v>INP3001</v>
      </c>
      <c r="G36" s="2" t="str">
        <v>29/01/2026</v>
      </c>
      <c r="H36" s="2" t="str">
        <v>7119999.9</v>
      </c>
      <c r="I36" s="28" t="n">
        <v>7119999.9</v>
      </c>
      <c r="J36" s="7" t="n">
        <v>7120000</v>
      </c>
      <c r="K36" s="28" t="n">
        <f>J36-I36</f>
        <v>0.09999999962747097</v>
      </c>
      <c r="L36" s="2" t="str">
        <v>NHẬP</v>
      </c>
      <c r="M36" s="2" t="str"/>
      <c r="N36" s="2" t="str">
        <v>KHAC</v>
      </c>
    </row>
    <row r="37" ht="25" customHeight="1">
      <c r="A37" s="2" t="str">
        <v>Q37</v>
      </c>
      <c r="B37" s="2" t="str">
        <v>KH001</v>
      </c>
      <c r="C37" s="2" t="str">
        <v>KH001</v>
      </c>
      <c r="D37" s="2" t="str">
        <v>S2-00016-BH</v>
      </c>
      <c r="E37" s="2" t="str">
        <v>BAN_HANG</v>
      </c>
      <c r="F37" s="2" t="str">
        <v>INP3002</v>
      </c>
      <c r="G37" s="2" t="str">
        <v>29/01/2026</v>
      </c>
      <c r="H37" s="2" t="str">
        <v>6149999.952</v>
      </c>
      <c r="I37" s="28" t="n">
        <v>6149999.952</v>
      </c>
      <c r="J37" s="7" t="n">
        <v>6150000</v>
      </c>
      <c r="K37" s="28" t="n">
        <f>J37-I37</f>
        <v>0.04800000041723251</v>
      </c>
      <c r="L37" s="2" t="str">
        <v>NHẬP</v>
      </c>
      <c r="M37" s="2" t="str"/>
      <c r="N37" s="2" t="str">
        <v>KHAC</v>
      </c>
    </row>
    <row r="38" ht="25" customHeight="1">
      <c r="A38" s="2" t="str">
        <v>Q38</v>
      </c>
      <c r="B38" s="2" t="str">
        <v>KH001</v>
      </c>
      <c r="C38" s="2" t="str">
        <v>KH001</v>
      </c>
      <c r="D38" s="2" t="str">
        <v>S2-00016-BH</v>
      </c>
      <c r="E38" s="2" t="str">
        <v>BAN_HANG</v>
      </c>
      <c r="F38" s="2" t="str">
        <v>INP3003</v>
      </c>
      <c r="G38" s="2" t="str">
        <v>29/01/2026</v>
      </c>
      <c r="H38" s="2" t="str">
        <v>7320002.4</v>
      </c>
      <c r="I38" s="28" t="n">
        <v>7320002.4</v>
      </c>
      <c r="J38" s="7" t="n">
        <v>7320002</v>
      </c>
      <c r="K38" s="28" t="n">
        <f>J38-I38</f>
        <v>-0.40000000037252903</v>
      </c>
      <c r="L38" s="2" t="str">
        <v>NHẬP</v>
      </c>
      <c r="M38" s="2" t="str"/>
      <c r="N38" s="2" t="str">
        <v>KHAC</v>
      </c>
    </row>
    <row r="39" ht="25" customHeight="1">
      <c r="A39" s="2" t="str">
        <v>Q39</v>
      </c>
      <c r="B39" s="2" t="str">
        <v>KH001</v>
      </c>
      <c r="C39" s="2" t="str">
        <v>KH001</v>
      </c>
      <c r="D39" s="2" t="str">
        <v>S2-00016-BH</v>
      </c>
      <c r="E39" s="2" t="str">
        <v>BAN_HANG</v>
      </c>
      <c r="F39" s="2" t="str">
        <v>INP3004</v>
      </c>
      <c r="G39" s="2" t="str">
        <v>29/01/2026</v>
      </c>
      <c r="H39" s="2" t="str">
        <v>4643999.9568</v>
      </c>
      <c r="I39" s="28" t="n">
        <v>4643999.9568</v>
      </c>
      <c r="J39" s="7" t="n">
        <v>4644000</v>
      </c>
      <c r="K39" s="28" t="n">
        <f>J39-I39</f>
        <v>0.04320000018924475</v>
      </c>
      <c r="L39" s="2" t="str">
        <v>NHẬP</v>
      </c>
      <c r="M39" s="2" t="str"/>
      <c r="N39" s="2" t="str">
        <v>KHAC</v>
      </c>
    </row>
    <row r="40" ht="25" customHeight="1">
      <c r="A40" s="2" t="str">
        <v>Q40</v>
      </c>
      <c r="B40" s="2" t="str">
        <v>KH001</v>
      </c>
      <c r="C40" s="2" t="str">
        <v>KH001</v>
      </c>
      <c r="D40" s="2" t="str">
        <v>S2-00016-BH</v>
      </c>
      <c r="E40" s="2" t="str">
        <v>BAN_HANG</v>
      </c>
      <c r="F40" s="2" t="str">
        <v>INP3005</v>
      </c>
      <c r="G40" s="2" t="str">
        <v>29/01/2026</v>
      </c>
      <c r="H40" s="2" t="str">
        <v>5159999.1168</v>
      </c>
      <c r="I40" s="28" t="n">
        <v>5159999.1168</v>
      </c>
      <c r="J40" s="7" t="n">
        <v>5159999</v>
      </c>
      <c r="K40" s="28" t="n">
        <f>J40-I40</f>
        <v>-0.11679999995976686</v>
      </c>
      <c r="L40" s="2" t="str">
        <v>NHẬP</v>
      </c>
      <c r="M40" s="2" t="str"/>
      <c r="N40" s="2" t="str">
        <v>KHAC</v>
      </c>
    </row>
    <row r="41" ht="25" customHeight="1">
      <c r="A41" s="2" t="str">
        <v>Q41</v>
      </c>
      <c r="B41" s="2" t="str">
        <v>KH001</v>
      </c>
      <c r="C41" s="2" t="str">
        <v>KH001</v>
      </c>
      <c r="D41" s="2" t="str">
        <v>S2-00016-BH</v>
      </c>
      <c r="E41" s="2" t="str">
        <v>BAN_HANG</v>
      </c>
      <c r="F41" s="2" t="str">
        <v>INP6601</v>
      </c>
      <c r="G41" s="2" t="str">
        <v>29/01/2026</v>
      </c>
      <c r="H41" s="2" t="str">
        <v>12999999.96</v>
      </c>
      <c r="I41" s="28" t="n">
        <v>12999999.96</v>
      </c>
      <c r="J41" s="7" t="n">
        <v>13000000</v>
      </c>
      <c r="K41" s="28" t="n">
        <f>J41-I41</f>
        <v>0.03999999910593033</v>
      </c>
      <c r="L41" s="2" t="str">
        <v>NHẬP</v>
      </c>
      <c r="M41" s="2" t="str"/>
      <c r="N41" s="2" t="str">
        <v>KHAC</v>
      </c>
    </row>
    <row r="42" ht="25" customHeight="1">
      <c r="A42" s="2" t="str">
        <v>Q42</v>
      </c>
      <c r="B42" s="2" t="str">
        <v>KH001</v>
      </c>
      <c r="C42" s="2" t="str">
        <v>KH001</v>
      </c>
      <c r="D42" s="2" t="str">
        <v>S2-00016-BH</v>
      </c>
      <c r="E42" s="2" t="str">
        <v>BAN_HANG</v>
      </c>
      <c r="F42" s="2" t="str">
        <v>INP6602</v>
      </c>
      <c r="G42" s="2" t="str">
        <v>29/01/2026</v>
      </c>
      <c r="H42" s="2" t="str">
        <v>14699999.988</v>
      </c>
      <c r="I42" s="28" t="n">
        <v>14699999.988</v>
      </c>
      <c r="J42" s="7" t="n">
        <v>14700000</v>
      </c>
      <c r="K42" s="28" t="n">
        <f>J42-I42</f>
        <v>0.012000000104308128</v>
      </c>
      <c r="L42" s="2" t="str">
        <v>NHẬP</v>
      </c>
      <c r="M42" s="2" t="str"/>
      <c r="N42" s="2" t="str">
        <v>KHAC</v>
      </c>
    </row>
    <row r="43" ht="25" customHeight="1">
      <c r="A43" s="2" t="str">
        <v>Q43</v>
      </c>
      <c r="B43" s="2" t="str">
        <v>KH001</v>
      </c>
      <c r="C43" s="2" t="str">
        <v>KH001</v>
      </c>
      <c r="D43" s="2" t="str">
        <v>S2-00016-BH</v>
      </c>
      <c r="E43" s="2" t="str">
        <v>BAN_HANG</v>
      </c>
      <c r="F43" s="2" t="str">
        <v>INP6802</v>
      </c>
      <c r="G43" s="2" t="str">
        <v>29/01/2026</v>
      </c>
      <c r="H43" s="2" t="str">
        <v>3811998.24</v>
      </c>
      <c r="I43" s="28" t="n">
        <v>3811998.24</v>
      </c>
      <c r="J43" s="7" t="n">
        <v>3811998</v>
      </c>
      <c r="K43" s="28" t="n">
        <f>J43-I43</f>
        <v>-0.24000000022351742</v>
      </c>
      <c r="L43" s="2" t="str">
        <v>NHẬP</v>
      </c>
      <c r="M43" s="2" t="str"/>
      <c r="N43" s="2" t="str">
        <v>KHAC</v>
      </c>
    </row>
    <row r="44" ht="25" customHeight="1">
      <c r="A44" s="2" t="str">
        <v>Q44</v>
      </c>
      <c r="B44" s="2" t="str">
        <v>KH001</v>
      </c>
      <c r="C44" s="2" t="str">
        <v>KH001</v>
      </c>
      <c r="D44" s="2" t="str">
        <v>S2-00016-BH</v>
      </c>
      <c r="E44" s="2" t="str">
        <v>BAN_HANG</v>
      </c>
      <c r="F44" s="2" t="str">
        <v>INP6501</v>
      </c>
      <c r="G44" s="2" t="str">
        <v>29/01/2026</v>
      </c>
      <c r="H44" s="2" t="str">
        <v>10979999.9712</v>
      </c>
      <c r="I44" s="28" t="n">
        <v>10979999.9712</v>
      </c>
      <c r="J44" s="7" t="n">
        <v>10980000</v>
      </c>
      <c r="K44" s="28" t="n">
        <f>J44-I44</f>
        <v>0.02879999950528145</v>
      </c>
      <c r="L44" s="2" t="str">
        <v>NHẬP</v>
      </c>
      <c r="M44" s="2" t="str"/>
      <c r="N44" s="2" t="str">
        <v>KHAC</v>
      </c>
    </row>
    <row r="45" ht="25" customHeight="1">
      <c r="A45" s="2" t="str">
        <v>Q45</v>
      </c>
      <c r="B45" s="2" t="str">
        <v>KH001</v>
      </c>
      <c r="C45" s="2" t="str">
        <v>KH001</v>
      </c>
      <c r="D45" s="2" t="str">
        <v>S2-00045-BH</v>
      </c>
      <c r="E45" s="2" t="str">
        <v>BAN_HANG</v>
      </c>
      <c r="F45" s="2" t="str">
        <v>INP6001</v>
      </c>
      <c r="G45" s="2" t="str">
        <v>29/01/2026</v>
      </c>
      <c r="H45" s="2" t="str">
        <v>9839999.9232</v>
      </c>
      <c r="I45" s="28" t="n">
        <v>9839999.9232</v>
      </c>
      <c r="J45" s="7" t="n">
        <v>9840000</v>
      </c>
      <c r="K45" s="28" t="n">
        <f>J45-I45</f>
        <v>0.07679999992251396</v>
      </c>
      <c r="L45" s="2" t="str">
        <v>NHẬP</v>
      </c>
      <c r="M45" s="2" t="str"/>
      <c r="N45" s="2" t="str">
        <v>KHAC</v>
      </c>
    </row>
    <row r="46" ht="25" customHeight="1">
      <c r="A46" s="2" t="str">
        <v>Q46</v>
      </c>
      <c r="B46" s="2" t="str">
        <v>KH001</v>
      </c>
      <c r="C46" s="2" t="str">
        <v>KH001</v>
      </c>
      <c r="D46" s="2" t="str">
        <v>S2-00045-BH</v>
      </c>
      <c r="E46" s="2" t="str">
        <v>BAN_HANG</v>
      </c>
      <c r="F46" s="2" t="str">
        <v>INP6003</v>
      </c>
      <c r="G46" s="2" t="str">
        <v>29/01/2026</v>
      </c>
      <c r="H46" s="2" t="str">
        <v>7359999.12</v>
      </c>
      <c r="I46" s="28" t="n">
        <v>7359999.12</v>
      </c>
      <c r="J46" s="7" t="n">
        <v>7359999</v>
      </c>
      <c r="K46" s="28" t="n">
        <f>J46-I46</f>
        <v>-0.12000000011175871</v>
      </c>
      <c r="L46" s="2" t="str">
        <v>NHẬP</v>
      </c>
      <c r="M46" s="2" t="str"/>
      <c r="N46" s="2" t="str">
        <v>KHAC</v>
      </c>
    </row>
    <row r="47" ht="25" customHeight="1">
      <c r="A47" s="2" t="str">
        <v>Q47</v>
      </c>
      <c r="B47" s="2" t="str">
        <v>KH001</v>
      </c>
      <c r="C47" s="2" t="str">
        <v>KH001</v>
      </c>
      <c r="D47" s="2" t="str">
        <v>S2-00047-BH</v>
      </c>
      <c r="E47" s="2" t="str">
        <v>BAN_HANG</v>
      </c>
      <c r="F47" s="2" t="str">
        <v>INP6201</v>
      </c>
      <c r="G47" s="2" t="str">
        <v>29/01/2026</v>
      </c>
      <c r="H47" s="2" t="str">
        <v>4199999.9472</v>
      </c>
      <c r="I47" s="28" t="n">
        <v>4199999.9472</v>
      </c>
      <c r="J47" s="7" t="n">
        <v>4200000</v>
      </c>
      <c r="K47" s="28" t="n">
        <f>J47-I47</f>
        <v>0.052799999713897705</v>
      </c>
      <c r="L47" s="2" t="str">
        <v>NHẬP</v>
      </c>
      <c r="M47" s="2" t="str"/>
      <c r="N47" s="2" t="str">
        <v>KHAC</v>
      </c>
    </row>
    <row r="48" ht="25" customHeight="1">
      <c r="A48" s="2" t="str">
        <v>Q48</v>
      </c>
      <c r="B48" s="2" t="str">
        <v>KH001</v>
      </c>
      <c r="C48" s="2" t="str">
        <v>KH001</v>
      </c>
      <c r="D48" s="2" t="str">
        <v>S2-00047-BH</v>
      </c>
      <c r="E48" s="2" t="str">
        <v>BAN_HANG</v>
      </c>
      <c r="F48" s="2" t="str">
        <v>INP6202</v>
      </c>
      <c r="G48" s="2" t="str">
        <v>29/01/2026</v>
      </c>
      <c r="H48" s="2" t="str">
        <v>4223999.9232</v>
      </c>
      <c r="I48" s="28" t="n">
        <v>4223999.9232</v>
      </c>
      <c r="J48" s="7" t="n">
        <v>4224000</v>
      </c>
      <c r="K48" s="28" t="n">
        <f>J48-I48</f>
        <v>0.07679999992251396</v>
      </c>
      <c r="L48" s="2" t="str">
        <v>NHẬP</v>
      </c>
      <c r="M48" s="2" t="str"/>
      <c r="N48" s="2" t="str">
        <v>KHAC</v>
      </c>
    </row>
    <row r="49" ht="25" customHeight="1">
      <c r="A49" s="2" t="str">
        <v>Q49</v>
      </c>
      <c r="B49" s="2" t="str">
        <v>KH001</v>
      </c>
      <c r="C49" s="2" t="str">
        <v>KH001</v>
      </c>
      <c r="D49" s="2" t="str">
        <v>S2-00047-BH</v>
      </c>
      <c r="E49" s="2" t="str">
        <v>BAN_HANG</v>
      </c>
      <c r="F49" s="2" t="str">
        <v>INP6203</v>
      </c>
      <c r="G49" s="2" t="str">
        <v>29/01/2026</v>
      </c>
      <c r="H49" s="2" t="str">
        <v>4523999.9472</v>
      </c>
      <c r="I49" s="28" t="n">
        <v>4523999.9472</v>
      </c>
      <c r="J49" s="7" t="n">
        <v>4524000</v>
      </c>
      <c r="K49" s="28" t="n">
        <f>J49-I49</f>
        <v>0.052799999713897705</v>
      </c>
      <c r="L49" s="2" t="str">
        <v>NHẬP</v>
      </c>
      <c r="M49" s="2" t="str"/>
      <c r="N49" s="2" t="str">
        <v>KHAC</v>
      </c>
    </row>
    <row r="50" ht="25" customHeight="1">
      <c r="A50" s="2" t="str">
        <v>Q50</v>
      </c>
      <c r="B50" s="2" t="str">
        <v>KH001</v>
      </c>
      <c r="C50" s="2" t="str">
        <v>KH001</v>
      </c>
      <c r="D50" s="2" t="str">
        <v>S2-00047-BH</v>
      </c>
      <c r="E50" s="2" t="str">
        <v>BAN_HANG</v>
      </c>
      <c r="F50" s="2" t="str">
        <v>INP6204</v>
      </c>
      <c r="G50" s="2" t="str">
        <v>29/01/2026</v>
      </c>
      <c r="H50" s="2" t="str">
        <v>3683999.88</v>
      </c>
      <c r="I50" s="28" t="n">
        <v>3683999.88</v>
      </c>
      <c r="J50" s="7" t="n">
        <v>3684000</v>
      </c>
      <c r="K50" s="28" t="n">
        <f>J50-I50</f>
        <v>0.12000000011175871</v>
      </c>
      <c r="L50" s="2" t="str">
        <v>NHẬP</v>
      </c>
      <c r="M50" s="2" t="str"/>
      <c r="N50" s="2" t="str">
        <v>KHAC</v>
      </c>
    </row>
    <row r="51" ht="25" customHeight="1">
      <c r="A51" s="2" t="str">
        <v>Q51</v>
      </c>
      <c r="B51" s="2" t="str">
        <v>KH001</v>
      </c>
      <c r="C51" s="2" t="str">
        <v>KH001</v>
      </c>
      <c r="D51" s="2" t="str">
        <v>S2-00047-BH</v>
      </c>
      <c r="E51" s="2" t="str">
        <v>BAN_HANG</v>
      </c>
      <c r="F51" s="2" t="str">
        <v>INP6205</v>
      </c>
      <c r="G51" s="2" t="str">
        <v>29/01/2026</v>
      </c>
      <c r="H51" s="2" t="str">
        <v>3635999.928</v>
      </c>
      <c r="I51" s="28" t="n">
        <v>3635999.928</v>
      </c>
      <c r="J51" s="7" t="n">
        <v>3636000</v>
      </c>
      <c r="K51" s="28" t="n">
        <f>J51-I51</f>
        <v>0.07200000016018748</v>
      </c>
      <c r="L51" s="2" t="str">
        <v>NHẬP</v>
      </c>
      <c r="M51" s="2" t="str"/>
      <c r="N51" s="2" t="str">
        <v>KHAC</v>
      </c>
    </row>
    <row r="52" ht="25" customHeight="1">
      <c r="A52" s="2" t="str">
        <v>Q52</v>
      </c>
      <c r="B52" s="2" t="str">
        <v>KH001</v>
      </c>
      <c r="C52" s="2" t="str">
        <v>KH001</v>
      </c>
      <c r="D52" s="2" t="str">
        <v>S2-00047-BH</v>
      </c>
      <c r="E52" s="2" t="str">
        <v>BAN_HANG</v>
      </c>
      <c r="F52" s="2" t="str">
        <v>INP6206</v>
      </c>
      <c r="G52" s="2" t="str">
        <v>29/01/2026</v>
      </c>
      <c r="H52" s="2" t="str">
        <v>3419999.8848</v>
      </c>
      <c r="I52" s="28" t="n">
        <v>3419999.8848</v>
      </c>
      <c r="J52" s="7" t="n">
        <v>3420000</v>
      </c>
      <c r="K52" s="28" t="n">
        <f>J52-I52</f>
        <v>0.11519999988377094</v>
      </c>
      <c r="L52" s="2" t="str">
        <v>NHẬP</v>
      </c>
      <c r="M52" s="2" t="str"/>
      <c r="N52" s="2" t="str">
        <v>KHAC</v>
      </c>
    </row>
    <row r="53" ht="25" customHeight="1">
      <c r="A53" s="2" t="str">
        <v>Q53</v>
      </c>
      <c r="B53" s="2" t="str">
        <v>KH001</v>
      </c>
      <c r="C53" s="2" t="str">
        <v>KH001</v>
      </c>
      <c r="D53" s="2" t="str">
        <v>S2-00053-BH</v>
      </c>
      <c r="E53" s="2" t="str">
        <v>BAN_HANG</v>
      </c>
      <c r="F53" s="2" t="str">
        <v>INP6501</v>
      </c>
      <c r="G53" s="2" t="str">
        <v>29/01/2026</v>
      </c>
      <c r="H53" s="2" t="str">
        <v>10979999.9712</v>
      </c>
      <c r="I53" s="28" t="n">
        <v>10979999.9712</v>
      </c>
      <c r="J53" s="7" t="n">
        <v>10980000</v>
      </c>
      <c r="K53" s="28" t="n">
        <f>J53-I53</f>
        <v>0.02879999950528145</v>
      </c>
      <c r="L53" s="2" t="str">
        <v>NHẬP</v>
      </c>
      <c r="M53" s="2" t="str"/>
      <c r="N53" s="2" t="str">
        <v>KHAC</v>
      </c>
    </row>
    <row r="54" ht="25" customHeight="1">
      <c r="A54" s="2" t="str">
        <v>Q54</v>
      </c>
      <c r="B54" s="2" t="str">
        <v>KH001</v>
      </c>
      <c r="C54" s="2" t="str">
        <v>KH001</v>
      </c>
      <c r="D54" s="2" t="str">
        <v>S2-00053-BH</v>
      </c>
      <c r="E54" s="2" t="str">
        <v>BAN_HANG</v>
      </c>
      <c r="F54" s="2" t="str">
        <v>INP6701</v>
      </c>
      <c r="G54" s="2" t="str">
        <v>29/01/2026</v>
      </c>
      <c r="H54" s="2" t="str">
        <v>6239999.9808</v>
      </c>
      <c r="I54" s="28" t="n">
        <v>6239999.9808</v>
      </c>
      <c r="J54" s="7" t="n">
        <v>6240000</v>
      </c>
      <c r="K54" s="28" t="n">
        <f>J54-I54</f>
        <v>0.01919999998062849</v>
      </c>
      <c r="L54" s="2" t="str">
        <v>NHẬP</v>
      </c>
      <c r="M54" s="2" t="str"/>
      <c r="N54" s="2" t="str">
        <v>KHAC</v>
      </c>
    </row>
    <row r="55" ht="25" customHeight="1">
      <c r="A55" s="2" t="str">
        <v>Q55</v>
      </c>
      <c r="B55" s="2" t="str">
        <v>KH001</v>
      </c>
      <c r="C55" s="2" t="str">
        <v>KH001</v>
      </c>
      <c r="D55" s="2" t="str">
        <v>S2-00053-BH</v>
      </c>
      <c r="E55" s="2" t="str">
        <v>BAN_HANG</v>
      </c>
      <c r="F55" s="2" t="str">
        <v>INP1201</v>
      </c>
      <c r="G55" s="2" t="str">
        <v>29/01/2026</v>
      </c>
      <c r="H55" s="2" t="str">
        <v>4189999.968</v>
      </c>
      <c r="I55" s="28" t="n">
        <v>4189999.968</v>
      </c>
      <c r="J55" s="7" t="n">
        <v>4190000</v>
      </c>
      <c r="K55" s="28" t="n">
        <f>J55-I55</f>
        <v>0.03200000012293458</v>
      </c>
      <c r="L55" s="2" t="str">
        <v>NHẬP</v>
      </c>
      <c r="M55" s="2" t="str"/>
      <c r="N55" s="2" t="str">
        <v>KHAC</v>
      </c>
    </row>
    <row r="56" ht="25" customHeight="1">
      <c r="A56" s="2" t="str">
        <v>Q56</v>
      </c>
      <c r="B56" s="2" t="str">
        <v>KH001</v>
      </c>
      <c r="C56" s="2" t="str">
        <v>KH001</v>
      </c>
      <c r="D56" s="2" t="str">
        <v>S2-00053-BH</v>
      </c>
      <c r="E56" s="2" t="str">
        <v>BAN_HANG</v>
      </c>
      <c r="F56" s="2" t="str">
        <v>INP1202</v>
      </c>
      <c r="G56" s="2" t="str">
        <v>29/01/2026</v>
      </c>
      <c r="H56" s="2" t="str">
        <v>5099999.976</v>
      </c>
      <c r="I56" s="28" t="n">
        <v>5099999.976</v>
      </c>
      <c r="J56" s="7" t="n">
        <v>5100000</v>
      </c>
      <c r="K56" s="28" t="n">
        <f>J56-I56</f>
        <v>0.024000000208616257</v>
      </c>
      <c r="L56" s="2" t="str">
        <v>NHẬP</v>
      </c>
      <c r="M56" s="2" t="str"/>
      <c r="N56" s="2" t="str">
        <v>KHAC</v>
      </c>
    </row>
    <row r="57" ht="25" customHeight="1">
      <c r="A57" s="2" t="str">
        <v>Q57</v>
      </c>
      <c r="B57" s="2" t="str">
        <v>KH001</v>
      </c>
      <c r="C57" s="2" t="str">
        <v>KH001</v>
      </c>
      <c r="D57" s="2" t="str">
        <v>S2-00053-BH</v>
      </c>
      <c r="E57" s="2" t="str">
        <v>BAN_HANG</v>
      </c>
      <c r="F57" s="2" t="str">
        <v>INP1203</v>
      </c>
      <c r="G57" s="2" t="str">
        <v>29/01/2026</v>
      </c>
      <c r="H57" s="2" t="str">
        <v>5320000.08</v>
      </c>
      <c r="I57" s="28" t="n">
        <v>5320000.08</v>
      </c>
      <c r="J57" s="7" t="n">
        <v>5320000</v>
      </c>
      <c r="K57" s="28" t="n">
        <f>J57-I57</f>
        <v>-0.0800000000745058</v>
      </c>
      <c r="L57" s="2" t="str">
        <v>NHẬP</v>
      </c>
      <c r="M57" s="2" t="str"/>
      <c r="N57" s="2" t="str">
        <v>KHAC</v>
      </c>
    </row>
    <row r="58" ht="25" customHeight="1">
      <c r="A58" s="2" t="str">
        <v>Q58</v>
      </c>
      <c r="B58" s="2" t="str">
        <v>KH001</v>
      </c>
      <c r="C58" s="2" t="str">
        <v>KH001</v>
      </c>
      <c r="D58" s="2" t="str">
        <v>S2-00058-TH</v>
      </c>
      <c r="E58" s="2" t="str">
        <v>TRA_HANG</v>
      </c>
      <c r="F58" s="2" t="str">
        <v>INP6501</v>
      </c>
      <c r="G58" s="2" t="str">
        <v>2026-11-02</v>
      </c>
      <c r="H58" s="2" t="str">
        <v>10979999.9712</v>
      </c>
      <c r="I58" s="28" t="n">
        <v>10979999.9712</v>
      </c>
      <c r="J58" s="7" t="n">
        <v>10980000</v>
      </c>
      <c r="K58" s="28" t="n">
        <f>J58-I58</f>
        <v>0.02879999950528145</v>
      </c>
      <c r="L58" s="2" t="str">
        <v>NHẬP</v>
      </c>
      <c r="M58" s="2" t="str"/>
      <c r="N58" s="2" t="str">
        <v>KHAC</v>
      </c>
    </row>
    <row r="59" ht="25" customHeight="1">
      <c r="A59" s="2" t="str">
        <v>Q59</v>
      </c>
      <c r="B59" s="2" t="str">
        <v>KH001</v>
      </c>
      <c r="C59" s="2" t="str">
        <v>KH001</v>
      </c>
      <c r="D59" s="2" t="str">
        <v>S2-00059-BH</v>
      </c>
      <c r="E59" s="2" t="str">
        <v>BAN_HANG</v>
      </c>
      <c r="F59" s="2" t="str">
        <v>INP1001</v>
      </c>
      <c r="G59" s="2" t="str">
        <v>2026-05-06</v>
      </c>
      <c r="H59" s="2" t="str">
        <v>8303999.904</v>
      </c>
      <c r="I59" s="28" t="n">
        <v>8303999.904</v>
      </c>
      <c r="J59" s="7" t="n">
        <v>8304000</v>
      </c>
      <c r="K59" s="28" t="n">
        <f>J59-I59</f>
        <v>0.09599999990314245</v>
      </c>
      <c r="L59" s="2" t="str">
        <v>NHẬP</v>
      </c>
      <c r="M59" s="2" t="str"/>
      <c r="N59" s="2" t="str">
        <v>KHAC</v>
      </c>
    </row>
    <row r="60" ht="25" customHeight="1">
      <c r="A60" s="2" t="str">
        <v>Q60</v>
      </c>
      <c r="B60" s="2" t="str">
        <v>KH001</v>
      </c>
      <c r="C60" s="2" t="str">
        <v>KH001</v>
      </c>
      <c r="D60" s="2" t="str">
        <v>S2-00059-BH</v>
      </c>
      <c r="E60" s="2" t="str">
        <v>BAN_HANG</v>
      </c>
      <c r="F60" s="2" t="str">
        <v>NP1002</v>
      </c>
      <c r="G60" s="2" t="str">
        <v>2026-05-06</v>
      </c>
      <c r="H60" s="2" t="str">
        <v>11183999.9616</v>
      </c>
      <c r="I60" s="28" t="n">
        <v>11183999.9616</v>
      </c>
      <c r="J60" s="7" t="n">
        <v>11184000</v>
      </c>
      <c r="K60" s="28" t="n">
        <f>J60-I60</f>
        <v>0.03839999996125698</v>
      </c>
      <c r="L60" s="2" t="str">
        <v>NHẬP</v>
      </c>
      <c r="M60" s="2" t="str"/>
      <c r="N60" s="2" t="str">
        <v>KHAC</v>
      </c>
    </row>
    <row r="61" ht="25" customHeight="1">
      <c r="A61" s="2" t="str">
        <v>Q61</v>
      </c>
      <c r="B61" s="2" t="str">
        <v>KH001</v>
      </c>
      <c r="C61" s="2" t="str">
        <v>KH001</v>
      </c>
      <c r="D61" s="2" t="str">
        <v>S2-00059-BH</v>
      </c>
      <c r="E61" s="2" t="str">
        <v>BAN_HANG</v>
      </c>
      <c r="F61" s="2" t="str">
        <v>INP1003</v>
      </c>
      <c r="G61" s="2" t="str">
        <v>2026-05-06</v>
      </c>
      <c r="H61" s="2" t="str">
        <v>4199999.9472</v>
      </c>
      <c r="I61" s="28" t="n">
        <v>4199999.9472</v>
      </c>
      <c r="J61" s="7" t="n">
        <v>4200000</v>
      </c>
      <c r="K61" s="28" t="n">
        <f>J61-I61</f>
        <v>0.052799999713897705</v>
      </c>
      <c r="L61" s="2" t="str">
        <v>NHẬP</v>
      </c>
      <c r="M61" s="2" t="str"/>
      <c r="N61" s="2" t="str">
        <v>KHAC</v>
      </c>
    </row>
    <row r="62" ht="25" customHeight="1">
      <c r="A62" s="2" t="str">
        <v>Q62</v>
      </c>
      <c r="B62" s="2" t="str">
        <v>KH001</v>
      </c>
      <c r="C62" s="2" t="str">
        <v>KH001</v>
      </c>
      <c r="D62" s="2" t="str">
        <v>S2-00059-BH</v>
      </c>
      <c r="E62" s="2" t="str">
        <v>BAN_HANG</v>
      </c>
      <c r="F62" s="2" t="str">
        <v>INP2002</v>
      </c>
      <c r="G62" s="2" t="str">
        <v>2026-05-06</v>
      </c>
      <c r="H62" s="2" t="str">
        <v>9199999.98</v>
      </c>
      <c r="I62" s="28" t="n">
        <v>9199999.98</v>
      </c>
      <c r="J62" s="7" t="n">
        <v>9200000</v>
      </c>
      <c r="K62" s="28" t="n">
        <f>J62-I62</f>
        <v>0.019999999552965164</v>
      </c>
      <c r="L62" s="2" t="str">
        <v>NHẬP</v>
      </c>
      <c r="M62" s="2" t="str"/>
      <c r="N62" s="2" t="str">
        <v>KHAC</v>
      </c>
    </row>
    <row r="63" ht="25" customHeight="1">
      <c r="A63" s="2" t="str">
        <v>Q63</v>
      </c>
      <c r="B63" s="2" t="str">
        <v>KH001</v>
      </c>
      <c r="C63" s="2" t="str">
        <v>KH001</v>
      </c>
      <c r="D63" s="2" t="str">
        <v>S2-00059-BH</v>
      </c>
      <c r="E63" s="2" t="str">
        <v>BAN_HANG</v>
      </c>
      <c r="F63" s="2" t="str">
        <v>INP6701</v>
      </c>
      <c r="G63" s="2" t="str">
        <v>2026-05-06</v>
      </c>
      <c r="H63" s="2" t="str">
        <v>6614400.0384</v>
      </c>
      <c r="I63" s="28" t="n">
        <v>6614400.0384</v>
      </c>
      <c r="J63" s="7" t="n">
        <v>6614400</v>
      </c>
      <c r="K63" s="28" t="n">
        <f>J63-I63</f>
        <v>-0.03839999996125698</v>
      </c>
      <c r="L63" s="2" t="str">
        <v>NHẬP</v>
      </c>
      <c r="M63" s="2" t="str"/>
      <c r="N63" s="2" t="str">
        <v>KHAC</v>
      </c>
    </row>
    <row r="64" ht="25" customHeight="1">
      <c r="A64" s="2" t="str">
        <v>Q64</v>
      </c>
      <c r="B64" s="2" t="str">
        <v>KH001</v>
      </c>
      <c r="C64" s="2" t="str">
        <v>KH001</v>
      </c>
      <c r="D64" s="2" t="str">
        <v>S2-00064-BH</v>
      </c>
      <c r="E64" s="2" t="str">
        <v>BAN_HANG</v>
      </c>
      <c r="F64" s="2" t="str">
        <v>INP6401</v>
      </c>
      <c r="G64" s="2" t="str">
        <v>2026-05-06</v>
      </c>
      <c r="H64" s="2" t="str">
        <v>55000000.08</v>
      </c>
      <c r="I64" s="28" t="n">
        <v>55000000.08</v>
      </c>
      <c r="J64" s="7" t="n">
        <v>55000000</v>
      </c>
      <c r="K64" s="28" t="n">
        <f>J64-I64</f>
        <v>-0.07999999821186066</v>
      </c>
      <c r="L64" s="2" t="str">
        <v>NHẬP</v>
      </c>
      <c r="M64" s="2" t="str"/>
      <c r="N64" s="2" t="str">
        <v>QUAT</v>
      </c>
    </row>
    <row r="65" ht="25" customHeight="1">
      <c r="A65" s="2" t="str">
        <v>Q65</v>
      </c>
      <c r="B65" s="2" t="str">
        <v>KH001</v>
      </c>
      <c r="C65" s="2" t="str">
        <v>KH001</v>
      </c>
      <c r="D65" s="2" t="str">
        <v>S2-00065-BH</v>
      </c>
      <c r="E65" s="2" t="str">
        <v>BAN_HANG</v>
      </c>
      <c r="F65" s="2" t="str">
        <v>INP6902</v>
      </c>
      <c r="G65" s="2" t="str">
        <v>18/6/2026</v>
      </c>
      <c r="H65" s="2" t="str">
        <v>35199999.792</v>
      </c>
      <c r="I65" s="28" t="n">
        <v>35199999.792</v>
      </c>
      <c r="J65" s="7" t="n">
        <v>35200000</v>
      </c>
      <c r="K65" s="28" t="n">
        <f>J65-I65</f>
        <v>0.20799999684095383</v>
      </c>
      <c r="L65" s="2" t="str">
        <v>NHẬP</v>
      </c>
      <c r="M65" s="2" t="str"/>
      <c r="N65" s="2" t="str">
        <v>KHAC</v>
      </c>
    </row>
    <row r="66" ht="25" customHeight="1">
      <c r="A66" s="2" t="str">
        <v>Q66</v>
      </c>
      <c r="B66" s="2" t="str">
        <v>KH001</v>
      </c>
      <c r="C66" s="2" t="str">
        <v>KH001</v>
      </c>
      <c r="D66" s="2" t="str">
        <v>S2-00065-BH</v>
      </c>
      <c r="E66" s="2" t="str">
        <v>BAN_HANG</v>
      </c>
      <c r="F66" s="2" t="str">
        <v>INP6903</v>
      </c>
      <c r="G66" s="2" t="str">
        <v>18/6/2026</v>
      </c>
      <c r="H66" s="2" t="str">
        <v>19600000.056</v>
      </c>
      <c r="I66" s="28" t="n">
        <v>19600000.056</v>
      </c>
      <c r="J66" s="7" t="n">
        <v>19600000</v>
      </c>
      <c r="K66" s="28" t="n">
        <f>J66-I66</f>
        <v>-0.0560000017285347</v>
      </c>
      <c r="L66" s="2" t="str">
        <v>NHẬP</v>
      </c>
      <c r="M66" s="2" t="str"/>
      <c r="N66" s="2" t="str">
        <v>KHAC</v>
      </c>
    </row>
    <row r="67" ht="25" customHeight="1">
      <c r="A67" s="2" t="str">
        <v>Q67</v>
      </c>
      <c r="B67" s="2" t="str">
        <v>KH001</v>
      </c>
      <c r="C67" s="2" t="str">
        <v>KH001</v>
      </c>
      <c r="D67" s="2" t="str">
        <v>S2-00067-BH</v>
      </c>
      <c r="E67" s="2" t="str">
        <v>BAN_HANG</v>
      </c>
      <c r="F67" s="2" t="str">
        <v>INP6402</v>
      </c>
      <c r="G67" s="2" t="str">
        <v>20/06/2026</v>
      </c>
      <c r="H67" s="2" t="str">
        <v>30999999.78</v>
      </c>
      <c r="I67" s="28" t="n">
        <v>30999999.78</v>
      </c>
      <c r="J67" s="7" t="n">
        <v>31000000</v>
      </c>
      <c r="K67" s="28" t="n">
        <f>J67-I67</f>
        <v>0.2199999988079071</v>
      </c>
      <c r="L67" s="2" t="str">
        <v>NHẬP</v>
      </c>
      <c r="M67" s="2" t="str"/>
      <c r="N67" s="2" t="str">
        <v>QUAT</v>
      </c>
    </row>
    <row r="68" ht="25" customHeight="1">
      <c r="A68" s="2" t="str">
        <v>Q68</v>
      </c>
      <c r="B68" s="2" t="str">
        <v>KH001</v>
      </c>
      <c r="C68" s="2" t="str">
        <v>KH001</v>
      </c>
      <c r="D68" s="2" t="str">
        <v>S2-00068-BH</v>
      </c>
      <c r="E68" s="2" t="str">
        <v>BAN_HANG</v>
      </c>
      <c r="F68" s="2" t="str">
        <v>INP6403</v>
      </c>
      <c r="G68" s="2" t="str">
        <v>20/06/2026</v>
      </c>
      <c r="H68" s="2" t="str">
        <v>37499999.76</v>
      </c>
      <c r="I68" s="28" t="n">
        <v>37499999.76</v>
      </c>
      <c r="J68" s="7" t="n">
        <v>37500000</v>
      </c>
      <c r="K68" s="28" t="n">
        <f>J68-I68</f>
        <v>0.24000000208616257</v>
      </c>
      <c r="L68" s="2" t="str">
        <v>NHẬP</v>
      </c>
      <c r="M68" s="2" t="str"/>
      <c r="N68" s="2" t="str">
        <v>QUAT</v>
      </c>
    </row>
    <row r="69" ht="25" customHeight="1">
      <c r="A69" s="2" t="str">
        <v>R69</v>
      </c>
      <c r="B69" s="2" t="str">
        <v>KH001</v>
      </c>
      <c r="C69" s="2" t="str">
        <v>KH001</v>
      </c>
      <c r="D69" s="2" t="str">
        <v>S2-00069-TT</v>
      </c>
      <c r="E69" s="2" t="str">
        <v>THU_TIEN</v>
      </c>
      <c r="F69" s="2" t="str"/>
      <c r="G69" s="2" t="str">
        <v>23/06/2026</v>
      </c>
      <c r="H69" s="2" t="str">
        <v>71332402</v>
      </c>
      <c r="I69" s="28" t="n">
        <v>71332402</v>
      </c>
      <c r="J69" s="7" t="n">
        <v>71332402</v>
      </c>
      <c r="K69" s="28" t="n">
        <f>J69-I69</f>
        <v>0</v>
      </c>
      <c r="L69" s="2" t="str">
        <v>NHẬP</v>
      </c>
      <c r="M69" s="2" t="str"/>
      <c r="N69" s="2" t="str">
        <v>KHAC</v>
      </c>
    </row>
    <row r="70" ht="25" customHeight="1">
      <c r="A70" s="2" t="str">
        <v>Q70</v>
      </c>
      <c r="B70" s="2" t="str">
        <v>KH001</v>
      </c>
      <c r="C70" s="2" t="str">
        <v>KH001</v>
      </c>
      <c r="D70" s="2" t="str">
        <v>S2-00070-BH</v>
      </c>
      <c r="E70" s="2" t="str">
        <v>BAN_HANG</v>
      </c>
      <c r="F70" s="2" t="str">
        <v>INP6407</v>
      </c>
      <c r="G70" s="2" t="str">
        <v>29/06/2026</v>
      </c>
      <c r="H70" s="2" t="str">
        <v>8999999.9424</v>
      </c>
      <c r="I70" s="28" t="n">
        <v>8999999.9424</v>
      </c>
      <c r="J70" s="7" t="n">
        <v>9000000</v>
      </c>
      <c r="K70" s="28" t="n">
        <f>J70-I70</f>
        <v>0.057600000873208046</v>
      </c>
      <c r="L70" s="2" t="str">
        <v>NHẬP</v>
      </c>
      <c r="M70" s="2" t="str"/>
      <c r="N70" s="2" t="str">
        <v>QUAT</v>
      </c>
    </row>
    <row r="71" ht="25" customHeight="1">
      <c r="A71" s="2" t="str">
        <v>Q71</v>
      </c>
      <c r="B71" s="2" t="str">
        <v>KH001</v>
      </c>
      <c r="C71" s="2" t="str">
        <v>KH001</v>
      </c>
      <c r="D71" s="2" t="str">
        <v>S2-00070-BH</v>
      </c>
      <c r="E71" s="2" t="str">
        <v>BAN_HANG</v>
      </c>
      <c r="F71" s="2" t="str">
        <v>INP6408</v>
      </c>
      <c r="G71" s="2" t="str">
        <v>29/06/2026</v>
      </c>
      <c r="H71" s="2" t="str">
        <v>8000000.208</v>
      </c>
      <c r="I71" s="28" t="n">
        <v>8000000.208</v>
      </c>
      <c r="J71" s="7" t="n">
        <v>8000000</v>
      </c>
      <c r="K71" s="28" t="n">
        <f>J71-I71</f>
        <v>-0.20799999963492155</v>
      </c>
      <c r="L71" s="2" t="str">
        <v>NHẬP</v>
      </c>
      <c r="M71" s="2" t="str"/>
      <c r="N71" s="2" t="str">
        <v>QUAT</v>
      </c>
    </row>
    <row r="72" ht="25" customHeight="1">
      <c r="A72" s="2" t="str">
        <v>Q72</v>
      </c>
      <c r="B72" s="2" t="str">
        <v>KH001</v>
      </c>
      <c r="C72" s="2" t="str">
        <v>KH001</v>
      </c>
      <c r="D72" s="2" t="str">
        <v>S2-00070-BH</v>
      </c>
      <c r="E72" s="2" t="str">
        <v>BAN_HANG</v>
      </c>
      <c r="F72" s="2" t="str">
        <v>INP6409</v>
      </c>
      <c r="G72" s="2" t="str">
        <v>29/06/2026</v>
      </c>
      <c r="H72" s="2" t="str">
        <v>13199999.76</v>
      </c>
      <c r="I72" s="28" t="n">
        <v>13199999.76</v>
      </c>
      <c r="J72" s="7" t="n">
        <v>13200000</v>
      </c>
      <c r="K72" s="28" t="n">
        <f>J72-I72</f>
        <v>0.24000000022351742</v>
      </c>
      <c r="L72" s="2" t="str">
        <v>NHẬP</v>
      </c>
      <c r="M72" s="2" t="str"/>
      <c r="N72" s="2" t="str">
        <v>QUAT</v>
      </c>
    </row>
    <row r="73" ht="25" customHeight="1">
      <c r="A73" s="2" t="str">
        <v>Q73</v>
      </c>
      <c r="B73" s="2" t="str">
        <v>KH001</v>
      </c>
      <c r="C73" s="2" t="str">
        <v>KH001</v>
      </c>
      <c r="D73" s="2" t="str">
        <v>S2-00070-BH</v>
      </c>
      <c r="E73" s="2" t="str">
        <v>BAN_HANG</v>
      </c>
      <c r="F73" s="2" t="str">
        <v>INP6410</v>
      </c>
      <c r="G73" s="2" t="str">
        <v>29/06/2026</v>
      </c>
      <c r="H73" s="2" t="str">
        <v>14999999.904</v>
      </c>
      <c r="I73" s="28" t="n">
        <v>14999999.904</v>
      </c>
      <c r="J73" s="7" t="n">
        <v>15000000</v>
      </c>
      <c r="K73" s="28" t="n">
        <f>J73-I73</f>
        <v>0.09600000083446503</v>
      </c>
      <c r="L73" s="2" t="str">
        <v>NHẬP</v>
      </c>
      <c r="M73" s="2" t="str"/>
      <c r="N73" s="2" t="str">
        <v>QUAT</v>
      </c>
    </row>
    <row r="74" ht="25" customHeight="1">
      <c r="A74" s="2" t="str">
        <v>Q74</v>
      </c>
      <c r="B74" s="2" t="str">
        <v>KH001</v>
      </c>
      <c r="C74" s="2" t="str">
        <v>KH001</v>
      </c>
      <c r="D74" s="2" t="str">
        <v>S2-00070-BH</v>
      </c>
      <c r="E74" s="2" t="str">
        <v>BAN_HANG</v>
      </c>
      <c r="F74" s="2" t="str">
        <v>INP6411</v>
      </c>
      <c r="G74" s="2" t="str">
        <v>29/06/2026</v>
      </c>
      <c r="H74" s="2" t="str">
        <v>18400000.176</v>
      </c>
      <c r="I74" s="28" t="n">
        <v>18400000.176</v>
      </c>
      <c r="J74" s="7" t="n">
        <v>18400000</v>
      </c>
      <c r="K74" s="28" t="n">
        <f>J74-I74</f>
        <v>-0.17599999904632568</v>
      </c>
      <c r="L74" s="2" t="str">
        <v>NHẬP</v>
      </c>
      <c r="M74" s="2" t="str"/>
      <c r="N74" s="2" t="str">
        <v>QUAT</v>
      </c>
    </row>
    <row r="75" ht="25" customHeight="1">
      <c r="A75" s="2" t="str">
        <v>Q75</v>
      </c>
      <c r="B75" s="2" t="str">
        <v>KH001</v>
      </c>
      <c r="C75" s="2" t="str">
        <v>KH001</v>
      </c>
      <c r="D75" s="2" t="str">
        <v>S2-00075-BH</v>
      </c>
      <c r="E75" s="2" t="str">
        <v>BAN_HANG</v>
      </c>
      <c r="F75" s="2" t="str">
        <v>INP2103</v>
      </c>
      <c r="G75" s="2" t="str">
        <v>01/07/2026</v>
      </c>
      <c r="H75" s="2" t="str">
        <v>9119999.952</v>
      </c>
      <c r="I75" s="28" t="n">
        <v>9119999.952</v>
      </c>
      <c r="J75" s="7" t="n">
        <v>9120000</v>
      </c>
      <c r="K75" s="28" t="n">
        <f>J75-I75</f>
        <v>0.04800000041723251</v>
      </c>
      <c r="L75" s="2" t="str">
        <v>NHẬP</v>
      </c>
      <c r="M75" s="2" t="str"/>
      <c r="N75" s="2" t="str">
        <v>KHAC</v>
      </c>
    </row>
    <row r="76" ht="25" customHeight="1">
      <c r="A76" s="2" t="str">
        <v>Q76</v>
      </c>
      <c r="B76" s="2" t="str">
        <v>KH001</v>
      </c>
      <c r="C76" s="2" t="str">
        <v>KH001</v>
      </c>
      <c r="D76" s="2" t="str">
        <v>S2-00075-BH</v>
      </c>
      <c r="E76" s="2" t="str">
        <v>BAN_HANG</v>
      </c>
      <c r="F76" s="2" t="str">
        <v>INP2104</v>
      </c>
      <c r="G76" s="2" t="str">
        <v>01/07/2026</v>
      </c>
      <c r="H76" s="2" t="str">
        <v>6440000.04</v>
      </c>
      <c r="I76" s="28" t="n">
        <v>6440000.04</v>
      </c>
      <c r="J76" s="7" t="n">
        <v>6440000</v>
      </c>
      <c r="K76" s="28" t="n">
        <f>J76-I76</f>
        <v>-0.0400000000372529</v>
      </c>
      <c r="L76" s="2" t="str">
        <v>NHẬP</v>
      </c>
      <c r="M76" s="2" t="str"/>
      <c r="N76" s="2" t="str">
        <v>KHAC</v>
      </c>
    </row>
    <row r="77" ht="25" customHeight="1">
      <c r="A77" s="2" t="str">
        <v>Q77</v>
      </c>
      <c r="B77" s="2" t="str">
        <v>KH001</v>
      </c>
      <c r="C77" s="2" t="str">
        <v>KH001</v>
      </c>
      <c r="D77" s="2" t="str">
        <v>S2-00075-BH</v>
      </c>
      <c r="E77" s="2" t="str">
        <v>BAN_HANG</v>
      </c>
      <c r="F77" s="2" t="str">
        <v>INP2106</v>
      </c>
      <c r="G77" s="2" t="str">
        <v>01/07/2026</v>
      </c>
      <c r="H77" s="2" t="str">
        <v>8399999.7</v>
      </c>
      <c r="I77" s="28" t="n">
        <v>8399999.7</v>
      </c>
      <c r="J77" s="7" t="n">
        <v>8399999</v>
      </c>
      <c r="K77" s="28" t="n">
        <f>J77-I77</f>
        <v>-0.6999999992549419</v>
      </c>
      <c r="L77" s="2" t="str">
        <v>NHẬP</v>
      </c>
      <c r="M77" s="2" t="str"/>
      <c r="N77" s="2" t="str">
        <v>KHAC</v>
      </c>
    </row>
    <row r="78" ht="25" customHeight="1">
      <c r="A78" s="2" t="str">
        <v>Q78</v>
      </c>
      <c r="B78" s="2" t="str">
        <v>KH001</v>
      </c>
      <c r="C78" s="2" t="str">
        <v>KH001</v>
      </c>
      <c r="D78" s="2" t="str">
        <v>S2-00075-BH</v>
      </c>
      <c r="E78" s="2" t="str">
        <v>BAN_HANG</v>
      </c>
      <c r="F78" s="2" t="str">
        <v>INP2107</v>
      </c>
      <c r="G78" s="2" t="str">
        <v>01/07/2026</v>
      </c>
      <c r="H78" s="2" t="str">
        <v>8700000.048</v>
      </c>
      <c r="I78" s="28" t="n">
        <v>8700000.048</v>
      </c>
      <c r="J78" s="7" t="n">
        <v>8700000</v>
      </c>
      <c r="K78" s="28" t="n">
        <f>J78-I78</f>
        <v>-0.04800000041723251</v>
      </c>
      <c r="L78" s="2" t="str">
        <v>NHẬP</v>
      </c>
      <c r="M78" s="2" t="str"/>
      <c r="N78" s="2" t="str">
        <v>KHAC</v>
      </c>
    </row>
    <row r="79" ht="25" customHeight="1">
      <c r="A79" s="2" t="str">
        <v>Q79</v>
      </c>
      <c r="B79" s="2" t="str">
        <v>KH001</v>
      </c>
      <c r="C79" s="2" t="str">
        <v>KH001</v>
      </c>
      <c r="D79" s="2" t="str">
        <v>S2-00075-BH</v>
      </c>
      <c r="E79" s="2" t="str">
        <v>BAN_HANG</v>
      </c>
      <c r="F79" s="2" t="str">
        <v>INP2110</v>
      </c>
      <c r="G79" s="2" t="str">
        <v>01/07/2026</v>
      </c>
      <c r="H79" s="2" t="str">
        <v>11199999.6</v>
      </c>
      <c r="I79" s="28" t="n">
        <v>11199999.6</v>
      </c>
      <c r="J79" s="7" t="n">
        <v>11199999</v>
      </c>
      <c r="K79" s="28" t="n">
        <f>J79-I79</f>
        <v>-0.599999999627471</v>
      </c>
      <c r="L79" s="2" t="str">
        <v>NHẬP</v>
      </c>
      <c r="M79" s="2" t="str"/>
      <c r="N79" s="2" t="str">
        <v>KHAC</v>
      </c>
    </row>
    <row r="80" ht="25" customHeight="1">
      <c r="A80" s="2" t="str">
        <v>Q80</v>
      </c>
      <c r="B80" s="2" t="str">
        <v>KH001</v>
      </c>
      <c r="C80" s="2" t="str">
        <v>KH001</v>
      </c>
      <c r="D80" s="2" t="str">
        <v>S2-00075-BH</v>
      </c>
      <c r="E80" s="2" t="str">
        <v>BAN_HANG</v>
      </c>
      <c r="F80" s="2" t="str">
        <v>INP2111</v>
      </c>
      <c r="G80" s="2" t="str">
        <v>01/07/2026</v>
      </c>
      <c r="H80" s="2" t="str">
        <v>6000000.48</v>
      </c>
      <c r="I80" s="28" t="n">
        <v>6000000.48</v>
      </c>
      <c r="J80" s="7" t="n">
        <v>6000000</v>
      </c>
      <c r="K80" s="28" t="n">
        <f>J80-I80</f>
        <v>-0.48000000044703484</v>
      </c>
      <c r="L80" s="2" t="str">
        <v>NHẬP</v>
      </c>
      <c r="M80" s="2" t="str"/>
      <c r="N80" s="2" t="str">
        <v>KHAC</v>
      </c>
    </row>
    <row r="81" ht="25" customHeight="1">
      <c r="A81" s="2" t="str">
        <v>Q81</v>
      </c>
      <c r="B81" s="2" t="str">
        <v>KH001</v>
      </c>
      <c r="C81" s="2" t="str">
        <v>KH001</v>
      </c>
      <c r="D81" s="2" t="str">
        <v>S2-00081-BH</v>
      </c>
      <c r="E81" s="2" t="str">
        <v>BAN_HANG</v>
      </c>
      <c r="F81" s="2" t="str">
        <v>INP1001</v>
      </c>
      <c r="G81" s="2" t="str">
        <v>2026-07-07</v>
      </c>
      <c r="H81" s="2" t="str">
        <v>10379999.88</v>
      </c>
      <c r="I81" s="28" t="n">
        <v>10379999.88</v>
      </c>
      <c r="J81" s="7" t="n">
        <v>10380000</v>
      </c>
      <c r="K81" s="28" t="n">
        <f>J81-I81</f>
        <v>0.11999999918043613</v>
      </c>
      <c r="L81" s="2" t="str">
        <v>NHẬP</v>
      </c>
      <c r="M81" s="2" t="str"/>
      <c r="N81" s="2" t="str">
        <v>KHAC</v>
      </c>
    </row>
    <row r="82" ht="25" customHeight="1">
      <c r="A82" s="2" t="str">
        <v>Q82</v>
      </c>
      <c r="B82" s="2" t="str">
        <v>KH001</v>
      </c>
      <c r="C82" s="2" t="str">
        <v>KH001</v>
      </c>
      <c r="D82" s="2" t="str">
        <v>S2-00081-BH</v>
      </c>
      <c r="E82" s="2" t="str">
        <v>BAN_HANG</v>
      </c>
      <c r="F82" s="2" t="str">
        <v>INP1101</v>
      </c>
      <c r="G82" s="2" t="str">
        <v>2026-07-07</v>
      </c>
      <c r="H82" s="2" t="str">
        <v>10439999.928</v>
      </c>
      <c r="I82" s="28" t="n">
        <v>10439999.928</v>
      </c>
      <c r="J82" s="7" t="n">
        <v>10440000</v>
      </c>
      <c r="K82" s="28" t="n">
        <f>J82-I82</f>
        <v>0.07200000062584877</v>
      </c>
      <c r="L82" s="2" t="str">
        <v>NHẬP</v>
      </c>
      <c r="M82" s="2" t="str"/>
      <c r="N82" s="2" t="str">
        <v>KHAC</v>
      </c>
    </row>
    <row r="83" ht="25" customHeight="1">
      <c r="A83" s="2" t="str">
        <v>Q83</v>
      </c>
      <c r="B83" s="2" t="str">
        <v>KH001</v>
      </c>
      <c r="C83" s="2" t="str">
        <v>KH001</v>
      </c>
      <c r="D83" s="2" t="str">
        <v>S2-00081-BH</v>
      </c>
      <c r="E83" s="2" t="str">
        <v>BAN_HANG</v>
      </c>
      <c r="F83" s="2" t="str">
        <v>INP1003</v>
      </c>
      <c r="G83" s="2" t="str">
        <v>2026-07-07</v>
      </c>
      <c r="H83" s="2" t="str">
        <v>13999999.824</v>
      </c>
      <c r="I83" s="28" t="n">
        <v>13999999.824</v>
      </c>
      <c r="J83" s="7" t="n">
        <v>14000000</v>
      </c>
      <c r="K83" s="28" t="n">
        <f>J83-I83</f>
        <v>0.17600000090897083</v>
      </c>
      <c r="L83" s="2" t="str">
        <v>NHẬP</v>
      </c>
      <c r="M83" s="2" t="str"/>
      <c r="N83" s="2" t="str">
        <v>KHAC</v>
      </c>
    </row>
    <row r="84" ht="25" customHeight="1">
      <c r="A84" s="2" t="str">
        <v>Q84</v>
      </c>
      <c r="B84" s="2" t="str">
        <v>KH001</v>
      </c>
      <c r="C84" s="2" t="str">
        <v>KH001</v>
      </c>
      <c r="D84" s="2" t="str">
        <v>S2-00081-BH</v>
      </c>
      <c r="E84" s="2" t="str">
        <v>BAN_HANG</v>
      </c>
      <c r="F84" s="2" t="str">
        <v>NP1002</v>
      </c>
      <c r="G84" s="2" t="str">
        <v>2026-07-07</v>
      </c>
      <c r="H84" s="2" t="str">
        <v>6989999.976</v>
      </c>
      <c r="I84" s="28" t="n">
        <v>6989999.976</v>
      </c>
      <c r="J84" s="7" t="n">
        <v>6990000</v>
      </c>
      <c r="K84" s="28" t="n">
        <f>J84-I84</f>
        <v>0.024000000208616257</v>
      </c>
      <c r="L84" s="2" t="str">
        <v>NHẬP</v>
      </c>
      <c r="M84" s="2" t="str"/>
      <c r="N84" s="2" t="str">
        <v>KHAC</v>
      </c>
    </row>
    <row r="85" ht="25" customHeight="1">
      <c r="A85" s="2" t="str">
        <v>Q85</v>
      </c>
      <c r="B85" s="2" t="str">
        <v>KH001</v>
      </c>
      <c r="C85" s="2" t="str">
        <v>KH001</v>
      </c>
      <c r="D85" s="2" t="str">
        <v>S2-00081-BH</v>
      </c>
      <c r="E85" s="2" t="str">
        <v>BAN_HANG</v>
      </c>
      <c r="F85" s="2" t="str">
        <v>INP2102</v>
      </c>
      <c r="G85" s="2" t="str">
        <v>2026-07-07</v>
      </c>
      <c r="H85" s="2" t="str">
        <v>8309999.952</v>
      </c>
      <c r="I85" s="28" t="n">
        <v>8309999.952</v>
      </c>
      <c r="J85" s="7" t="n">
        <v>8310000</v>
      </c>
      <c r="K85" s="28" t="n">
        <f>J85-I85</f>
        <v>0.04800000041723251</v>
      </c>
      <c r="L85" s="2" t="str">
        <v>NHẬP</v>
      </c>
      <c r="M85" s="2" t="str"/>
      <c r="N85" s="2" t="str">
        <v>KHAC</v>
      </c>
    </row>
    <row r="86" ht="25" customHeight="1">
      <c r="A86" s="2" t="str">
        <v>Q86</v>
      </c>
      <c r="B86" s="2" t="str">
        <v>KH001</v>
      </c>
      <c r="C86" s="2" t="str">
        <v>KH001</v>
      </c>
      <c r="D86" s="2" t="str">
        <v>S2-00081-BH</v>
      </c>
      <c r="E86" s="2" t="str">
        <v>BAN_HANG</v>
      </c>
      <c r="F86" s="2" t="str">
        <v>INP2105</v>
      </c>
      <c r="G86" s="2" t="str">
        <v>2026-07-07</v>
      </c>
      <c r="H86" s="2" t="str">
        <v>7799999.976</v>
      </c>
      <c r="I86" s="28" t="n">
        <v>7799999.976</v>
      </c>
      <c r="J86" s="7" t="n">
        <v>7800000</v>
      </c>
      <c r="K86" s="28" t="n">
        <f>J86-I86</f>
        <v>0.024000000208616257</v>
      </c>
      <c r="L86" s="2" t="str">
        <v>NHẬP</v>
      </c>
      <c r="M86" s="2" t="str"/>
      <c r="N86" s="2" t="str">
        <v>KHAC</v>
      </c>
    </row>
    <row r="87" ht="25" customHeight="1">
      <c r="A87" s="2" t="str">
        <v>Q87</v>
      </c>
      <c r="B87" s="2" t="str">
        <v>KH001</v>
      </c>
      <c r="C87" s="2" t="str">
        <v>KH001</v>
      </c>
      <c r="D87" s="2" t="str">
        <v>S2-00081-BH</v>
      </c>
      <c r="E87" s="2" t="str">
        <v>BAN_HANG</v>
      </c>
      <c r="F87" s="2" t="str">
        <v>INP2109</v>
      </c>
      <c r="G87" s="2" t="str">
        <v>2026-07-07</v>
      </c>
      <c r="H87" s="2" t="str">
        <v>7799999.976</v>
      </c>
      <c r="I87" s="28" t="n">
        <v>7799999.976</v>
      </c>
      <c r="J87" s="7" t="n">
        <v>7800000</v>
      </c>
      <c r="K87" s="28" t="n">
        <f>J87-I87</f>
        <v>0.024000000208616257</v>
      </c>
      <c r="L87" s="2" t="str">
        <v>NHẬP</v>
      </c>
      <c r="M87" s="2" t="str"/>
      <c r="N87" s="2" t="str">
        <v>KHAC</v>
      </c>
    </row>
    <row r="88" ht="25" customHeight="1">
      <c r="A88" s="2" t="str">
        <v>Q88</v>
      </c>
      <c r="B88" s="2" t="str">
        <v>KH001</v>
      </c>
      <c r="C88" s="2" t="str">
        <v>KH001</v>
      </c>
      <c r="D88" s="2" t="str">
        <v>S2-00081-BH</v>
      </c>
      <c r="E88" s="2" t="str">
        <v>BAN_HANG</v>
      </c>
      <c r="F88" s="2" t="str">
        <v>INP1201</v>
      </c>
      <c r="G88" s="2" t="str">
        <v>2026-07-07</v>
      </c>
      <c r="H88" s="2" t="str">
        <v>6703999.9488</v>
      </c>
      <c r="I88" s="28" t="n">
        <v>6703999.9488</v>
      </c>
      <c r="J88" s="7" t="n">
        <v>6704000</v>
      </c>
      <c r="K88" s="28" t="n">
        <f>J88-I88</f>
        <v>0.05119999963790178</v>
      </c>
      <c r="L88" s="2" t="str">
        <v>NHẬP</v>
      </c>
      <c r="M88" s="2" t="str"/>
      <c r="N88" s="2" t="str">
        <v>KHAC</v>
      </c>
    </row>
    <row r="89" ht="25" customHeight="1">
      <c r="A89" s="2" t="str">
        <v>Q89</v>
      </c>
      <c r="B89" s="2" t="str">
        <v>KH001</v>
      </c>
      <c r="C89" s="2" t="str">
        <v>KH001</v>
      </c>
      <c r="D89" s="2" t="str">
        <v>S2-00081-BH</v>
      </c>
      <c r="E89" s="2" t="str">
        <v>BAN_HANG</v>
      </c>
      <c r="F89" s="2" t="str">
        <v>INP1202</v>
      </c>
      <c r="G89" s="2" t="str">
        <v>2026-07-07</v>
      </c>
      <c r="H89" s="2" t="str">
        <v>8159999.9616</v>
      </c>
      <c r="I89" s="28" t="n">
        <v>8159999.9616</v>
      </c>
      <c r="J89" s="7" t="n">
        <v>8160000</v>
      </c>
      <c r="K89" s="28" t="n">
        <f>J89-I89</f>
        <v>0.03839999996125698</v>
      </c>
      <c r="L89" s="2" t="str">
        <v>NHẬP</v>
      </c>
      <c r="M89" s="2" t="str"/>
      <c r="N89" s="2" t="str">
        <v>KHAC</v>
      </c>
    </row>
    <row r="90" ht="25" customHeight="1">
      <c r="A90" s="2" t="str">
        <v>Q90</v>
      </c>
      <c r="B90" s="2" t="str">
        <v>KH001</v>
      </c>
      <c r="C90" s="2" t="str">
        <v>KH001</v>
      </c>
      <c r="D90" s="2" t="str">
        <v>S2-00081-BH</v>
      </c>
      <c r="E90" s="2" t="str">
        <v>BAN_HANG</v>
      </c>
      <c r="F90" s="2" t="str">
        <v>INP1203</v>
      </c>
      <c r="G90" s="2" t="str">
        <v>2026-07-07</v>
      </c>
      <c r="H90" s="2" t="str">
        <v>8512000.128</v>
      </c>
      <c r="I90" s="28" t="n">
        <v>8512000.128</v>
      </c>
      <c r="J90" s="7" t="n">
        <v>8512000</v>
      </c>
      <c r="K90" s="28" t="n">
        <f>J90-I90</f>
        <v>-0.12800000049173832</v>
      </c>
      <c r="L90" s="2" t="str">
        <v>NHẬP</v>
      </c>
      <c r="M90" s="2" t="str"/>
      <c r="N90" s="2" t="str">
        <v>KHAC</v>
      </c>
    </row>
    <row r="91" ht="25" customHeight="1">
      <c r="A91" s="2" t="str">
        <v>Q91</v>
      </c>
      <c r="B91" s="2" t="str">
        <v>KH001</v>
      </c>
      <c r="C91" s="2" t="str">
        <v>KH001</v>
      </c>
      <c r="D91" s="2" t="str">
        <v>S2-00081-BH</v>
      </c>
      <c r="E91" s="2" t="str">
        <v>BAN_HANG</v>
      </c>
      <c r="F91" s="2" t="str">
        <v>INP2002</v>
      </c>
      <c r="G91" s="2" t="str">
        <v>2026-07-07</v>
      </c>
      <c r="H91" s="2" t="str">
        <v>9199999.98</v>
      </c>
      <c r="I91" s="28" t="n">
        <v>9199999.98</v>
      </c>
      <c r="J91" s="7" t="n">
        <v>9200000</v>
      </c>
      <c r="K91" s="28" t="n">
        <f>J91-I91</f>
        <v>0.019999999552965164</v>
      </c>
      <c r="L91" s="2" t="str">
        <v>NHẬP</v>
      </c>
      <c r="M91" s="2" t="str"/>
      <c r="N91" s="2" t="str">
        <v>KHAC</v>
      </c>
    </row>
    <row r="92" ht="25" customHeight="1">
      <c r="A92" s="2" t="str">
        <v>Q92</v>
      </c>
      <c r="B92" s="2" t="str">
        <v>KH001</v>
      </c>
      <c r="C92" s="2" t="str">
        <v>KH001</v>
      </c>
      <c r="D92" s="2" t="str">
        <v>S2-00081-BH</v>
      </c>
      <c r="E92" s="2" t="str">
        <v>BAN_HANG</v>
      </c>
      <c r="F92" s="2" t="str">
        <v>INP6101</v>
      </c>
      <c r="G92" s="2" t="str">
        <v>2026-07-07</v>
      </c>
      <c r="H92" s="2" t="str">
        <v>7799999.976</v>
      </c>
      <c r="I92" s="28" t="n">
        <v>7799999.976</v>
      </c>
      <c r="J92" s="7" t="n">
        <v>7800000</v>
      </c>
      <c r="K92" s="28" t="n">
        <f>J92-I92</f>
        <v>0.024000000208616257</v>
      </c>
      <c r="L92" s="2" t="str">
        <v>NHẬP</v>
      </c>
      <c r="M92" s="2" t="str"/>
      <c r="N92" s="2" t="str">
        <v>KHAC</v>
      </c>
    </row>
    <row r="93" ht="25" customHeight="1">
      <c r="A93" s="2" t="str">
        <v>Q93</v>
      </c>
      <c r="B93" s="2" t="str">
        <v>KH001</v>
      </c>
      <c r="C93" s="2" t="str">
        <v>KH001</v>
      </c>
      <c r="D93" s="2" t="str">
        <v>S2-00081-BH</v>
      </c>
      <c r="E93" s="2" t="str">
        <v>BAN_HANG</v>
      </c>
      <c r="F93" s="2" t="str">
        <v>INP6102</v>
      </c>
      <c r="G93" s="2" t="str">
        <v>2026-07-07</v>
      </c>
      <c r="H93" s="2" t="str">
        <v>12155999.9616</v>
      </c>
      <c r="I93" s="28" t="n">
        <v>12155999.9616</v>
      </c>
      <c r="J93" s="7" t="n">
        <v>12156000</v>
      </c>
      <c r="K93" s="28" t="n">
        <f>J93-I93</f>
        <v>0.03839999996125698</v>
      </c>
      <c r="L93" s="2" t="str">
        <v>NHẬP</v>
      </c>
      <c r="M93" s="2" t="str"/>
      <c r="N93" s="2" t="str">
        <v>KHAC</v>
      </c>
    </row>
    <row r="94" ht="25" customHeight="1">
      <c r="A94" s="2" t="str">
        <v>Q94</v>
      </c>
      <c r="B94" s="2" t="str">
        <v>KH001</v>
      </c>
      <c r="C94" s="2" t="str">
        <v>KH001</v>
      </c>
      <c r="D94" s="2" t="str">
        <v>S2-00081-BH</v>
      </c>
      <c r="E94" s="2" t="str">
        <v>BAN_HANG</v>
      </c>
      <c r="F94" s="2" t="str">
        <v>INP6103</v>
      </c>
      <c r="G94" s="2" t="str">
        <v>2026-07-07</v>
      </c>
      <c r="H94" s="2" t="str">
        <v>10355999.9472</v>
      </c>
      <c r="I94" s="28" t="n">
        <v>10355999.9472</v>
      </c>
      <c r="J94" s="7" t="n">
        <v>10356000</v>
      </c>
      <c r="K94" s="28" t="n">
        <f>J94-I94</f>
        <v>0.052799999713897705</v>
      </c>
      <c r="L94" s="2" t="str">
        <v>NHẬP</v>
      </c>
      <c r="M94" s="2" t="str"/>
      <c r="N94" s="2" t="str">
        <v>KHAC</v>
      </c>
    </row>
    <row r="95" ht="25" customHeight="1">
      <c r="A95" s="2" t="str">
        <v>Q95</v>
      </c>
      <c r="B95" s="2" t="str">
        <v>KH001</v>
      </c>
      <c r="C95" s="2" t="str">
        <v>KH001</v>
      </c>
      <c r="D95" s="2" t="str">
        <v>S2-00081-BH</v>
      </c>
      <c r="E95" s="2" t="str">
        <v>BAN_HANG</v>
      </c>
      <c r="F95" s="2" t="str">
        <v>INP6104</v>
      </c>
      <c r="G95" s="2" t="str">
        <v>2026-07-07</v>
      </c>
      <c r="H95" s="2" t="str">
        <v>13055999.904</v>
      </c>
      <c r="I95" s="28" t="n">
        <v>13055999.904</v>
      </c>
      <c r="J95" s="7" t="n">
        <v>13056000</v>
      </c>
      <c r="K95" s="28" t="n">
        <f>J95-I95</f>
        <v>0.09600000083446503</v>
      </c>
      <c r="L95" s="2" t="str">
        <v>NHẬP</v>
      </c>
      <c r="M95" s="2" t="str"/>
      <c r="N95" s="2" t="str">
        <v>KHAC</v>
      </c>
    </row>
    <row r="96" ht="25" customHeight="1">
      <c r="A96" s="2" t="str">
        <v>Q98</v>
      </c>
      <c r="B96" s="2" t="str">
        <v>KH001</v>
      </c>
      <c r="C96" s="2" t="str">
        <v>KH001</v>
      </c>
      <c r="D96" s="2" t="str">
        <v>S2-00098-TH</v>
      </c>
      <c r="E96" s="2" t="str">
        <v>TRA_HANG</v>
      </c>
      <c r="F96" s="2" t="str">
        <v>INP3001</v>
      </c>
      <c r="G96" s="2" t="str">
        <v>2026-10-07</v>
      </c>
      <c r="H96" s="2" t="str">
        <v>7119999.9</v>
      </c>
      <c r="I96" s="28" t="n">
        <v>7119999.9</v>
      </c>
      <c r="J96" s="7" t="n">
        <v>7120000</v>
      </c>
      <c r="K96" s="28" t="n">
        <f>J96-I96</f>
        <v>0.09999999962747097</v>
      </c>
      <c r="L96" s="2" t="str">
        <v>NHẬP</v>
      </c>
      <c r="M96" s="2" t="str"/>
      <c r="N96" s="2" t="str">
        <v>KHAC</v>
      </c>
    </row>
    <row r="97" ht="25" customHeight="1">
      <c r="A97" s="2" t="str">
        <v>Q99</v>
      </c>
      <c r="B97" s="2" t="str">
        <v>KH001</v>
      </c>
      <c r="C97" s="2" t="str">
        <v>KH001</v>
      </c>
      <c r="D97" s="2" t="str">
        <v>S2-00098-TH</v>
      </c>
      <c r="E97" s="2" t="str">
        <v>TRA_HANG</v>
      </c>
      <c r="F97" s="2" t="str">
        <v>INP3002</v>
      </c>
      <c r="G97" s="2" t="str">
        <v>2026-10-07</v>
      </c>
      <c r="H97" s="2" t="str">
        <v>6149999.952</v>
      </c>
      <c r="I97" s="28" t="n">
        <v>6149999.952</v>
      </c>
      <c r="J97" s="7" t="n">
        <v>6150000</v>
      </c>
      <c r="K97" s="28" t="n">
        <f>J97-I97</f>
        <v>0.04800000041723251</v>
      </c>
      <c r="L97" s="2" t="str">
        <v>NHẬP</v>
      </c>
      <c r="M97" s="2" t="str"/>
      <c r="N97" s="2" t="str">
        <v>KHAC</v>
      </c>
    </row>
    <row r="98" ht="25" customHeight="1">
      <c r="A98" s="2" t="str">
        <v>Q100</v>
      </c>
      <c r="B98" s="2" t="str">
        <v>KH001</v>
      </c>
      <c r="C98" s="2" t="str">
        <v>KH001</v>
      </c>
      <c r="D98" s="2" t="str">
        <v>S2-00098-TH</v>
      </c>
      <c r="E98" s="2" t="str">
        <v>TRA_HANG</v>
      </c>
      <c r="F98" s="2" t="str">
        <v>INP3003</v>
      </c>
      <c r="G98" s="2" t="str">
        <v>2026-10-07</v>
      </c>
      <c r="H98" s="2" t="str">
        <v>7320002.4</v>
      </c>
      <c r="I98" s="28" t="n">
        <v>7320002.4</v>
      </c>
      <c r="J98" s="7" t="n">
        <v>7320003</v>
      </c>
      <c r="K98" s="28" t="n">
        <f>J98-I98</f>
        <v>0.599999999627471</v>
      </c>
      <c r="L98" s="2" t="str">
        <v>NHẬP</v>
      </c>
      <c r="M98" s="2" t="str"/>
      <c r="N98" s="2" t="str">
        <v>KHAC</v>
      </c>
    </row>
    <row r="99" ht="25" customHeight="1">
      <c r="A99" s="2" t="str">
        <v>Q101</v>
      </c>
      <c r="B99" s="2" t="str">
        <v>KH001</v>
      </c>
      <c r="C99" s="2" t="str">
        <v>KH001</v>
      </c>
      <c r="D99" s="2" t="str">
        <v>S2-00098-TH</v>
      </c>
      <c r="E99" s="2" t="str">
        <v>TRA_HANG</v>
      </c>
      <c r="F99" s="2" t="str">
        <v>INP3004</v>
      </c>
      <c r="G99" s="2" t="str">
        <v>2026-10-07</v>
      </c>
      <c r="H99" s="2" t="str">
        <v>3095999.9712</v>
      </c>
      <c r="I99" s="28" t="n">
        <v>3095999.9712</v>
      </c>
      <c r="J99" s="7" t="n">
        <v>3096000</v>
      </c>
      <c r="K99" s="28" t="n">
        <f>J99-I99</f>
        <v>0.028799999970942736</v>
      </c>
      <c r="L99" s="2" t="str">
        <v>NHẬP</v>
      </c>
      <c r="M99" s="2" t="str"/>
      <c r="N99" s="2" t="str">
        <v>KHAC</v>
      </c>
    </row>
    <row r="100" ht="25" customHeight="1">
      <c r="A100" s="2" t="str">
        <v>Q102</v>
      </c>
      <c r="B100" s="2" t="str">
        <v>KH001</v>
      </c>
      <c r="C100" s="2" t="str">
        <v>KH001</v>
      </c>
      <c r="D100" s="2" t="str">
        <v>S2-00098-TH</v>
      </c>
      <c r="E100" s="2" t="str">
        <v>TRA_HANG</v>
      </c>
      <c r="F100" s="2" t="str">
        <v>INP3005</v>
      </c>
      <c r="G100" s="2" t="str">
        <v>2026-10-07</v>
      </c>
      <c r="H100" s="2" t="str">
        <v>5159999.1168</v>
      </c>
      <c r="I100" s="28" t="n">
        <v>5159999.1168</v>
      </c>
      <c r="J100" s="7" t="n">
        <v>5159999</v>
      </c>
      <c r="K100" s="28" t="n">
        <f>J100-I100</f>
        <v>-0.11679999995976686</v>
      </c>
      <c r="L100" s="2" t="str">
        <v>NHẬP</v>
      </c>
      <c r="M100" s="2" t="str"/>
      <c r="N100" s="2" t="str">
        <v>KHAC</v>
      </c>
    </row>
    <row r="101" ht="25" customHeight="1">
      <c r="A101" s="2" t="str">
        <v>Q103</v>
      </c>
      <c r="B101" s="2" t="str">
        <v>KH001</v>
      </c>
      <c r="C101" s="2" t="str">
        <v>KH001</v>
      </c>
      <c r="D101" s="2" t="str">
        <v>S2-00098-TH</v>
      </c>
      <c r="E101" s="2" t="str">
        <v>TRA_HANG</v>
      </c>
      <c r="F101" s="2" t="str">
        <v>INP6601</v>
      </c>
      <c r="G101" s="2" t="str">
        <v>2026-10-07</v>
      </c>
      <c r="H101" s="2" t="str">
        <v>11699999.964</v>
      </c>
      <c r="I101" s="28" t="n">
        <v>11699999.964</v>
      </c>
      <c r="J101" s="7" t="n">
        <v>11700000</v>
      </c>
      <c r="K101" s="28" t="n">
        <f>J101-I101</f>
        <v>0.036000000312924385</v>
      </c>
      <c r="L101" s="2" t="str">
        <v>NHẬP</v>
      </c>
      <c r="M101" s="2" t="str"/>
      <c r="N101" s="2" t="str">
        <v>KHAC</v>
      </c>
    </row>
    <row r="102" ht="25" customHeight="1">
      <c r="A102" s="2" t="str">
        <v>Q104</v>
      </c>
      <c r="B102" s="2" t="str">
        <v>KH001</v>
      </c>
      <c r="C102" s="2" t="str">
        <v>KH001</v>
      </c>
      <c r="D102" s="2" t="str">
        <v>S2-00098-TH</v>
      </c>
      <c r="E102" s="2" t="str">
        <v>TRA_HANG</v>
      </c>
      <c r="F102" s="2" t="str">
        <v>INP6602</v>
      </c>
      <c r="G102" s="2" t="str">
        <v>2026-10-07</v>
      </c>
      <c r="H102" s="2" t="str">
        <v>14699999.988</v>
      </c>
      <c r="I102" s="28" t="n">
        <v>14699999.988</v>
      </c>
      <c r="J102" s="7" t="n">
        <v>14700000</v>
      </c>
      <c r="K102" s="28" t="n">
        <f>J102-I102</f>
        <v>0.012000000104308128</v>
      </c>
      <c r="L102" s="2" t="str">
        <v>NHẬP</v>
      </c>
      <c r="M102" s="2" t="str"/>
      <c r="N102" s="2" t="str">
        <v>KHAC</v>
      </c>
    </row>
    <row r="103" ht="25" customHeight="1">
      <c r="A103" s="2" t="str">
        <v>Q105</v>
      </c>
      <c r="B103" s="2" t="str">
        <v>KH001</v>
      </c>
      <c r="C103" s="2" t="str">
        <v>KH001</v>
      </c>
      <c r="D103" s="2" t="str">
        <v>S2-00098-TH</v>
      </c>
      <c r="E103" s="2" t="str">
        <v>TRA_HANG</v>
      </c>
      <c r="F103" s="2" t="str">
        <v>INP6802</v>
      </c>
      <c r="G103" s="2" t="str">
        <v>2026-10-07</v>
      </c>
      <c r="H103" s="2" t="str">
        <v>3811998.24</v>
      </c>
      <c r="I103" s="28" t="n">
        <v>3811998.24</v>
      </c>
      <c r="J103" s="7" t="n">
        <v>3811999</v>
      </c>
      <c r="K103" s="28" t="n">
        <f>J103-I103</f>
        <v>0.7599999997764826</v>
      </c>
      <c r="L103" s="2" t="str">
        <v>NHẬP</v>
      </c>
      <c r="M103" s="2" t="str"/>
      <c r="N103" s="2" t="str">
        <v>KHAC</v>
      </c>
    </row>
    <row r="104" ht="25" customHeight="1">
      <c r="A104" s="2" t="str">
        <v>Q106</v>
      </c>
      <c r="B104" s="2" t="str">
        <v>KH001</v>
      </c>
      <c r="C104" s="2" t="str">
        <v>KH001</v>
      </c>
      <c r="D104" s="2" t="str">
        <v>S2-00106-TH</v>
      </c>
      <c r="E104" s="2" t="str">
        <v>TRA_HANG</v>
      </c>
      <c r="F104" s="2" t="str">
        <v>INP6501</v>
      </c>
      <c r="G104" s="2" t="str">
        <v>2026-10-07</v>
      </c>
      <c r="H104" s="2" t="str">
        <v>10979999.9712</v>
      </c>
      <c r="I104" s="28" t="n">
        <v>10979999.9712</v>
      </c>
      <c r="J104" s="7" t="n">
        <v>10980000</v>
      </c>
      <c r="K104" s="28" t="n">
        <f>J104-I104</f>
        <v>0.02879999950528145</v>
      </c>
      <c r="L104" s="2" t="str">
        <v>NHẬP</v>
      </c>
      <c r="M104" s="2" t="str"/>
      <c r="N104" s="2" t="str">
        <v>KHAC</v>
      </c>
    </row>
    <row r="105" ht="25" customHeight="1">
      <c r="A105" s="2" t="str">
        <v>Q107</v>
      </c>
      <c r="B105" s="2" t="str">
        <v>KH001</v>
      </c>
      <c r="C105" s="2" t="str">
        <v>KH001</v>
      </c>
      <c r="D105" s="2" t="str">
        <v>S2-00107-BH</v>
      </c>
      <c r="E105" s="2" t="str">
        <v>BAN_HANG</v>
      </c>
      <c r="F105" s="2" t="str">
        <v>INP6901</v>
      </c>
      <c r="G105" s="2" t="str">
        <v>21/7/2026</v>
      </c>
      <c r="H105" s="2" t="str">
        <v>18599999.976</v>
      </c>
      <c r="I105" s="28" t="n">
        <v>18599999.976</v>
      </c>
      <c r="J105" s="7" t="n">
        <v>18600000</v>
      </c>
      <c r="K105" s="28" t="n">
        <f>J105-I105</f>
        <v>0.024000000208616257</v>
      </c>
      <c r="L105" s="2" t="str">
        <v>NHẬP</v>
      </c>
      <c r="M105" s="2" t="str"/>
      <c r="N105" s="2" t="str">
        <v>KHAC</v>
      </c>
    </row>
    <row r="106" ht="25" customHeight="1">
      <c r="A106" s="2" t="str">
        <v>Q108</v>
      </c>
      <c r="B106" s="2" t="str">
        <v>KH001</v>
      </c>
      <c r="C106" s="2" t="str">
        <v>KH001</v>
      </c>
      <c r="D106" s="2" t="str">
        <v>S2-00107-BH</v>
      </c>
      <c r="E106" s="2" t="str">
        <v>BAN_HANG</v>
      </c>
      <c r="F106" s="2" t="str">
        <v>INP6105</v>
      </c>
      <c r="G106" s="2" t="str">
        <v>21/7/2026</v>
      </c>
      <c r="H106" s="2" t="str">
        <v>13140000.0792</v>
      </c>
      <c r="I106" s="28" t="n">
        <v>13140000.0792</v>
      </c>
      <c r="J106" s="7" t="n">
        <v>13140000</v>
      </c>
      <c r="K106" s="28" t="n">
        <f>J106-I106</f>
        <v>-0.07919999957084656</v>
      </c>
      <c r="L106" s="2" t="str">
        <v>NHẬP</v>
      </c>
      <c r="M106" s="2" t="str"/>
      <c r="N106" s="2" t="str">
        <v>KHAC</v>
      </c>
    </row>
    <row r="107" ht="25" customHeight="1">
      <c r="A107" s="2" t="str">
        <v>Q110</v>
      </c>
      <c r="B107" s="2" t="str">
        <v>KH001</v>
      </c>
      <c r="C107" s="2" t="str">
        <v>KH001</v>
      </c>
      <c r="D107" s="2" t="str">
        <v>S2-00110-BH</v>
      </c>
      <c r="E107" s="2" t="str">
        <v>BAN_HANG</v>
      </c>
      <c r="F107" s="2" t="str">
        <v>INP6004</v>
      </c>
      <c r="G107" s="2" t="str">
        <v>29/7/2026</v>
      </c>
      <c r="H107" s="2" t="str">
        <v>8789999.958</v>
      </c>
      <c r="I107" s="28" t="n">
        <v>8789999.958</v>
      </c>
      <c r="J107" s="7" t="n">
        <v>8790000</v>
      </c>
      <c r="K107" s="28" t="n">
        <f>J107-I107</f>
        <v>0.041999999433755875</v>
      </c>
      <c r="L107" s="2" t="str">
        <v>NHẬP</v>
      </c>
      <c r="M107" s="2" t="str"/>
      <c r="N107" s="2" t="str">
        <v>KHAC</v>
      </c>
    </row>
    <row r="108" ht="25" customHeight="1">
      <c r="A108" s="2" t="str">
        <v>Q111</v>
      </c>
      <c r="B108" s="2" t="str">
        <v>KH001</v>
      </c>
      <c r="C108" s="2" t="str">
        <v>KH001</v>
      </c>
      <c r="D108" s="2" t="str">
        <v>S2-00110-BH</v>
      </c>
      <c r="E108" s="2" t="str">
        <v>BAN_HANG</v>
      </c>
      <c r="F108" s="2" t="str">
        <v>INP6005</v>
      </c>
      <c r="G108" s="2" t="str">
        <v>29/7/2026</v>
      </c>
      <c r="H108" s="2" t="str">
        <v>10439999.928</v>
      </c>
      <c r="I108" s="28" t="n">
        <v>10439999.928</v>
      </c>
      <c r="J108" s="7" t="n">
        <v>10440000</v>
      </c>
      <c r="K108" s="28" t="n">
        <f>J108-I108</f>
        <v>0.07200000062584877</v>
      </c>
      <c r="L108" s="2" t="str">
        <v>NHẬP</v>
      </c>
      <c r="M108" s="2" t="str"/>
      <c r="N108" s="2" t="str">
        <v>KHAC</v>
      </c>
    </row>
    <row r="109" ht="25" customHeight="1">
      <c r="A109" s="2" t="str">
        <v>Q112</v>
      </c>
      <c r="B109" s="2" t="str">
        <v>KH001</v>
      </c>
      <c r="C109" s="2" t="str">
        <v>KH001</v>
      </c>
      <c r="D109" s="2" t="str">
        <v>S2-00110-BH</v>
      </c>
      <c r="E109" s="2" t="str">
        <v>BAN_HANG</v>
      </c>
      <c r="F109" s="2" t="str">
        <v>INP6006</v>
      </c>
      <c r="G109" s="2" t="str">
        <v>29/7/2026</v>
      </c>
      <c r="H109" s="2" t="str">
        <v>8550000.036</v>
      </c>
      <c r="I109" s="28" t="n">
        <v>8550000.036</v>
      </c>
      <c r="J109" s="7" t="n">
        <v>8550000</v>
      </c>
      <c r="K109" s="28" t="n">
        <f>J109-I109</f>
        <v>-0.036000000312924385</v>
      </c>
      <c r="L109" s="2" t="str">
        <v>NHẬP</v>
      </c>
      <c r="M109" s="2" t="str"/>
      <c r="N109" s="2" t="str">
        <v>KHAC</v>
      </c>
    </row>
    <row r="110" ht="25" customHeight="1">
      <c r="A110" s="2" t="str">
        <v>Q113</v>
      </c>
      <c r="B110" s="2" t="str">
        <v>KH001</v>
      </c>
      <c r="C110" s="2" t="str">
        <v>KH001</v>
      </c>
      <c r="D110" s="2" t="str">
        <v>S2-00110-BH</v>
      </c>
      <c r="E110" s="2" t="str">
        <v>BAN_HANG</v>
      </c>
      <c r="F110" s="2" t="str">
        <v>INP6007</v>
      </c>
      <c r="G110" s="2" t="str">
        <v>29/7/2026</v>
      </c>
      <c r="H110" s="2" t="str">
        <v>6800000.004</v>
      </c>
      <c r="I110" s="28" t="n">
        <v>6800000.004</v>
      </c>
      <c r="J110" s="7" t="n">
        <v>6800000</v>
      </c>
      <c r="K110" s="28" t="n">
        <f>J110-I110</f>
        <v>-0.003999999724328518</v>
      </c>
      <c r="L110" s="2" t="str">
        <v>NHẬP</v>
      </c>
      <c r="M110" s="2" t="str"/>
      <c r="N110" s="2" t="str">
        <v>KHAC</v>
      </c>
    </row>
    <row r="111" ht="25" customHeight="1">
      <c r="A111" s="2" t="str">
        <v>Q114</v>
      </c>
      <c r="B111" s="2" t="str">
        <v>KH001</v>
      </c>
      <c r="C111" s="2" t="str">
        <v>KH001</v>
      </c>
      <c r="D111" s="2" t="str">
        <v>S2-00114-BH</v>
      </c>
      <c r="E111" s="2" t="str">
        <v>BAN_HANG</v>
      </c>
      <c r="F111" s="2" t="str">
        <v>INP6007</v>
      </c>
      <c r="G111" s="2" t="str">
        <v>29/7/2026</v>
      </c>
      <c r="H111" s="2" t="str">
        <v>3400000.002</v>
      </c>
      <c r="I111" s="28" t="n">
        <v>3400000.002</v>
      </c>
      <c r="J111" s="7" t="n">
        <v>3400000</v>
      </c>
      <c r="K111" s="28" t="n">
        <f>J111-I111</f>
        <v>-0.001999999862164259</v>
      </c>
      <c r="L111" s="2" t="str">
        <v>NHẬP</v>
      </c>
      <c r="M111" s="2" t="str"/>
      <c r="N111" s="2" t="str">
        <v>KHAC</v>
      </c>
    </row>
    <row r="112" ht="25" customHeight="1">
      <c r="A112" s="2" t="str">
        <v>Q115</v>
      </c>
      <c r="B112" s="2" t="str">
        <v>KH001</v>
      </c>
      <c r="C112" s="2" t="str">
        <v>KH001</v>
      </c>
      <c r="D112" s="2" t="str">
        <v>S2-00110-BH</v>
      </c>
      <c r="E112" s="2" t="str">
        <v>BAN_HANG</v>
      </c>
      <c r="F112" s="2" t="str">
        <v>INP6008</v>
      </c>
      <c r="G112" s="2" t="str">
        <v>29/7/2026</v>
      </c>
      <c r="H112" s="2" t="str">
        <v>6199999.956</v>
      </c>
      <c r="I112" s="28" t="n">
        <v>6199999.956</v>
      </c>
      <c r="J112" s="7" t="n">
        <v>6200000</v>
      </c>
      <c r="K112" s="28" t="n">
        <f>J112-I112</f>
        <v>0.04399999976158142</v>
      </c>
      <c r="L112" s="2" t="str">
        <v>NHẬP</v>
      </c>
      <c r="M112" s="2" t="str"/>
      <c r="N112" s="2" t="str">
        <v>KHAC</v>
      </c>
    </row>
    <row r="113" ht="25" customHeight="1">
      <c r="A113" s="2" t="str">
        <v>Q116</v>
      </c>
      <c r="B113" s="2" t="str">
        <v>KH001</v>
      </c>
      <c r="C113" s="2" t="str">
        <v>KH001</v>
      </c>
      <c r="D113" s="2" t="str">
        <v>S2-00114-BH</v>
      </c>
      <c r="E113" s="2" t="str">
        <v>BAN_HANG</v>
      </c>
      <c r="F113" s="2" t="str">
        <v>INP6008</v>
      </c>
      <c r="G113" s="2" t="str">
        <v>29/7/2026</v>
      </c>
      <c r="H113" s="2" t="str">
        <v>3099999.978</v>
      </c>
      <c r="I113" s="28" t="n">
        <v>3099999.978</v>
      </c>
      <c r="J113" s="7" t="n">
        <v>3100000</v>
      </c>
      <c r="K113" s="28" t="n">
        <f>J113-I113</f>
        <v>0.02199999988079071</v>
      </c>
      <c r="L113" s="2" t="str">
        <v>NHẬP</v>
      </c>
      <c r="M113" s="2" t="str"/>
      <c r="N113" s="2" t="str">
        <v>KHAC</v>
      </c>
    </row>
    <row r="114" ht="25" customHeight="1">
      <c r="A114" s="2" t="str">
        <v>Q117</v>
      </c>
      <c r="B114" s="2" t="str">
        <v>KH001</v>
      </c>
      <c r="C114" s="2" t="str">
        <v>KH001</v>
      </c>
      <c r="D114" s="2" t="str">
        <v>S2-00110-BH</v>
      </c>
      <c r="E114" s="2" t="str">
        <v>BAN_HANG</v>
      </c>
      <c r="F114" s="2" t="str">
        <v>INP6009</v>
      </c>
      <c r="G114" s="2" t="str">
        <v>29/7/2026</v>
      </c>
      <c r="H114" s="2" t="str">
        <v>7499999.952</v>
      </c>
      <c r="I114" s="28" t="n">
        <v>7499999.952</v>
      </c>
      <c r="J114" s="7" t="n">
        <v>7500000</v>
      </c>
      <c r="K114" s="28" t="n">
        <f>J114-I114</f>
        <v>0.04800000041723251</v>
      </c>
      <c r="L114" s="2" t="str">
        <v>NHẬP</v>
      </c>
      <c r="M114" s="2" t="str"/>
      <c r="N114" s="2" t="str">
        <v>KHAC</v>
      </c>
    </row>
    <row r="115" ht="25" customHeight="1">
      <c r="A115" s="2" t="str">
        <v>Q118</v>
      </c>
      <c r="B115" s="2" t="str">
        <v>KH001</v>
      </c>
      <c r="C115" s="2" t="str">
        <v>KH001</v>
      </c>
      <c r="D115" s="2" t="str">
        <v>S2-00114-BH</v>
      </c>
      <c r="E115" s="2" t="str">
        <v>BAN_HANG</v>
      </c>
      <c r="F115" s="2" t="str">
        <v>INP6009</v>
      </c>
      <c r="G115" s="2" t="str">
        <v>29/7/2026</v>
      </c>
      <c r="H115" s="2" t="str">
        <v>3749999.976</v>
      </c>
      <c r="I115" s="28" t="n">
        <v>3749999.976</v>
      </c>
      <c r="J115" s="7" t="n">
        <v>3750000</v>
      </c>
      <c r="K115" s="28" t="n">
        <f>J115-I115</f>
        <v>0.024000000208616257</v>
      </c>
      <c r="L115" s="2" t="str">
        <v>NHẬP</v>
      </c>
      <c r="M115" s="2" t="str"/>
      <c r="N115" s="2" t="str">
        <v>KHAC</v>
      </c>
    </row>
    <row r="116" ht="25" customHeight="1">
      <c r="A116" s="2" t="str">
        <v>Q119</v>
      </c>
      <c r="B116" s="2" t="str">
        <v>KH001</v>
      </c>
      <c r="C116" s="2" t="str">
        <v>KH001</v>
      </c>
      <c r="D116" s="2" t="str">
        <v>S2-00110-BH</v>
      </c>
      <c r="E116" s="2" t="str">
        <v>BAN_HANG</v>
      </c>
      <c r="F116" s="2" t="str">
        <v>INP6010</v>
      </c>
      <c r="G116" s="2" t="str">
        <v>29/7/2026</v>
      </c>
      <c r="H116" s="2" t="str">
        <v>5199999.984</v>
      </c>
      <c r="I116" s="28" t="n">
        <v>5199999.984</v>
      </c>
      <c r="J116" s="7" t="n">
        <v>5200000</v>
      </c>
      <c r="K116" s="28" t="n">
        <f>J116-I116</f>
        <v>0.015999999828636646</v>
      </c>
      <c r="L116" s="2" t="str">
        <v>NHẬP</v>
      </c>
      <c r="M116" s="2" t="str"/>
      <c r="N116" s="2" t="str">
        <v>KHAC</v>
      </c>
    </row>
    <row r="117" ht="25" customHeight="1">
      <c r="A117" s="2" t="str">
        <v>Q120</v>
      </c>
      <c r="B117" s="2" t="str">
        <v>KH001</v>
      </c>
      <c r="C117" s="2" t="str">
        <v>KH001</v>
      </c>
      <c r="D117" s="2" t="str">
        <v>S2-00110-BH</v>
      </c>
      <c r="E117" s="2" t="str">
        <v>BAN_HANG</v>
      </c>
      <c r="F117" s="2" t="str">
        <v>INP6011</v>
      </c>
      <c r="G117" s="2" t="str">
        <v>29/7/2026</v>
      </c>
      <c r="H117" s="2" t="str">
        <v>9299999.934</v>
      </c>
      <c r="I117" s="28" t="n">
        <v>9299999.934</v>
      </c>
      <c r="J117" s="7" t="n">
        <v>9300000</v>
      </c>
      <c r="K117" s="28" t="n">
        <f>J117-I117</f>
        <v>0.06599999964237213</v>
      </c>
      <c r="L117" s="2" t="str">
        <v>NHẬP</v>
      </c>
      <c r="M117" s="2" t="str"/>
      <c r="N117" s="2" t="str">
        <v>KHAC</v>
      </c>
    </row>
    <row r="118" ht="25" customHeight="1">
      <c r="A118" s="2" t="str">
        <v>Q121</v>
      </c>
      <c r="B118" s="2" t="str">
        <v>KH001</v>
      </c>
      <c r="C118" s="2" t="str">
        <v>KH001</v>
      </c>
      <c r="D118" s="2" t="str">
        <v>S2-00114-BH</v>
      </c>
      <c r="E118" s="2" t="str">
        <v>BAN_HANG</v>
      </c>
      <c r="F118" s="2" t="str">
        <v>INP6010</v>
      </c>
      <c r="G118" s="2" t="str">
        <v>29/7/2026</v>
      </c>
      <c r="H118" s="2" t="str">
        <v>2599999.992</v>
      </c>
      <c r="I118" s="28" t="n">
        <v>2599999.992</v>
      </c>
      <c r="J118" s="7" t="n">
        <v>2600000</v>
      </c>
      <c r="K118" s="28" t="n">
        <f>J118-I118</f>
        <v>0.007999999914318323</v>
      </c>
      <c r="L118" s="2" t="str">
        <v>NHẬP</v>
      </c>
      <c r="M118" s="2" t="str"/>
      <c r="N118" s="2" t="str">
        <v>KHAC</v>
      </c>
    </row>
    <row r="119" ht="25" customHeight="1">
      <c r="A119" s="2" t="str">
        <v>Q122</v>
      </c>
      <c r="B119" s="2" t="str">
        <v>KH001</v>
      </c>
      <c r="C119" s="2" t="str">
        <v>KH001</v>
      </c>
      <c r="D119" s="2" t="str">
        <v>S2-00110-BH</v>
      </c>
      <c r="E119" s="2" t="str">
        <v>BAN_HANG</v>
      </c>
      <c r="F119" s="2" t="str">
        <v>INP6012</v>
      </c>
      <c r="G119" s="2" t="str">
        <v>29/7/2026</v>
      </c>
      <c r="H119" s="2" t="str">
        <v>6499999.98</v>
      </c>
      <c r="I119" s="28" t="n">
        <v>6499999.98</v>
      </c>
      <c r="J119" s="7" t="n">
        <v>6500000</v>
      </c>
      <c r="K119" s="28" t="n">
        <f>J119-I119</f>
        <v>0.019999999552965164</v>
      </c>
      <c r="L119" s="2" t="str">
        <v>NHẬP</v>
      </c>
      <c r="M119" s="2" t="str"/>
      <c r="N119" s="2" t="str">
        <v>KHAC</v>
      </c>
    </row>
    <row r="120" ht="25" customHeight="1">
      <c r="A120" s="2" t="str">
        <v>Q126</v>
      </c>
      <c r="B120" s="2" t="str">
        <v>KH001</v>
      </c>
      <c r="C120" s="2" t="str">
        <v>KH001</v>
      </c>
      <c r="D120" s="2" t="str">
        <v>S2-00114-BH</v>
      </c>
      <c r="E120" s="2" t="str">
        <v>BAN_HANG</v>
      </c>
      <c r="F120" s="2" t="str">
        <v>INP6012</v>
      </c>
      <c r="G120" s="2" t="str">
        <v>29/7/2026</v>
      </c>
      <c r="H120" s="2" t="str">
        <v>3249999.99</v>
      </c>
      <c r="I120" s="28" t="n">
        <v>3249999.99</v>
      </c>
      <c r="J120" s="7" t="n">
        <v>3250000</v>
      </c>
      <c r="K120" s="28" t="n">
        <f>J120-I120</f>
        <v>0.009999999776482582</v>
      </c>
      <c r="L120" s="2" t="str">
        <v>NHẬP</v>
      </c>
      <c r="M120" s="2" t="str"/>
      <c r="N120" s="2" t="str">
        <v>KHAC</v>
      </c>
    </row>
    <row r="121" ht="25" customHeight="1">
      <c r="A121" s="2" t="str">
        <v>R133</v>
      </c>
      <c r="B121" s="2" t="str">
        <v>KH001</v>
      </c>
      <c r="C121" s="2" t="str">
        <v>KH001</v>
      </c>
      <c r="D121" s="2" t="str">
        <v>S2-00133-TT</v>
      </c>
      <c r="E121" s="2" t="str">
        <v>THU_TIEN</v>
      </c>
      <c r="F121" s="2" t="str"/>
      <c r="G121" s="2" t="str">
        <v>31/7/2026</v>
      </c>
      <c r="H121" s="2" t="str">
        <v>50000000</v>
      </c>
      <c r="I121" s="28" t="n">
        <v>50000000</v>
      </c>
      <c r="J121" s="7" t="n">
        <v>50000000</v>
      </c>
      <c r="K121" s="28" t="n">
        <f>J121-I121</f>
        <v>0</v>
      </c>
      <c r="L121" s="2" t="str">
        <v>NHẬP</v>
      </c>
      <c r="M121" s="2" t="str"/>
      <c r="N121" s="2" t="str">
        <v>KHAC</v>
      </c>
    </row>
    <row r="122" ht="25" customHeight="1">
      <c r="A122" s="2" t="str">
        <v>Q134</v>
      </c>
      <c r="B122" s="2" t="str">
        <v>KH086</v>
      </c>
      <c r="C122" s="2" t="str">
        <v>KH086</v>
      </c>
      <c r="D122" s="2" t="str">
        <v>S2-00134-BH</v>
      </c>
      <c r="E122" s="2" t="str">
        <v>BAN_HANG</v>
      </c>
      <c r="F122" s="2" t="str">
        <v>INP1001</v>
      </c>
      <c r="G122" s="2" t="str">
        <v>30/03/2026</v>
      </c>
      <c r="H122" s="2" t="str">
        <v>1038000.0096</v>
      </c>
      <c r="I122" s="28" t="n">
        <v>1038000.0096</v>
      </c>
      <c r="J122" s="7" t="n">
        <v>1038000</v>
      </c>
      <c r="K122" s="28" t="n">
        <f>J122-I122</f>
        <v>-0.009599999990314245</v>
      </c>
      <c r="L122" s="2" t="str">
        <v>NHẬP</v>
      </c>
      <c r="M122" s="2" t="str"/>
      <c r="N122" s="2" t="str">
        <v>KHAC</v>
      </c>
    </row>
    <row r="123" ht="25" customHeight="1">
      <c r="A123" s="2" t="str">
        <v>Q135</v>
      </c>
      <c r="B123" s="2" t="str">
        <v>KH086</v>
      </c>
      <c r="C123" s="2" t="str">
        <v>KH086</v>
      </c>
      <c r="D123" s="2" t="str">
        <v>S2-00134-BH</v>
      </c>
      <c r="E123" s="2" t="str">
        <v>BAN_HANG</v>
      </c>
      <c r="F123" s="2" t="str">
        <v>INP1002</v>
      </c>
      <c r="G123" s="2" t="str">
        <v>30/03/2026</v>
      </c>
      <c r="H123" s="2" t="str">
        <v>1397999.9952</v>
      </c>
      <c r="I123" s="28" t="n">
        <v>1397999.9952</v>
      </c>
      <c r="J123" s="7" t="n">
        <v>1398000</v>
      </c>
      <c r="K123" s="28" t="n">
        <f>J123-I123</f>
        <v>0.004799999995157123</v>
      </c>
      <c r="L123" s="2" t="str">
        <v>NHẬP</v>
      </c>
      <c r="M123" s="2" t="str"/>
      <c r="N123" s="2" t="str">
        <v>KHAC</v>
      </c>
    </row>
    <row r="124" ht="25" customHeight="1">
      <c r="A124" s="2" t="str">
        <v>Q136</v>
      </c>
      <c r="B124" s="2" t="str">
        <v>KH086</v>
      </c>
      <c r="C124" s="2" t="str">
        <v>KH086</v>
      </c>
      <c r="D124" s="2" t="str">
        <v>S2-00134-BH</v>
      </c>
      <c r="E124" s="2" t="str">
        <v>BAN_HANG</v>
      </c>
      <c r="F124" s="2" t="str">
        <v>INP1003</v>
      </c>
      <c r="G124" s="2" t="str">
        <v>30/03/2026</v>
      </c>
      <c r="H124" s="2" t="str">
        <v>3499999.956</v>
      </c>
      <c r="I124" s="28" t="n">
        <v>3499999.956</v>
      </c>
      <c r="J124" s="7" t="n">
        <v>3500000</v>
      </c>
      <c r="K124" s="28" t="n">
        <f>J124-I124</f>
        <v>0.04400000022724271</v>
      </c>
      <c r="L124" s="2" t="str">
        <v>NHẬP</v>
      </c>
      <c r="M124" s="2" t="str"/>
      <c r="N124" s="2" t="str">
        <v>KHAC</v>
      </c>
    </row>
    <row r="125" ht="25" customHeight="1">
      <c r="A125" s="2" t="str">
        <v>Q137</v>
      </c>
      <c r="B125" s="2" t="str">
        <v>KH086</v>
      </c>
      <c r="C125" s="2" t="str">
        <v>KH086</v>
      </c>
      <c r="D125" s="2" t="str">
        <v>S2-00134-BH</v>
      </c>
      <c r="E125" s="2" t="str">
        <v>BAN_HANG</v>
      </c>
      <c r="F125" s="2" t="str">
        <v>INP1401</v>
      </c>
      <c r="G125" s="2" t="str">
        <v>30/03/2026</v>
      </c>
      <c r="H125" s="2" t="str">
        <v>5339999.9736</v>
      </c>
      <c r="I125" s="28" t="n">
        <v>5339999.9736</v>
      </c>
      <c r="J125" s="7" t="n">
        <v>5340000</v>
      </c>
      <c r="K125" s="28" t="n">
        <f>J125-I125</f>
        <v>0.026399999856948853</v>
      </c>
      <c r="L125" s="2" t="str">
        <v>NHẬP</v>
      </c>
      <c r="M125" s="2" t="str"/>
      <c r="N125" s="2" t="str">
        <v>KHAC</v>
      </c>
    </row>
    <row r="126" ht="25" customHeight="1">
      <c r="A126" s="2" t="str">
        <v>Q138</v>
      </c>
      <c r="B126" s="2" t="str">
        <v>KH086</v>
      </c>
      <c r="C126" s="2" t="str">
        <v>KH086</v>
      </c>
      <c r="D126" s="2" t="str">
        <v>S2-00134-BH</v>
      </c>
      <c r="E126" s="2" t="str">
        <v>BAN_HANG</v>
      </c>
      <c r="F126" s="2" t="str">
        <v>INP1402</v>
      </c>
      <c r="G126" s="2" t="str">
        <v>30/03/2026</v>
      </c>
      <c r="H126" s="2" t="str">
        <v>6077999.9808</v>
      </c>
      <c r="I126" s="28" t="n">
        <v>6077999.9808</v>
      </c>
      <c r="J126" s="7" t="n">
        <v>6078000</v>
      </c>
      <c r="K126" s="28" t="n">
        <f>J126-I126</f>
        <v>0.01919999998062849</v>
      </c>
      <c r="L126" s="2" t="str">
        <v>NHẬP</v>
      </c>
      <c r="M126" s="2" t="str"/>
      <c r="N126" s="2" t="str">
        <v>KHAC</v>
      </c>
    </row>
    <row r="127" ht="25" customHeight="1">
      <c r="A127" s="2" t="str">
        <v>Q139</v>
      </c>
      <c r="B127" s="2" t="str">
        <v>KH086</v>
      </c>
      <c r="C127" s="2" t="str">
        <v>KH086</v>
      </c>
      <c r="D127" s="2" t="str">
        <v>S2-00134-BH</v>
      </c>
      <c r="E127" s="2" t="str">
        <v>BAN_HANG</v>
      </c>
      <c r="F127" s="2" t="str">
        <v>INP2106</v>
      </c>
      <c r="G127" s="2" t="str">
        <v>30/03/2026</v>
      </c>
      <c r="H127" s="2" t="str">
        <v>5600000.016</v>
      </c>
      <c r="I127" s="28" t="n">
        <v>5600000.016</v>
      </c>
      <c r="J127" s="7" t="n">
        <v>5600000</v>
      </c>
      <c r="K127" s="28" t="n">
        <f>J127-I127</f>
        <v>-0.015999999828636646</v>
      </c>
      <c r="L127" s="2" t="str">
        <v>NHẬP</v>
      </c>
      <c r="M127" s="2" t="str"/>
      <c r="N127" s="2" t="str">
        <v>KHAC</v>
      </c>
    </row>
    <row r="128" ht="25" customHeight="1">
      <c r="A128" s="2" t="str">
        <v>Q140</v>
      </c>
      <c r="B128" s="2" t="str">
        <v>KH086</v>
      </c>
      <c r="C128" s="2" t="str">
        <v>KH086</v>
      </c>
      <c r="D128" s="2" t="str">
        <v>S2-00134-BH</v>
      </c>
      <c r="E128" s="2" t="str">
        <v>BAN_HANG</v>
      </c>
      <c r="F128" s="2" t="str">
        <v>INP2111</v>
      </c>
      <c r="G128" s="2" t="str">
        <v>30/03/2026</v>
      </c>
      <c r="H128" s="2" t="str">
        <v>9000000.072</v>
      </c>
      <c r="I128" s="28" t="n">
        <v>9000000.072</v>
      </c>
      <c r="J128" s="7" t="n">
        <v>9000000</v>
      </c>
      <c r="K128" s="28" t="n">
        <f>J128-I128</f>
        <v>-0.07200000062584877</v>
      </c>
      <c r="L128" s="2" t="str">
        <v>NHẬP</v>
      </c>
      <c r="M128" s="2" t="str"/>
      <c r="N128" s="2" t="str">
        <v>KHAC</v>
      </c>
    </row>
    <row r="129" ht="25" customHeight="1">
      <c r="A129" s="2" t="str">
        <v>Q141</v>
      </c>
      <c r="B129" s="2" t="str">
        <v>KH086</v>
      </c>
      <c r="C129" s="2" t="str">
        <v>KH086</v>
      </c>
      <c r="D129" s="2" t="str">
        <v>S2-00134-BH</v>
      </c>
      <c r="E129" s="2" t="str">
        <v>BAN_HANG</v>
      </c>
      <c r="F129" s="2" t="str">
        <v>INP3002</v>
      </c>
      <c r="G129" s="2" t="str">
        <v>30/03/2026</v>
      </c>
      <c r="H129" s="2" t="str">
        <v>3689999.9712</v>
      </c>
      <c r="I129" s="28" t="n">
        <v>3689999.9712</v>
      </c>
      <c r="J129" s="7" t="n">
        <v>3690000</v>
      </c>
      <c r="K129" s="28" t="n">
        <f>J129-I129</f>
        <v>0.028799999970942736</v>
      </c>
      <c r="L129" s="2" t="str">
        <v>NHẬP</v>
      </c>
      <c r="M129" s="2" t="str"/>
      <c r="N129" s="2" t="str">
        <v>KHAC</v>
      </c>
    </row>
    <row r="130" ht="25" customHeight="1">
      <c r="A130" s="2" t="str">
        <v>Q142</v>
      </c>
      <c r="B130" s="2" t="str">
        <v>KH086</v>
      </c>
      <c r="C130" s="2" t="str">
        <v>KH086</v>
      </c>
      <c r="D130" s="2" t="str">
        <v>S2-00134-BH</v>
      </c>
      <c r="E130" s="2" t="str">
        <v>BAN_HANG</v>
      </c>
      <c r="F130" s="2" t="str">
        <v>INP3003</v>
      </c>
      <c r="G130" s="2" t="str">
        <v>30/03/2026</v>
      </c>
      <c r="H130" s="2" t="str">
        <v>3659999.9688</v>
      </c>
      <c r="I130" s="28" t="n">
        <v>3659999.9688</v>
      </c>
      <c r="J130" s="7" t="n">
        <v>3660000</v>
      </c>
      <c r="K130" s="28" t="n">
        <f>J130-I130</f>
        <v>0.03120000008493662</v>
      </c>
      <c r="L130" s="2" t="str">
        <v>NHẬP</v>
      </c>
      <c r="M130" s="2" t="str"/>
      <c r="N130" s="2" t="str">
        <v>KHAC</v>
      </c>
    </row>
    <row r="131" ht="25" customHeight="1">
      <c r="A131" s="2" t="str">
        <v>Q143</v>
      </c>
      <c r="B131" s="2" t="str">
        <v>KH086</v>
      </c>
      <c r="C131" s="2" t="str">
        <v>KH086</v>
      </c>
      <c r="D131" s="2" t="str">
        <v>S2-00134-BH</v>
      </c>
      <c r="E131" s="2" t="str">
        <v>BAN_HANG</v>
      </c>
      <c r="F131" s="2" t="str">
        <v>INP3004</v>
      </c>
      <c r="G131" s="2" t="str">
        <v>30/03/2026</v>
      </c>
      <c r="H131" s="2" t="str">
        <v>2321999.9784</v>
      </c>
      <c r="I131" s="28" t="n">
        <v>2321999.9784</v>
      </c>
      <c r="J131" s="7" t="n">
        <v>2322000</v>
      </c>
      <c r="K131" s="28" t="n">
        <f>J131-I131</f>
        <v>0.021600000094622374</v>
      </c>
      <c r="L131" s="2" t="str">
        <v>NHẬP</v>
      </c>
      <c r="M131" s="2" t="str"/>
      <c r="N131" s="2" t="str">
        <v>KHAC</v>
      </c>
    </row>
    <row r="132" ht="25" customHeight="1">
      <c r="A132" s="2" t="str">
        <v>Q144</v>
      </c>
      <c r="B132" s="2" t="str">
        <v>KH086</v>
      </c>
      <c r="C132" s="2" t="str">
        <v>KH086</v>
      </c>
      <c r="D132" s="2" t="str">
        <v>S2-00134-BH</v>
      </c>
      <c r="E132" s="2" t="str">
        <v>BAN_HANG</v>
      </c>
      <c r="F132" s="2" t="str">
        <v>INP3005</v>
      </c>
      <c r="G132" s="2" t="str">
        <v>30/03/2026</v>
      </c>
      <c r="H132" s="2" t="str">
        <v>2580000.012</v>
      </c>
      <c r="I132" s="28" t="n">
        <v>2580000.012</v>
      </c>
      <c r="J132" s="7" t="n">
        <v>2580000</v>
      </c>
      <c r="K132" s="28" t="n">
        <f>J132-I132</f>
        <v>-0.012000000104308128</v>
      </c>
      <c r="L132" s="2" t="str">
        <v>NHẬP</v>
      </c>
      <c r="M132" s="2" t="str"/>
      <c r="N132" s="2" t="str">
        <v>KHAC</v>
      </c>
    </row>
    <row r="133" ht="25" customHeight="1">
      <c r="A133" s="2" t="str">
        <v>Q145</v>
      </c>
      <c r="B133" s="2" t="str">
        <v>KH086</v>
      </c>
      <c r="C133" s="2" t="str">
        <v>KH086</v>
      </c>
      <c r="D133" s="2" t="str">
        <v>S2-00134-BH</v>
      </c>
      <c r="E133" s="2" t="str">
        <v>BAN_HANG</v>
      </c>
      <c r="F133" s="2" t="str">
        <v>INP6003</v>
      </c>
      <c r="G133" s="2" t="str">
        <v>30/03/2026</v>
      </c>
      <c r="H133" s="2" t="str">
        <v>3679999.992</v>
      </c>
      <c r="I133" s="28" t="n">
        <v>3679999.992</v>
      </c>
      <c r="J133" s="7" t="n">
        <v>3680000</v>
      </c>
      <c r="K133" s="28" t="n">
        <f>J133-I133</f>
        <v>0.007999999914318323</v>
      </c>
      <c r="L133" s="2" t="str">
        <v>NHẬP</v>
      </c>
      <c r="M133" s="2" t="str"/>
      <c r="N133" s="2" t="str">
        <v>KHAC</v>
      </c>
    </row>
    <row r="134" ht="25" customHeight="1">
      <c r="A134" s="2" t="str">
        <v>Q146</v>
      </c>
      <c r="B134" s="2" t="str">
        <v>KH086</v>
      </c>
      <c r="C134" s="2" t="str">
        <v>KH086</v>
      </c>
      <c r="D134" s="2" t="str">
        <v>S2-00134-BH</v>
      </c>
      <c r="E134" s="2" t="str">
        <v>BAN_HANG</v>
      </c>
      <c r="F134" s="2" t="str">
        <v>INP6701</v>
      </c>
      <c r="G134" s="2" t="str">
        <v>30/03/2026</v>
      </c>
      <c r="H134" s="2" t="str">
        <v>3119999.9904</v>
      </c>
      <c r="I134" s="28" t="n">
        <v>3119999.9904</v>
      </c>
      <c r="J134" s="7" t="n">
        <v>3120000</v>
      </c>
      <c r="K134" s="28" t="n">
        <f>J134-I134</f>
        <v>0.009599999990314245</v>
      </c>
      <c r="L134" s="2" t="str">
        <v>NHẬP</v>
      </c>
      <c r="M134" s="2" t="str"/>
      <c r="N134" s="2" t="str">
        <v>KHAC</v>
      </c>
    </row>
    <row r="135" ht="25" customHeight="1">
      <c r="A135" s="2" t="str">
        <v>Q147</v>
      </c>
      <c r="B135" s="2" t="str">
        <v>KH086</v>
      </c>
      <c r="C135" s="2" t="str">
        <v>KH086</v>
      </c>
      <c r="D135" s="2" t="str">
        <v>S2-00134-BH</v>
      </c>
      <c r="E135" s="2" t="str">
        <v>BAN_HANG</v>
      </c>
      <c r="F135" s="2" t="str">
        <v>INP6204</v>
      </c>
      <c r="G135" s="2" t="str">
        <v>30/03/2026</v>
      </c>
      <c r="H135" s="2" t="str">
        <v>7368000.0192</v>
      </c>
      <c r="I135" s="28" t="n">
        <v>7368000.0192</v>
      </c>
      <c r="J135" s="7" t="n">
        <v>7368000</v>
      </c>
      <c r="K135" s="28" t="n">
        <f>J135-I135</f>
        <v>-0.01919999998062849</v>
      </c>
      <c r="L135" s="2" t="str">
        <v>NHẬP</v>
      </c>
      <c r="M135" s="2" t="str"/>
      <c r="N135" s="2" t="str">
        <v>KHAC</v>
      </c>
    </row>
    <row r="136" ht="25" customHeight="1">
      <c r="A136" s="2" t="str">
        <v>Q148</v>
      </c>
      <c r="B136" s="2" t="str">
        <v>KH086</v>
      </c>
      <c r="C136" s="2" t="str">
        <v>KH086</v>
      </c>
      <c r="D136" s="2" t="str">
        <v>S2-00134-BH</v>
      </c>
      <c r="E136" s="2" t="str">
        <v>BAN_HANG</v>
      </c>
      <c r="F136" s="2" t="str">
        <v>INP6802</v>
      </c>
      <c r="G136" s="2" t="str">
        <v>30/03/2026</v>
      </c>
      <c r="H136" s="2" t="str">
        <v>953000.0028</v>
      </c>
      <c r="I136" s="28" t="n">
        <v>953000.0028</v>
      </c>
      <c r="J136" s="7" t="n">
        <v>953000</v>
      </c>
      <c r="K136" s="28" t="n">
        <f>J136-I136</f>
        <v>-0.002800000016577542</v>
      </c>
      <c r="L136" s="2" t="str">
        <v>NHẬP</v>
      </c>
      <c r="M136" s="2" t="str"/>
      <c r="N136" s="2" t="str">
        <v>KHAC</v>
      </c>
    </row>
    <row r="137" ht="25" customHeight="1">
      <c r="A137" s="2" t="str">
        <v>Q149</v>
      </c>
      <c r="B137" s="2" t="str">
        <v>KH086</v>
      </c>
      <c r="C137" s="2" t="str">
        <v>KH086</v>
      </c>
      <c r="D137" s="2" t="str">
        <v>S2-00134-BH</v>
      </c>
      <c r="E137" s="2" t="str">
        <v>BAN_HANG</v>
      </c>
      <c r="F137" s="2" t="str">
        <v>INP1403</v>
      </c>
      <c r="G137" s="2" t="str">
        <v>30/03/2026</v>
      </c>
      <c r="H137" s="2" t="str">
        <v>2599999.992</v>
      </c>
      <c r="I137" s="28" t="n">
        <v>2599999.992</v>
      </c>
      <c r="J137" s="7" t="n">
        <v>2600000</v>
      </c>
      <c r="K137" s="28" t="n">
        <f>J137-I137</f>
        <v>0.007999999914318323</v>
      </c>
      <c r="L137" s="2" t="str">
        <v>NHẬP</v>
      </c>
      <c r="M137" s="2" t="str"/>
      <c r="N137" s="2" t="str">
        <v>KHAC</v>
      </c>
    </row>
    <row r="138" ht="25" customHeight="1">
      <c r="A138" s="2" t="str">
        <v>Q150</v>
      </c>
      <c r="B138" s="2" t="str">
        <v>KH086</v>
      </c>
      <c r="C138" s="2" t="str">
        <v>KH086</v>
      </c>
      <c r="D138" s="2" t="str">
        <v>S2-00134-BH</v>
      </c>
      <c r="E138" s="2" t="str">
        <v>BAN_HANG</v>
      </c>
      <c r="F138" s="2" t="str">
        <v>INP2103</v>
      </c>
      <c r="G138" s="2" t="str">
        <v>30/03/2026</v>
      </c>
      <c r="H138" s="2" t="str">
        <v>607999.9968</v>
      </c>
      <c r="I138" s="28" t="n">
        <v>607999.9968</v>
      </c>
      <c r="J138" s="7" t="n">
        <v>608000</v>
      </c>
      <c r="K138" s="28" t="n">
        <f>J138-I138</f>
        <v>0.0032000000355765224</v>
      </c>
      <c r="L138" s="2" t="str">
        <v>NHẬP</v>
      </c>
      <c r="M138" s="2" t="str"/>
      <c r="N138" s="2" t="str">
        <v>KHAC</v>
      </c>
    </row>
    <row r="139" ht="25" customHeight="1">
      <c r="A139" s="2" t="str">
        <v>Q151</v>
      </c>
      <c r="B139" s="2" t="str">
        <v>KH086</v>
      </c>
      <c r="C139" s="2" t="str">
        <v>KH086</v>
      </c>
      <c r="D139" s="2" t="str">
        <v>S2-00134-BH</v>
      </c>
      <c r="E139" s="2" t="str">
        <v>BAN_HANG</v>
      </c>
      <c r="F139" s="2" t="str">
        <v>INP6202</v>
      </c>
      <c r="G139" s="2" t="str">
        <v>30/03/2026</v>
      </c>
      <c r="H139" s="2" t="str">
        <v>8448000.1056</v>
      </c>
      <c r="I139" s="28" t="n">
        <v>8448000.1056</v>
      </c>
      <c r="J139" s="7" t="n">
        <v>8448000</v>
      </c>
      <c r="K139" s="28" t="n">
        <f>J139-I139</f>
        <v>-0.10559999942779541</v>
      </c>
      <c r="L139" s="2" t="str">
        <v>NHẬP</v>
      </c>
      <c r="M139" s="2" t="str"/>
      <c r="N139" s="2" t="str">
        <v>KHAC</v>
      </c>
    </row>
    <row r="140" ht="25" customHeight="1">
      <c r="A140" s="2" t="str">
        <v>Q152</v>
      </c>
      <c r="B140" s="2" t="str">
        <v>KH086</v>
      </c>
      <c r="C140" s="2" t="str">
        <v>KH086</v>
      </c>
      <c r="D140" s="2" t="str">
        <v>S2-00152-BH</v>
      </c>
      <c r="E140" s="2" t="str">
        <v>BAN_HANG</v>
      </c>
      <c r="F140" s="2" t="str">
        <v>INP6002</v>
      </c>
      <c r="G140" s="2" t="str">
        <v>30/03/2026</v>
      </c>
      <c r="H140" s="2" t="str">
        <v>4739999.9904</v>
      </c>
      <c r="I140" s="28" t="n">
        <v>4739999.9904</v>
      </c>
      <c r="J140" s="7" t="n">
        <v>4740000</v>
      </c>
      <c r="K140" s="28" t="n">
        <f>J140-I140</f>
        <v>0.009600000455975533</v>
      </c>
      <c r="L140" s="2" t="str">
        <v>NHẬP</v>
      </c>
      <c r="M140" s="2" t="str"/>
      <c r="N140" s="2" t="str">
        <v>KHAC</v>
      </c>
    </row>
    <row r="141" ht="25" customHeight="1">
      <c r="A141" s="2" t="str">
        <v>S153</v>
      </c>
      <c r="B141" s="2" t="str">
        <v>KH086</v>
      </c>
      <c r="C141" s="2" t="str">
        <v>KH086</v>
      </c>
      <c r="D141" s="2" t="str">
        <v>S2-00153-VC</v>
      </c>
      <c r="E141" s="2" t="str">
        <v>PHI_VAN_CHUYEN</v>
      </c>
      <c r="F141" s="2" t="str"/>
      <c r="G141" s="2" t="str">
        <v>2026-01-04</v>
      </c>
      <c r="H141" s="2" t="str">
        <v>757230.000228</v>
      </c>
      <c r="I141" s="28" t="n">
        <v>757230.000228</v>
      </c>
      <c r="J141" s="7" t="n">
        <v>757230</v>
      </c>
      <c r="K141" s="28" t="n">
        <f>J141-I141</f>
        <v>-0.00022799998987466097</v>
      </c>
      <c r="L141" s="2" t="str">
        <v>NHẬP</v>
      </c>
      <c r="M141" s="2" t="str"/>
      <c r="N141" s="2" t="str">
        <v>KHAC</v>
      </c>
    </row>
    <row r="142" ht="25" customHeight="1">
      <c r="A142" s="2" t="str">
        <v>R154</v>
      </c>
      <c r="B142" s="2" t="str">
        <v>KH086</v>
      </c>
      <c r="C142" s="2" t="str">
        <v>KH086</v>
      </c>
      <c r="D142" s="2" t="str">
        <v>S2-00154-TT</v>
      </c>
      <c r="E142" s="2" t="str">
        <v>THU_TIEN</v>
      </c>
      <c r="F142" s="2" t="str"/>
      <c r="G142" s="2" t="str">
        <v>2026-03-04</v>
      </c>
      <c r="H142" s="2" t="str">
        <v>40000000</v>
      </c>
      <c r="I142" s="28" t="n">
        <v>40000000</v>
      </c>
      <c r="J142" s="7" t="n">
        <v>40000000</v>
      </c>
      <c r="K142" s="28" t="n">
        <f>J142-I142</f>
        <v>0</v>
      </c>
      <c r="L142" s="2" t="str">
        <v>NHẬP</v>
      </c>
      <c r="M142" s="2" t="str"/>
      <c r="N142" s="2" t="str">
        <v>KHAC</v>
      </c>
    </row>
    <row r="143" ht="25" customHeight="1">
      <c r="A143" s="2" t="str">
        <v>Q155</v>
      </c>
      <c r="B143" s="2" t="str">
        <v>KH086</v>
      </c>
      <c r="C143" s="2" t="str">
        <v>KH086</v>
      </c>
      <c r="D143" s="2" t="str">
        <v>S2-00155-BH</v>
      </c>
      <c r="E143" s="2" t="str">
        <v>BAN_HANG</v>
      </c>
      <c r="F143" s="2" t="str">
        <v>INP6601</v>
      </c>
      <c r="G143" s="2" t="str">
        <v>2026-06-04</v>
      </c>
      <c r="H143" s="2" t="str">
        <v>6499996.2</v>
      </c>
      <c r="I143" s="28" t="n">
        <v>6499996.2</v>
      </c>
      <c r="J143" s="7" t="n">
        <v>6499996</v>
      </c>
      <c r="K143" s="28" t="n">
        <f>J143-I143</f>
        <v>-0.20000000018626451</v>
      </c>
      <c r="L143" s="2" t="str">
        <v>NHẬP</v>
      </c>
      <c r="M143" s="2" t="str"/>
      <c r="N143" s="2" t="str">
        <v>KHAC</v>
      </c>
    </row>
    <row r="144" ht="25" customHeight="1">
      <c r="A144" s="2" t="str">
        <v>Q156</v>
      </c>
      <c r="B144" s="2" t="str">
        <v>KH086</v>
      </c>
      <c r="C144" s="2" t="str">
        <v>KH086</v>
      </c>
      <c r="D144" s="2" t="str">
        <v>S2-00155-BH</v>
      </c>
      <c r="E144" s="2" t="str">
        <v>BAN_HANG</v>
      </c>
      <c r="F144" s="2" t="str">
        <v>INP6602</v>
      </c>
      <c r="G144" s="2" t="str">
        <v>2026-06-04</v>
      </c>
      <c r="H144" s="2" t="str">
        <v>7349999.4</v>
      </c>
      <c r="I144" s="28" t="n">
        <v>7349999.4</v>
      </c>
      <c r="J144" s="7" t="n">
        <v>7349999</v>
      </c>
      <c r="K144" s="28" t="n">
        <f>J144-I144</f>
        <v>-0.40000000037252903</v>
      </c>
      <c r="L144" s="2" t="str">
        <v>NHẬP</v>
      </c>
      <c r="M144" s="2" t="str"/>
      <c r="N144" s="2" t="str">
        <v>KHAC</v>
      </c>
    </row>
    <row r="145" ht="25" customHeight="1">
      <c r="A145" s="2" t="str">
        <v>Q157</v>
      </c>
      <c r="B145" s="2" t="str">
        <v>KH086</v>
      </c>
      <c r="C145" s="2" t="str">
        <v>KH086</v>
      </c>
      <c r="D145" s="2" t="str">
        <v>S2-00157-BH</v>
      </c>
      <c r="E145" s="2" t="str">
        <v>BAN_HANG</v>
      </c>
      <c r="F145" s="2" t="str">
        <v>INP6902</v>
      </c>
      <c r="G145" s="2" t="str">
        <v>25/06/2026</v>
      </c>
      <c r="H145" s="2" t="str">
        <v>8799999.948</v>
      </c>
      <c r="I145" s="28" t="n">
        <v>8799999.948</v>
      </c>
      <c r="J145" s="7" t="n">
        <v>8800000</v>
      </c>
      <c r="K145" s="28" t="n">
        <f>J145-I145</f>
        <v>0.05199999921023846</v>
      </c>
      <c r="L145" s="2" t="str">
        <v>NHẬP</v>
      </c>
      <c r="M145" s="2" t="str"/>
      <c r="N145" s="2" t="str">
        <v>KHAC</v>
      </c>
    </row>
    <row r="146" ht="25" customHeight="1">
      <c r="A146" s="2" t="str">
        <v>Q158</v>
      </c>
      <c r="B146" s="2" t="str">
        <v>KH086</v>
      </c>
      <c r="C146" s="2" t="str">
        <v>KH086</v>
      </c>
      <c r="D146" s="2" t="str">
        <v>S2-00157-BH</v>
      </c>
      <c r="E146" s="2" t="str">
        <v>BAN_HANG</v>
      </c>
      <c r="F146" s="2" t="str">
        <v>INP6903</v>
      </c>
      <c r="G146" s="2" t="str">
        <v>25/06/2026</v>
      </c>
      <c r="H146" s="2" t="str">
        <v>9799999.92</v>
      </c>
      <c r="I146" s="28" t="n">
        <v>9799999.92</v>
      </c>
      <c r="J146" s="7" t="n">
        <v>9800000</v>
      </c>
      <c r="K146" s="28" t="n">
        <f>J146-I146</f>
        <v>0.0800000000745058</v>
      </c>
      <c r="L146" s="2" t="str">
        <v>NHẬP</v>
      </c>
      <c r="M146" s="2" t="str"/>
      <c r="N146" s="2" t="str">
        <v>KHAC</v>
      </c>
    </row>
    <row r="147" ht="25" customHeight="1">
      <c r="A147" s="2" t="str">
        <v>R159</v>
      </c>
      <c r="B147" s="2" t="str">
        <v>KH086</v>
      </c>
      <c r="C147" s="2" t="str">
        <v>KH086</v>
      </c>
      <c r="D147" s="2" t="str">
        <v>S2-00159-TT</v>
      </c>
      <c r="E147" s="2" t="str">
        <v>THU_TIEN</v>
      </c>
      <c r="F147" s="2" t="str"/>
      <c r="G147" s="2" t="str">
        <v>14/7/2026</v>
      </c>
      <c r="H147" s="2" t="str">
        <v>30000000</v>
      </c>
      <c r="I147" s="28" t="n">
        <v>30000000</v>
      </c>
      <c r="J147" s="7" t="n">
        <v>30000000</v>
      </c>
      <c r="K147" s="28" t="n">
        <f>J147-I147</f>
        <v>0</v>
      </c>
      <c r="L147" s="2" t="str">
        <v>NHẬP</v>
      </c>
      <c r="M147" s="2" t="str"/>
      <c r="N147" s="2" t="str">
        <v>KHAC</v>
      </c>
    </row>
    <row r="148" ht="25" customHeight="1">
      <c r="A148" s="2" t="str">
        <v>S160</v>
      </c>
      <c r="B148" s="2" t="str">
        <v>KH034</v>
      </c>
      <c r="C148" s="2" t="str">
        <v>KH034</v>
      </c>
      <c r="D148" s="2" t="str">
        <v>S2-00160-VC</v>
      </c>
      <c r="E148" s="2" t="str">
        <v>PHI_VAN_CHUYEN</v>
      </c>
      <c r="F148" s="2" t="str"/>
      <c r="G148" s="2" t="str">
        <v>2026-01-11</v>
      </c>
      <c r="H148" s="2" t="str">
        <v>1950000</v>
      </c>
      <c r="I148" s="28" t="n">
        <v>1950000</v>
      </c>
      <c r="J148" s="7" t="n">
        <v>1950000</v>
      </c>
      <c r="K148" s="28" t="n">
        <f>J148-I148</f>
        <v>0</v>
      </c>
      <c r="L148" s="2" t="str">
        <v>NHẬP</v>
      </c>
      <c r="M148" s="2" t="str"/>
      <c r="N148" s="2" t="str">
        <v>KHAC</v>
      </c>
    </row>
    <row r="149" ht="25" customHeight="1">
      <c r="A149" s="2" t="str">
        <v>Q161</v>
      </c>
      <c r="B149" s="2" t="str">
        <v>KH034</v>
      </c>
      <c r="C149" s="2" t="str">
        <v>KH034</v>
      </c>
      <c r="D149" s="2" t="str">
        <v>S2-00161-BH</v>
      </c>
      <c r="E149" s="2" t="str">
        <v>BAN_HANG</v>
      </c>
      <c r="F149" s="2" t="str">
        <v>INP1001</v>
      </c>
      <c r="G149" s="2" t="str">
        <v>2026-01-13</v>
      </c>
      <c r="H149" s="2" t="str">
        <v>5190000.48</v>
      </c>
      <c r="I149" s="28" t="n">
        <v>5190000.48</v>
      </c>
      <c r="J149" s="7" t="n">
        <v>5190000</v>
      </c>
      <c r="K149" s="28" t="n">
        <f>J149-I149</f>
        <v>-0.48000000044703484</v>
      </c>
      <c r="L149" s="2" t="str">
        <v>NHẬP</v>
      </c>
      <c r="M149" s="2" t="str"/>
      <c r="N149" s="2" t="str">
        <v>KHAC</v>
      </c>
    </row>
    <row r="150" ht="25" customHeight="1">
      <c r="A150" s="2" t="str">
        <v>Q162</v>
      </c>
      <c r="B150" s="2" t="str">
        <v>KH034</v>
      </c>
      <c r="C150" s="2" t="str">
        <v>KH034</v>
      </c>
      <c r="D150" s="2" t="str">
        <v>S2-00161-BH</v>
      </c>
      <c r="E150" s="2" t="str">
        <v>BAN_HANG</v>
      </c>
      <c r="F150" s="2" t="str">
        <v>INP1002</v>
      </c>
      <c r="G150" s="2" t="str">
        <v>2026-01-13</v>
      </c>
      <c r="H150" s="2" t="str">
        <v>6989999.976</v>
      </c>
      <c r="I150" s="28" t="n">
        <v>6989999.976</v>
      </c>
      <c r="J150" s="7" t="n">
        <v>6990000</v>
      </c>
      <c r="K150" s="28" t="n">
        <f>J150-I150</f>
        <v>0.024000000208616257</v>
      </c>
      <c r="L150" s="2" t="str">
        <v>NHẬP</v>
      </c>
      <c r="M150" s="2" t="str"/>
      <c r="N150" s="2" t="str">
        <v>KHAC</v>
      </c>
    </row>
    <row r="151" ht="25" customHeight="1">
      <c r="A151" s="2" t="str">
        <v>Q163</v>
      </c>
      <c r="B151" s="2" t="str">
        <v>KH034</v>
      </c>
      <c r="C151" s="2" t="str">
        <v>KH034</v>
      </c>
      <c r="D151" s="2" t="str">
        <v>S2-00161-BH</v>
      </c>
      <c r="E151" s="2" t="str">
        <v>BAN_HANG</v>
      </c>
      <c r="F151" s="2" t="str">
        <v>INP1003</v>
      </c>
      <c r="G151" s="2" t="str">
        <v>2026-01-13</v>
      </c>
      <c r="H151" s="2" t="str">
        <v>6799999.896</v>
      </c>
      <c r="I151" s="28" t="n">
        <v>6799999.896</v>
      </c>
      <c r="J151" s="7" t="n">
        <v>6800000</v>
      </c>
      <c r="K151" s="28" t="n">
        <f>J151-I151</f>
        <v>0.10400000028312206</v>
      </c>
      <c r="L151" s="2" t="str">
        <v>NHẬP</v>
      </c>
      <c r="M151" s="2" t="str"/>
      <c r="N151" s="2" t="str">
        <v>KHAC</v>
      </c>
    </row>
    <row r="152" ht="25" customHeight="1">
      <c r="A152" s="2" t="str">
        <v>Q164</v>
      </c>
      <c r="B152" s="2" t="str">
        <v>KH034</v>
      </c>
      <c r="C152" s="2" t="str">
        <v>KH034</v>
      </c>
      <c r="D152" s="2" t="str">
        <v>S2-00161-BH</v>
      </c>
      <c r="E152" s="2" t="str">
        <v>BAN_HANG</v>
      </c>
      <c r="F152" s="2" t="str">
        <v>INP1101</v>
      </c>
      <c r="G152" s="2" t="str">
        <v>2026-01-13</v>
      </c>
      <c r="H152" s="2" t="str">
        <v>5219999.964</v>
      </c>
      <c r="I152" s="28" t="n">
        <v>5219999.964</v>
      </c>
      <c r="J152" s="7" t="n">
        <v>5220000</v>
      </c>
      <c r="K152" s="28" t="n">
        <f>J152-I152</f>
        <v>0.036000000312924385</v>
      </c>
      <c r="L152" s="2" t="str">
        <v>NHẬP</v>
      </c>
      <c r="M152" s="2" t="str"/>
      <c r="N152" s="2" t="str">
        <v>KHAC</v>
      </c>
    </row>
    <row r="153" ht="25" customHeight="1">
      <c r="A153" s="2" t="str">
        <v>Q165</v>
      </c>
      <c r="B153" s="2" t="str">
        <v>KH034</v>
      </c>
      <c r="C153" s="2" t="str">
        <v>KH034</v>
      </c>
      <c r="D153" s="2" t="str">
        <v>S2-00161-BH</v>
      </c>
      <c r="E153" s="2" t="str">
        <v>BAN_HANG</v>
      </c>
      <c r="F153" s="2" t="str">
        <v>INP1401</v>
      </c>
      <c r="G153" s="2" t="str">
        <v>2026-01-13</v>
      </c>
      <c r="H153" s="2" t="str">
        <v>8899999.956</v>
      </c>
      <c r="I153" s="28" t="n">
        <v>8899999.956</v>
      </c>
      <c r="J153" s="7" t="n">
        <v>8900000</v>
      </c>
      <c r="K153" s="28" t="n">
        <f>J153-I153</f>
        <v>0.04399999976158142</v>
      </c>
      <c r="L153" s="2" t="str">
        <v>NHẬP</v>
      </c>
      <c r="M153" s="2" t="str"/>
      <c r="N153" s="2" t="str">
        <v>KHAC</v>
      </c>
    </row>
    <row r="154" ht="25" customHeight="1">
      <c r="A154" s="2" t="str">
        <v>Q166</v>
      </c>
      <c r="B154" s="2" t="str">
        <v>KH034</v>
      </c>
      <c r="C154" s="2" t="str">
        <v>KH034</v>
      </c>
      <c r="D154" s="2" t="str">
        <v>S2-00161-BH</v>
      </c>
      <c r="E154" s="2" t="str">
        <v>BAN_HANG</v>
      </c>
      <c r="F154" s="2" t="str">
        <v>INP1402</v>
      </c>
      <c r="G154" s="2" t="str">
        <v>2026-01-13</v>
      </c>
      <c r="H154" s="2" t="str">
        <v>10130000.4</v>
      </c>
      <c r="I154" s="28" t="n">
        <v>10130000.4</v>
      </c>
      <c r="J154" s="7" t="n">
        <v>10130000</v>
      </c>
      <c r="K154" s="28" t="n">
        <f>J154-I154</f>
        <v>-0.40000000037252903</v>
      </c>
      <c r="L154" s="2" t="str">
        <v>NHẬP</v>
      </c>
      <c r="M154" s="2" t="str"/>
      <c r="N154" s="2" t="str">
        <v>KHAC</v>
      </c>
    </row>
    <row r="155" ht="25" customHeight="1">
      <c r="A155" s="2" t="str">
        <v>Q167</v>
      </c>
      <c r="B155" s="2" t="str">
        <v>KH034</v>
      </c>
      <c r="C155" s="2" t="str">
        <v>KH034</v>
      </c>
      <c r="D155" s="2" t="str">
        <v>S2-00161-BH</v>
      </c>
      <c r="E155" s="2" t="str">
        <v>BAN_HANG</v>
      </c>
      <c r="F155" s="2" t="str">
        <v>INP2003</v>
      </c>
      <c r="G155" s="2" t="str">
        <v>2026-01-13</v>
      </c>
      <c r="H155" s="2" t="str">
        <v>12800000.16</v>
      </c>
      <c r="I155" s="28" t="n">
        <v>12800000.16</v>
      </c>
      <c r="J155" s="7" t="n">
        <v>12800000</v>
      </c>
      <c r="K155" s="28" t="n">
        <f>J155-I155</f>
        <v>-0.1600000001490116</v>
      </c>
      <c r="L155" s="2" t="str">
        <v>NHẬP</v>
      </c>
      <c r="M155" s="2" t="str"/>
      <c r="N155" s="2" t="str">
        <v>KHAC</v>
      </c>
    </row>
    <row r="156" ht="25" customHeight="1">
      <c r="A156" s="2" t="str">
        <v>Q168</v>
      </c>
      <c r="B156" s="2" t="str">
        <v>KH034</v>
      </c>
      <c r="C156" s="2" t="str">
        <v>KH034</v>
      </c>
      <c r="D156" s="2" t="str">
        <v>S2-00161-BH</v>
      </c>
      <c r="E156" s="2" t="str">
        <v>BAN_HANG</v>
      </c>
      <c r="F156" s="2" t="str">
        <v>INP2101</v>
      </c>
      <c r="G156" s="2" t="str">
        <v>2026-01-13</v>
      </c>
      <c r="H156" s="2" t="str">
        <v>5059996.56</v>
      </c>
      <c r="I156" s="28" t="n">
        <v>5059996.56</v>
      </c>
      <c r="J156" s="7" t="n">
        <v>5059997</v>
      </c>
      <c r="K156" s="28" t="n">
        <f>J156-I156</f>
        <v>0.44000000040978193</v>
      </c>
      <c r="L156" s="2" t="str">
        <v>NHẬP</v>
      </c>
      <c r="M156" s="2" t="str"/>
      <c r="N156" s="2" t="str">
        <v>KHAC</v>
      </c>
    </row>
    <row r="157" ht="25" customHeight="1">
      <c r="A157" s="2" t="str">
        <v>Q169</v>
      </c>
      <c r="B157" s="2" t="str">
        <v>KH034</v>
      </c>
      <c r="C157" s="2" t="str">
        <v>KH034</v>
      </c>
      <c r="D157" s="2" t="str">
        <v>S2-00161-BH</v>
      </c>
      <c r="E157" s="2" t="str">
        <v>BAN_HANG</v>
      </c>
      <c r="F157" s="2" t="str">
        <v>INP2102</v>
      </c>
      <c r="G157" s="2" t="str">
        <v>2026-01-13</v>
      </c>
      <c r="H157" s="2" t="str">
        <v>5540000.4</v>
      </c>
      <c r="I157" s="28" t="n">
        <v>5540000.4</v>
      </c>
      <c r="J157" s="7" t="n">
        <v>5540000</v>
      </c>
      <c r="K157" s="28" t="n">
        <f>J157-I157</f>
        <v>-0.40000000037252903</v>
      </c>
      <c r="L157" s="2" t="str">
        <v>NHẬP</v>
      </c>
      <c r="M157" s="2" t="str"/>
      <c r="N157" s="2" t="str">
        <v>KHAC</v>
      </c>
    </row>
    <row r="158" ht="25" customHeight="1">
      <c r="A158" s="2" t="str">
        <v>Q170</v>
      </c>
      <c r="B158" s="2" t="str">
        <v>KH034</v>
      </c>
      <c r="C158" s="2" t="str">
        <v>KH034</v>
      </c>
      <c r="D158" s="2" t="str">
        <v>S2-00161-BH</v>
      </c>
      <c r="E158" s="2" t="str">
        <v>BAN_HANG</v>
      </c>
      <c r="F158" s="2" t="str">
        <v>INP2103</v>
      </c>
      <c r="G158" s="2" t="str">
        <v>2026-01-13</v>
      </c>
      <c r="H158" s="2" t="str">
        <v>6080000.4</v>
      </c>
      <c r="I158" s="28" t="n">
        <v>6080000.4</v>
      </c>
      <c r="J158" s="7" t="n">
        <v>6080000</v>
      </c>
      <c r="K158" s="28" t="n">
        <f>J158-I158</f>
        <v>-0.40000000037252903</v>
      </c>
      <c r="L158" s="2" t="str">
        <v>NHẬP</v>
      </c>
      <c r="M158" s="2" t="str"/>
      <c r="N158" s="2" t="str">
        <v>KHAC</v>
      </c>
    </row>
    <row r="159" ht="25" customHeight="1">
      <c r="A159" s="2" t="str">
        <v>Q171</v>
      </c>
      <c r="B159" s="2" t="str">
        <v>KH034</v>
      </c>
      <c r="C159" s="2" t="str">
        <v>KH034</v>
      </c>
      <c r="D159" s="2" t="str">
        <v>S2-00161-BH</v>
      </c>
      <c r="E159" s="2" t="str">
        <v>BAN_HANG</v>
      </c>
      <c r="F159" s="2" t="str">
        <v>INP2105</v>
      </c>
      <c r="G159" s="2" t="str">
        <v>2026-01-13</v>
      </c>
      <c r="H159" s="2" t="str">
        <v>4920000.48</v>
      </c>
      <c r="I159" s="28" t="n">
        <v>4920000.48</v>
      </c>
      <c r="J159" s="7" t="n">
        <v>4920000</v>
      </c>
      <c r="K159" s="28" t="n">
        <f>J159-I159</f>
        <v>-0.48000000044703484</v>
      </c>
      <c r="L159" s="2" t="str">
        <v>NHẬP</v>
      </c>
      <c r="M159" s="2" t="str"/>
      <c r="N159" s="2" t="str">
        <v>KHAC</v>
      </c>
    </row>
    <row r="160" ht="25" customHeight="1">
      <c r="A160" s="2" t="str">
        <v>Q172</v>
      </c>
      <c r="B160" s="2" t="str">
        <v>KH034</v>
      </c>
      <c r="C160" s="2" t="str">
        <v>KH034</v>
      </c>
      <c r="D160" s="2" t="str">
        <v>S2-00161-BH</v>
      </c>
      <c r="E160" s="2" t="str">
        <v>BAN_HANG</v>
      </c>
      <c r="F160" s="2" t="str">
        <v>INP2106</v>
      </c>
      <c r="G160" s="2" t="str">
        <v>2026-01-13</v>
      </c>
      <c r="H160" s="2" t="str">
        <v>5460000.48</v>
      </c>
      <c r="I160" s="28" t="n">
        <v>5460000.48</v>
      </c>
      <c r="J160" s="7" t="n">
        <v>5460000</v>
      </c>
      <c r="K160" s="28" t="n">
        <f>J160-I160</f>
        <v>-0.48000000044703484</v>
      </c>
      <c r="L160" s="2" t="str">
        <v>NHẬP</v>
      </c>
      <c r="M160" s="2" t="str"/>
      <c r="N160" s="2" t="str">
        <v>KHAC</v>
      </c>
    </row>
    <row r="161" ht="25" customHeight="1">
      <c r="A161" s="2" t="str">
        <v>Q173</v>
      </c>
      <c r="B161" s="2" t="str">
        <v>KH034</v>
      </c>
      <c r="C161" s="2" t="str">
        <v>KH034</v>
      </c>
      <c r="D161" s="2" t="str">
        <v>S2-00161-BH</v>
      </c>
      <c r="E161" s="2" t="str">
        <v>BAN_HANG</v>
      </c>
      <c r="F161" s="2" t="str">
        <v>INP2108</v>
      </c>
      <c r="G161" s="2" t="str">
        <v>2026-01-13</v>
      </c>
      <c r="H161" s="2" t="str">
        <v>5540000.4</v>
      </c>
      <c r="I161" s="28" t="n">
        <v>5540000.4</v>
      </c>
      <c r="J161" s="7" t="n">
        <v>5540000</v>
      </c>
      <c r="K161" s="28" t="n">
        <f>J161-I161</f>
        <v>-0.40000000037252903</v>
      </c>
      <c r="L161" s="2" t="str">
        <v>NHẬP</v>
      </c>
      <c r="M161" s="2" t="str"/>
      <c r="N161" s="2" t="str">
        <v>KHAC</v>
      </c>
    </row>
    <row r="162" ht="25" customHeight="1">
      <c r="A162" s="2" t="str">
        <v>Q174</v>
      </c>
      <c r="B162" s="2" t="str">
        <v>KH034</v>
      </c>
      <c r="C162" s="2" t="str">
        <v>KH034</v>
      </c>
      <c r="D162" s="2" t="str">
        <v>S2-00161-BH</v>
      </c>
      <c r="E162" s="2" t="str">
        <v>BAN_HANG</v>
      </c>
      <c r="F162" s="2" t="str">
        <v>INP2109</v>
      </c>
      <c r="G162" s="2" t="str">
        <v>2026-01-13</v>
      </c>
      <c r="H162" s="2" t="str">
        <v>4920000.48</v>
      </c>
      <c r="I162" s="28" t="n">
        <v>4920000.48</v>
      </c>
      <c r="J162" s="7" t="n">
        <v>4920000</v>
      </c>
      <c r="K162" s="28" t="n">
        <f>J162-I162</f>
        <v>-0.48000000044703484</v>
      </c>
      <c r="L162" s="2" t="str">
        <v>NHẬP</v>
      </c>
      <c r="M162" s="2" t="str"/>
      <c r="N162" s="2" t="str">
        <v>KHAC</v>
      </c>
    </row>
    <row r="163" ht="25" customHeight="1">
      <c r="A163" s="2" t="str">
        <v>Q175</v>
      </c>
      <c r="B163" s="2" t="str">
        <v>KH034</v>
      </c>
      <c r="C163" s="2" t="str">
        <v>KH034</v>
      </c>
      <c r="D163" s="2" t="str">
        <v>S2-00161-BH</v>
      </c>
      <c r="E163" s="2" t="str">
        <v>BAN_HANG</v>
      </c>
      <c r="F163" s="2" t="str">
        <v>INP2110</v>
      </c>
      <c r="G163" s="2" t="str">
        <v>2026-01-13</v>
      </c>
      <c r="H163" s="2" t="str">
        <v>5460000.48</v>
      </c>
      <c r="I163" s="28" t="n">
        <v>5460000.48</v>
      </c>
      <c r="J163" s="7" t="n">
        <v>5460000</v>
      </c>
      <c r="K163" s="28" t="n">
        <f>J163-I163</f>
        <v>-0.48000000044703484</v>
      </c>
      <c r="L163" s="2" t="str">
        <v>NHẬP</v>
      </c>
      <c r="M163" s="2" t="str"/>
      <c r="N163" s="2" t="str">
        <v>KHAC</v>
      </c>
    </row>
    <row r="164" ht="25" customHeight="1">
      <c r="A164" s="2" t="str">
        <v>Q176</v>
      </c>
      <c r="B164" s="2" t="str">
        <v>KH034</v>
      </c>
      <c r="C164" s="2" t="str">
        <v>KH034</v>
      </c>
      <c r="D164" s="2" t="str">
        <v>S2-00161-BH</v>
      </c>
      <c r="E164" s="2" t="str">
        <v>BAN_HANG</v>
      </c>
      <c r="F164" s="2" t="str">
        <v>INP2111</v>
      </c>
      <c r="G164" s="2" t="str">
        <v>2026-01-13</v>
      </c>
      <c r="H164" s="2" t="str">
        <v>6000000.48</v>
      </c>
      <c r="I164" s="28" t="n">
        <v>6000000.48</v>
      </c>
      <c r="J164" s="7" t="n">
        <v>6000000</v>
      </c>
      <c r="K164" s="28" t="n">
        <f>J164-I164</f>
        <v>-0.48000000044703484</v>
      </c>
      <c r="L164" s="2" t="str">
        <v>NHẬP</v>
      </c>
      <c r="M164" s="2" t="str"/>
      <c r="N164" s="2" t="str">
        <v>KHAC</v>
      </c>
    </row>
    <row r="165" ht="25" customHeight="1">
      <c r="A165" s="2" t="str">
        <v>Q177</v>
      </c>
      <c r="B165" s="2" t="str">
        <v>KH034</v>
      </c>
      <c r="C165" s="2" t="str">
        <v>KH034</v>
      </c>
      <c r="D165" s="2" t="str">
        <v>S2-00161-BH</v>
      </c>
      <c r="E165" s="2" t="str">
        <v>BAN_HANG</v>
      </c>
      <c r="F165" s="2" t="str">
        <v>INP2202</v>
      </c>
      <c r="G165" s="2" t="str">
        <v>2026-01-13</v>
      </c>
      <c r="H165" s="2" t="str">
        <v>9119999.52</v>
      </c>
      <c r="I165" s="28" t="n">
        <v>9119999.52</v>
      </c>
      <c r="J165" s="7" t="n">
        <v>9120000</v>
      </c>
      <c r="K165" s="28" t="n">
        <f>J165-I165</f>
        <v>0.48000000044703484</v>
      </c>
      <c r="L165" s="2" t="str">
        <v>NHẬP</v>
      </c>
      <c r="M165" s="2" t="str"/>
      <c r="N165" s="2" t="str">
        <v>KHAC</v>
      </c>
    </row>
    <row r="166" ht="25" customHeight="1">
      <c r="A166" s="2" t="str">
        <v>Q178</v>
      </c>
      <c r="B166" s="2" t="str">
        <v>KH034</v>
      </c>
      <c r="C166" s="2" t="str">
        <v>KH034</v>
      </c>
      <c r="D166" s="2" t="str">
        <v>S2-00161-BH</v>
      </c>
      <c r="E166" s="2" t="str">
        <v>BAN_HANG</v>
      </c>
      <c r="F166" s="2" t="str">
        <v>INP3001</v>
      </c>
      <c r="G166" s="2" t="str">
        <v>2026-01-13</v>
      </c>
      <c r="H166" s="2" t="str">
        <v>7120000.44</v>
      </c>
      <c r="I166" s="28" t="n">
        <v>7120000.44</v>
      </c>
      <c r="J166" s="7" t="n">
        <v>7120000</v>
      </c>
      <c r="K166" s="28" t="n">
        <f>J166-I166</f>
        <v>-0.44000000040978193</v>
      </c>
      <c r="L166" s="2" t="str">
        <v>NHẬP</v>
      </c>
      <c r="M166" s="2" t="str"/>
      <c r="N166" s="2" t="str">
        <v>KHAC</v>
      </c>
    </row>
    <row r="167" ht="25" customHeight="1">
      <c r="A167" s="2" t="str">
        <v>Q179</v>
      </c>
      <c r="B167" s="2" t="str">
        <v>KH034</v>
      </c>
      <c r="C167" s="2" t="str">
        <v>KH034</v>
      </c>
      <c r="D167" s="2" t="str">
        <v>S2-00161-BH</v>
      </c>
      <c r="E167" s="2" t="str">
        <v>BAN_HANG</v>
      </c>
      <c r="F167" s="2" t="str">
        <v>INP3002</v>
      </c>
      <c r="G167" s="2" t="str">
        <v>2026-01-13</v>
      </c>
      <c r="H167" s="2" t="str">
        <v>6149999.52</v>
      </c>
      <c r="I167" s="28" t="n">
        <v>6149999.52</v>
      </c>
      <c r="J167" s="7" t="n">
        <v>6150000</v>
      </c>
      <c r="K167" s="28" t="n">
        <f>J167-I167</f>
        <v>0.48000000044703484</v>
      </c>
      <c r="L167" s="2" t="str">
        <v>NHẬP</v>
      </c>
      <c r="M167" s="2" t="str"/>
      <c r="N167" s="2" t="str">
        <v>KHAC</v>
      </c>
    </row>
    <row r="168" ht="25" customHeight="1">
      <c r="A168" s="2" t="str">
        <v>Q180</v>
      </c>
      <c r="B168" s="2" t="str">
        <v>KH034</v>
      </c>
      <c r="C168" s="2" t="str">
        <v>KH034</v>
      </c>
      <c r="D168" s="2" t="str">
        <v>S2-00161-BH</v>
      </c>
      <c r="E168" s="2" t="str">
        <v>BAN_HANG</v>
      </c>
      <c r="F168" s="2" t="str">
        <v>INP3003</v>
      </c>
      <c r="G168" s="2" t="str">
        <v>2026-01-13</v>
      </c>
      <c r="H168" s="2" t="str">
        <v>7320000.1968</v>
      </c>
      <c r="I168" s="28" t="n">
        <v>7320000.1968</v>
      </c>
      <c r="J168" s="7" t="n">
        <v>7320000</v>
      </c>
      <c r="K168" s="28" t="n">
        <f>J168-I168</f>
        <v>-0.19680000003427267</v>
      </c>
      <c r="L168" s="2" t="str">
        <v>NHẬP</v>
      </c>
      <c r="M168" s="2" t="str"/>
      <c r="N168" s="2" t="str">
        <v>KHAC</v>
      </c>
    </row>
    <row r="169" ht="25" customHeight="1">
      <c r="A169" s="2" t="str">
        <v>Q181</v>
      </c>
      <c r="B169" s="2" t="str">
        <v>KH034</v>
      </c>
      <c r="C169" s="2" t="str">
        <v>KH034</v>
      </c>
      <c r="D169" s="2" t="str">
        <v>S2-00161-BH</v>
      </c>
      <c r="E169" s="2" t="str">
        <v>BAN_HANG</v>
      </c>
      <c r="F169" s="2" t="str">
        <v>INP3004</v>
      </c>
      <c r="G169" s="2" t="str">
        <v>2026-01-13</v>
      </c>
      <c r="H169" s="2" t="str">
        <v>4643999.9568</v>
      </c>
      <c r="I169" s="28" t="n">
        <v>4643999.9568</v>
      </c>
      <c r="J169" s="7" t="n">
        <v>4644000</v>
      </c>
      <c r="K169" s="28" t="n">
        <f>J169-I169</f>
        <v>0.04320000018924475</v>
      </c>
      <c r="L169" s="2" t="str">
        <v>NHẬP</v>
      </c>
      <c r="M169" s="2" t="str"/>
      <c r="N169" s="2" t="str">
        <v>KHAC</v>
      </c>
    </row>
    <row r="170" ht="25" customHeight="1">
      <c r="A170" s="2" t="str">
        <v>Q182</v>
      </c>
      <c r="B170" s="2" t="str">
        <v>KH034</v>
      </c>
      <c r="C170" s="2" t="str">
        <v>KH034</v>
      </c>
      <c r="D170" s="2" t="str">
        <v>S2-00161-BH</v>
      </c>
      <c r="E170" s="2" t="str">
        <v>BAN_HANG</v>
      </c>
      <c r="F170" s="2" t="str">
        <v>INP3005</v>
      </c>
      <c r="G170" s="2" t="str">
        <v>2026-01-13</v>
      </c>
      <c r="H170" s="2" t="str">
        <v>5160000.2832</v>
      </c>
      <c r="I170" s="28" t="n">
        <v>5160000.2832</v>
      </c>
      <c r="J170" s="7" t="n">
        <v>5160000</v>
      </c>
      <c r="K170" s="28" t="n">
        <f>J170-I170</f>
        <v>-0.28320000041276217</v>
      </c>
      <c r="L170" s="2" t="str">
        <v>NHẬP</v>
      </c>
      <c r="M170" s="2" t="str"/>
      <c r="N170" s="2" t="str">
        <v>KHAC</v>
      </c>
    </row>
    <row r="171" ht="25" customHeight="1">
      <c r="A171" s="2" t="str">
        <v>Q183</v>
      </c>
      <c r="B171" s="2" t="str">
        <v>KH034</v>
      </c>
      <c r="C171" s="2" t="str">
        <v>KH034</v>
      </c>
      <c r="D171" s="2" t="str">
        <v>S2-00183-BH</v>
      </c>
      <c r="E171" s="2" t="str">
        <v>BAN_HANG</v>
      </c>
      <c r="F171" s="2" t="str">
        <v>INP1501</v>
      </c>
      <c r="G171" s="2" t="str">
        <v>2026-01-13</v>
      </c>
      <c r="H171" s="2" t="str">
        <v>1439999.5968</v>
      </c>
      <c r="I171" s="28" t="n">
        <v>1439999.5968</v>
      </c>
      <c r="J171" s="7" t="n">
        <v>1440000</v>
      </c>
      <c r="K171" s="28" t="n">
        <f>J171-I171</f>
        <v>0.4032000000588596</v>
      </c>
      <c r="L171" s="2" t="str">
        <v>NHẬP</v>
      </c>
      <c r="M171" s="2" t="str"/>
      <c r="N171" s="2" t="str">
        <v>KHAC</v>
      </c>
    </row>
    <row r="172" ht="25" customHeight="1">
      <c r="A172" s="2" t="str">
        <v>Q184</v>
      </c>
      <c r="B172" s="2" t="str">
        <v>KH034</v>
      </c>
      <c r="C172" s="2" t="str">
        <v>KH034</v>
      </c>
      <c r="D172" s="2" t="str">
        <v>S2-00183-BH</v>
      </c>
      <c r="E172" s="2" t="str">
        <v>BAN_HANG</v>
      </c>
      <c r="F172" s="2" t="str">
        <v>INP1502</v>
      </c>
      <c r="G172" s="2" t="str">
        <v>2026-01-13</v>
      </c>
      <c r="H172" s="2" t="str">
        <v>1559999.4768</v>
      </c>
      <c r="I172" s="28" t="n">
        <v>1559999.4768</v>
      </c>
      <c r="J172" s="7" t="n">
        <v>1559999</v>
      </c>
      <c r="K172" s="28" t="n">
        <f>J172-I172</f>
        <v>-0.47680000006221235</v>
      </c>
      <c r="L172" s="2" t="str">
        <v>NHẬP</v>
      </c>
      <c r="M172" s="2" t="str"/>
      <c r="N172" s="2" t="str">
        <v>KHAC</v>
      </c>
    </row>
    <row r="173" ht="25" customHeight="1">
      <c r="A173" s="2" t="str">
        <v>Q185</v>
      </c>
      <c r="B173" s="2" t="str">
        <v>KH034</v>
      </c>
      <c r="C173" s="2" t="str">
        <v>KH034</v>
      </c>
      <c r="D173" s="2" t="str">
        <v>S2-00183-BH</v>
      </c>
      <c r="E173" s="2" t="str">
        <v>BAN_HANG</v>
      </c>
      <c r="F173" s="2" t="str">
        <v>INP1503</v>
      </c>
      <c r="G173" s="2" t="str">
        <v>2026-01-13</v>
      </c>
      <c r="H173" s="2" t="str">
        <v>1680000.5232</v>
      </c>
      <c r="I173" s="28" t="n">
        <v>1680000.5232</v>
      </c>
      <c r="J173" s="7" t="n">
        <v>1680001</v>
      </c>
      <c r="K173" s="28" t="n">
        <f>J173-I173</f>
        <v>0.47680000006221235</v>
      </c>
      <c r="L173" s="2" t="str">
        <v>NHẬP</v>
      </c>
      <c r="M173" s="2" t="str"/>
      <c r="N173" s="2" t="str">
        <v>KHAC</v>
      </c>
    </row>
    <row r="174" ht="25" customHeight="1">
      <c r="A174" s="2" t="str">
        <v>Q186</v>
      </c>
      <c r="B174" s="2" t="str">
        <v>KH034</v>
      </c>
      <c r="C174" s="2" t="str">
        <v>KH034</v>
      </c>
      <c r="D174" s="2" t="str">
        <v>S2-00183-BH</v>
      </c>
      <c r="E174" s="2" t="str">
        <v>BAN_HANG</v>
      </c>
      <c r="F174" s="2" t="str">
        <v>INP6601</v>
      </c>
      <c r="G174" s="2" t="str">
        <v>2026-01-13</v>
      </c>
      <c r="H174" s="2" t="str">
        <v>12999999.96</v>
      </c>
      <c r="I174" s="28" t="n">
        <v>12999999.96</v>
      </c>
      <c r="J174" s="7" t="n">
        <v>13000000</v>
      </c>
      <c r="K174" s="28" t="n">
        <f>J174-I174</f>
        <v>0.03999999910593033</v>
      </c>
      <c r="L174" s="2" t="str">
        <v>NHẬP</v>
      </c>
      <c r="M174" s="2" t="str"/>
      <c r="N174" s="2" t="str">
        <v>KHAC</v>
      </c>
    </row>
    <row r="175" ht="25" customHeight="1">
      <c r="A175" s="2" t="str">
        <v>Q187</v>
      </c>
      <c r="B175" s="2" t="str">
        <v>KH034</v>
      </c>
      <c r="C175" s="2" t="str">
        <v>KH034</v>
      </c>
      <c r="D175" s="2" t="str">
        <v>S2-00183-BH</v>
      </c>
      <c r="E175" s="2" t="str">
        <v>BAN_HANG</v>
      </c>
      <c r="F175" s="2" t="str">
        <v>INP6602</v>
      </c>
      <c r="G175" s="2" t="str">
        <v>2026-01-13</v>
      </c>
      <c r="H175" s="2" t="str">
        <v>14699999.88</v>
      </c>
      <c r="I175" s="28" t="n">
        <v>14699999.88</v>
      </c>
      <c r="J175" s="7" t="n">
        <v>14700000</v>
      </c>
      <c r="K175" s="28" t="n">
        <f>J175-I175</f>
        <v>0.11999999918043613</v>
      </c>
      <c r="L175" s="2" t="str">
        <v>NHẬP</v>
      </c>
      <c r="M175" s="2" t="str"/>
      <c r="N175" s="2" t="str">
        <v>KHAC</v>
      </c>
    </row>
    <row r="176" ht="25" customHeight="1">
      <c r="A176" s="2" t="str">
        <v>Q188</v>
      </c>
      <c r="B176" s="2" t="str">
        <v>KH034</v>
      </c>
      <c r="C176" s="2" t="str">
        <v>KH034</v>
      </c>
      <c r="D176" s="2" t="str">
        <v>S2-00188-BH</v>
      </c>
      <c r="E176" s="2" t="str">
        <v>BAN_HANG</v>
      </c>
      <c r="F176" s="2" t="str">
        <v>INP6001</v>
      </c>
      <c r="G176" s="2" t="str">
        <v>2026-01-13</v>
      </c>
      <c r="H176" s="2" t="str">
        <v>9839999.9232</v>
      </c>
      <c r="I176" s="28" t="n">
        <v>9839999.9232</v>
      </c>
      <c r="J176" s="7" t="n">
        <v>9840000</v>
      </c>
      <c r="K176" s="28" t="n">
        <f>J176-I176</f>
        <v>0.07679999992251396</v>
      </c>
      <c r="L176" s="2" t="str">
        <v>NHẬP</v>
      </c>
      <c r="M176" s="2" t="str"/>
      <c r="N176" s="2" t="str">
        <v>KHAC</v>
      </c>
    </row>
    <row r="177" ht="25" customHeight="1">
      <c r="A177" s="2" t="str">
        <v>Q189</v>
      </c>
      <c r="B177" s="2" t="str">
        <v>KH034</v>
      </c>
      <c r="C177" s="2" t="str">
        <v>KH034</v>
      </c>
      <c r="D177" s="2" t="str">
        <v>S2-00188-BH</v>
      </c>
      <c r="E177" s="2" t="str">
        <v>BAN_HANG</v>
      </c>
      <c r="F177" s="2" t="str">
        <v>INP6003</v>
      </c>
      <c r="G177" s="2" t="str">
        <v>2026-01-13</v>
      </c>
      <c r="H177" s="2" t="str">
        <v>7360000.2432</v>
      </c>
      <c r="I177" s="28" t="n">
        <v>7360000.2432</v>
      </c>
      <c r="J177" s="7" t="n">
        <v>7360000</v>
      </c>
      <c r="K177" s="28" t="n">
        <f>J177-I177</f>
        <v>-0.24320000037550926</v>
      </c>
      <c r="L177" s="2" t="str">
        <v>NHẬP</v>
      </c>
      <c r="M177" s="2" t="str"/>
      <c r="N177" s="2" t="str">
        <v>KHAC</v>
      </c>
    </row>
    <row r="178" ht="25" customHeight="1">
      <c r="A178" s="2" t="str">
        <v>Q190</v>
      </c>
      <c r="B178" s="2" t="str">
        <v>KH034</v>
      </c>
      <c r="C178" s="2" t="str">
        <v>KH034</v>
      </c>
      <c r="D178" s="2" t="str">
        <v>S2-00188-BH</v>
      </c>
      <c r="E178" s="2" t="str">
        <v>BAN_HANG</v>
      </c>
      <c r="F178" s="2" t="str">
        <v>INP6101</v>
      </c>
      <c r="G178" s="2" t="str">
        <v>2026-01-13</v>
      </c>
      <c r="H178" s="2" t="str">
        <v>7799999.976</v>
      </c>
      <c r="I178" s="28" t="n">
        <v>7799999.976</v>
      </c>
      <c r="J178" s="7" t="n">
        <v>7800000</v>
      </c>
      <c r="K178" s="28" t="n">
        <f>J178-I178</f>
        <v>0.024000000208616257</v>
      </c>
      <c r="L178" s="2" t="str">
        <v>NHẬP</v>
      </c>
      <c r="M178" s="2" t="str"/>
      <c r="N178" s="2" t="str">
        <v>KHAC</v>
      </c>
    </row>
    <row r="179" ht="25" customHeight="1">
      <c r="A179" s="2" t="str">
        <v>Q191</v>
      </c>
      <c r="B179" s="2" t="str">
        <v>KH034</v>
      </c>
      <c r="C179" s="2" t="str">
        <v>KH034</v>
      </c>
      <c r="D179" s="2" t="str">
        <v>S2-00188-BH</v>
      </c>
      <c r="E179" s="2" t="str">
        <v>BAN_HANG</v>
      </c>
      <c r="F179" s="2" t="str">
        <v>INP6102</v>
      </c>
      <c r="G179" s="2" t="str">
        <v>2026-01-13</v>
      </c>
      <c r="H179" s="2" t="str">
        <v>6077993.76</v>
      </c>
      <c r="I179" s="28" t="n">
        <v>6077993.76</v>
      </c>
      <c r="J179" s="7" t="n">
        <v>6077994</v>
      </c>
      <c r="K179" s="28" t="n">
        <f>J179-I179</f>
        <v>0.24000000022351742</v>
      </c>
      <c r="L179" s="2" t="str">
        <v>NHẬP</v>
      </c>
      <c r="M179" s="2" t="str"/>
      <c r="N179" s="2" t="str">
        <v>KHAC</v>
      </c>
    </row>
    <row r="180" ht="25" customHeight="1">
      <c r="A180" s="2" t="str">
        <v>Q192</v>
      </c>
      <c r="B180" s="2" t="str">
        <v>KH034</v>
      </c>
      <c r="C180" s="2" t="str">
        <v>KH034</v>
      </c>
      <c r="D180" s="2" t="str">
        <v>S2-00188-BH</v>
      </c>
      <c r="E180" s="2" t="str">
        <v>BAN_HANG</v>
      </c>
      <c r="F180" s="2" t="str">
        <v>INP6103</v>
      </c>
      <c r="G180" s="2" t="str">
        <v>2026-01-13</v>
      </c>
      <c r="H180" s="2" t="str">
        <v>5177999.52</v>
      </c>
      <c r="I180" s="28" t="n">
        <v>5177999.52</v>
      </c>
      <c r="J180" s="7" t="n">
        <v>5178000</v>
      </c>
      <c r="K180" s="28" t="n">
        <f>J180-I180</f>
        <v>0.48000000044703484</v>
      </c>
      <c r="L180" s="2" t="str">
        <v>NHẬP</v>
      </c>
      <c r="M180" s="2" t="str"/>
      <c r="N180" s="2" t="str">
        <v>KHAC</v>
      </c>
    </row>
    <row r="181" ht="25" customHeight="1">
      <c r="A181" s="2" t="str">
        <v>Q193</v>
      </c>
      <c r="B181" s="2" t="str">
        <v>KH034</v>
      </c>
      <c r="C181" s="2" t="str">
        <v>KH034</v>
      </c>
      <c r="D181" s="2" t="str">
        <v>S2-00188-BH</v>
      </c>
      <c r="E181" s="2" t="str">
        <v>BAN_HANG</v>
      </c>
      <c r="F181" s="2" t="str">
        <v>INP6104</v>
      </c>
      <c r="G181" s="2" t="str">
        <v>2026-01-13</v>
      </c>
      <c r="H181" s="2" t="str">
        <v>6527999.952</v>
      </c>
      <c r="I181" s="28" t="n">
        <v>6527999.952</v>
      </c>
      <c r="J181" s="7" t="n">
        <v>6528000</v>
      </c>
      <c r="K181" s="28" t="n">
        <f>J181-I181</f>
        <v>0.04800000041723251</v>
      </c>
      <c r="L181" s="2" t="str">
        <v>NHẬP</v>
      </c>
      <c r="M181" s="2" t="str"/>
      <c r="N181" s="2" t="str">
        <v>KHAC</v>
      </c>
    </row>
    <row r="182" ht="25" customHeight="1">
      <c r="A182" s="2" t="str">
        <v>Q194</v>
      </c>
      <c r="B182" s="2" t="str">
        <v>KH034</v>
      </c>
      <c r="C182" s="2" t="str">
        <v>KH034</v>
      </c>
      <c r="D182" s="2" t="str">
        <v>S2-00194-BH</v>
      </c>
      <c r="E182" s="2" t="str">
        <v>BAN_HANG</v>
      </c>
      <c r="F182" s="2" t="str">
        <v>INP6201</v>
      </c>
      <c r="G182" s="2" t="str">
        <v>2026-01-13</v>
      </c>
      <c r="H182" s="2" t="str">
        <v>4200000.0768</v>
      </c>
      <c r="I182" s="28" t="n">
        <v>4200000.0768</v>
      </c>
      <c r="J182" s="7" t="n">
        <v>4200000</v>
      </c>
      <c r="K182" s="28" t="n">
        <f>J182-I182</f>
        <v>-0.07679999992251396</v>
      </c>
      <c r="L182" s="2" t="str">
        <v>NHẬP</v>
      </c>
      <c r="M182" s="2" t="str"/>
      <c r="N182" s="2" t="str">
        <v>KHAC</v>
      </c>
    </row>
    <row r="183" ht="25" customHeight="1">
      <c r="A183" s="2" t="str">
        <v>Q195</v>
      </c>
      <c r="B183" s="2" t="str">
        <v>KH034</v>
      </c>
      <c r="C183" s="2" t="str">
        <v>KH034</v>
      </c>
      <c r="D183" s="2" t="str">
        <v>S2-00194-BH</v>
      </c>
      <c r="E183" s="2" t="str">
        <v>BAN_HANG</v>
      </c>
      <c r="F183" s="2" t="str">
        <v>INP6202</v>
      </c>
      <c r="G183" s="2" t="str">
        <v>2026-01-13</v>
      </c>
      <c r="H183" s="2" t="str">
        <v>4223999.9232</v>
      </c>
      <c r="I183" s="28" t="n">
        <v>4223999.9232</v>
      </c>
      <c r="J183" s="7" t="n">
        <v>4224000</v>
      </c>
      <c r="K183" s="28" t="n">
        <f>J183-I183</f>
        <v>0.07679999992251396</v>
      </c>
      <c r="L183" s="2" t="str">
        <v>NHẬP</v>
      </c>
      <c r="M183" s="2" t="str"/>
      <c r="N183" s="2" t="str">
        <v>KHAC</v>
      </c>
    </row>
    <row r="184" ht="25" customHeight="1">
      <c r="A184" s="2" t="str">
        <v>Q196</v>
      </c>
      <c r="B184" s="2" t="str">
        <v>KH034</v>
      </c>
      <c r="C184" s="2" t="str">
        <v>KH034</v>
      </c>
      <c r="D184" s="2" t="str">
        <v>S2-00194-BH</v>
      </c>
      <c r="E184" s="2" t="str">
        <v>BAN_HANG</v>
      </c>
      <c r="F184" s="2" t="str">
        <v>INP6203</v>
      </c>
      <c r="G184" s="2" t="str">
        <v>2026-01-13</v>
      </c>
      <c r="H184" s="2" t="str">
        <v>4524000.0768</v>
      </c>
      <c r="I184" s="28" t="n">
        <v>4524000.0768</v>
      </c>
      <c r="J184" s="7" t="n">
        <v>4524000</v>
      </c>
      <c r="K184" s="28" t="n">
        <f>J184-I184</f>
        <v>-0.07679999992251396</v>
      </c>
      <c r="L184" s="2" t="str">
        <v>NHẬP</v>
      </c>
      <c r="M184" s="2" t="str"/>
      <c r="N184" s="2" t="str">
        <v>KHAC</v>
      </c>
    </row>
    <row r="185" ht="25" customHeight="1">
      <c r="A185" s="2" t="str">
        <v>Q197</v>
      </c>
      <c r="B185" s="2" t="str">
        <v>KH034</v>
      </c>
      <c r="C185" s="2" t="str">
        <v>KH034</v>
      </c>
      <c r="D185" s="2" t="str">
        <v>S2-00194-BH</v>
      </c>
      <c r="E185" s="2" t="str">
        <v>BAN_HANG</v>
      </c>
      <c r="F185" s="2" t="str">
        <v>INP6204</v>
      </c>
      <c r="G185" s="2" t="str">
        <v>2026-01-13</v>
      </c>
      <c r="H185" s="2" t="str">
        <v>3683999.88</v>
      </c>
      <c r="I185" s="28" t="n">
        <v>3683999.88</v>
      </c>
      <c r="J185" s="7" t="n">
        <v>3684000</v>
      </c>
      <c r="K185" s="28" t="n">
        <f>J185-I185</f>
        <v>0.12000000011175871</v>
      </c>
      <c r="L185" s="2" t="str">
        <v>NHẬP</v>
      </c>
      <c r="M185" s="2" t="str"/>
      <c r="N185" s="2" t="str">
        <v>KHAC</v>
      </c>
    </row>
    <row r="186" ht="25" customHeight="1">
      <c r="A186" s="2" t="str">
        <v>Q198</v>
      </c>
      <c r="B186" s="2" t="str">
        <v>KH034</v>
      </c>
      <c r="C186" s="2" t="str">
        <v>KH034</v>
      </c>
      <c r="D186" s="2" t="str">
        <v>S2-00194-BH</v>
      </c>
      <c r="E186" s="2" t="str">
        <v>BAN_HANG</v>
      </c>
      <c r="F186" s="2" t="str">
        <v>INP6205</v>
      </c>
      <c r="G186" s="2" t="str">
        <v>2026-01-13</v>
      </c>
      <c r="H186" s="2" t="str">
        <v>3636000.3168</v>
      </c>
      <c r="I186" s="28" t="n">
        <v>3636000.3168</v>
      </c>
      <c r="J186" s="7" t="n">
        <v>3636000</v>
      </c>
      <c r="K186" s="28" t="n">
        <f>J186-I186</f>
        <v>-0.3168000001460314</v>
      </c>
      <c r="L186" s="2" t="str">
        <v>NHẬP</v>
      </c>
      <c r="M186" s="2" t="str"/>
      <c r="N186" s="2" t="str">
        <v>KHAC</v>
      </c>
    </row>
    <row r="187" ht="25" customHeight="1">
      <c r="A187" s="2" t="str">
        <v>Q199</v>
      </c>
      <c r="B187" s="2" t="str">
        <v>KH034</v>
      </c>
      <c r="C187" s="2" t="str">
        <v>KH034</v>
      </c>
      <c r="D187" s="2" t="str">
        <v>S2-00194-BH</v>
      </c>
      <c r="E187" s="2" t="str">
        <v>BAN_HANG</v>
      </c>
      <c r="F187" s="2" t="str">
        <v>INP6206</v>
      </c>
      <c r="G187" s="2" t="str">
        <v>2026-01-13</v>
      </c>
      <c r="H187" s="2" t="str">
        <v>3420000.4032</v>
      </c>
      <c r="I187" s="28" t="n">
        <v>3420000.4032</v>
      </c>
      <c r="J187" s="7" t="n">
        <v>3420000</v>
      </c>
      <c r="K187" s="28" t="n">
        <f>J187-I187</f>
        <v>-0.4032000000588596</v>
      </c>
      <c r="L187" s="2" t="str">
        <v>NHẬP</v>
      </c>
      <c r="M187" s="2" t="str"/>
      <c r="N187" s="2" t="str">
        <v>KHAC</v>
      </c>
    </row>
    <row r="188" ht="25" customHeight="1">
      <c r="A188" s="2" t="str">
        <v>Q200</v>
      </c>
      <c r="B188" s="2" t="str">
        <v>KH034</v>
      </c>
      <c r="C188" s="2" t="str">
        <v>KH034</v>
      </c>
      <c r="D188" s="2" t="str">
        <v>S2-00200-BH</v>
      </c>
      <c r="E188" s="2" t="str">
        <v>BAN_HANG</v>
      </c>
      <c r="F188" s="2" t="str">
        <v>INP6501</v>
      </c>
      <c r="G188" s="2" t="str">
        <v>2026-01-13</v>
      </c>
      <c r="H188" s="2" t="str">
        <v>10980000.36</v>
      </c>
      <c r="I188" s="28" t="n">
        <v>10980000.36</v>
      </c>
      <c r="J188" s="7" t="n">
        <v>10980000</v>
      </c>
      <c r="K188" s="28" t="n">
        <f>J188-I188</f>
        <v>-0.35999999940395355</v>
      </c>
      <c r="L188" s="2" t="str">
        <v>NHẬP</v>
      </c>
      <c r="M188" s="2" t="str"/>
      <c r="N188" s="2" t="str">
        <v>KHAC</v>
      </c>
    </row>
    <row r="189" ht="25" customHeight="1">
      <c r="A189" s="2" t="str">
        <v>Q201</v>
      </c>
      <c r="B189" s="2" t="str">
        <v>KH034</v>
      </c>
      <c r="C189" s="2" t="str">
        <v>KH034</v>
      </c>
      <c r="D189" s="2" t="str">
        <v>S2-00201-BH</v>
      </c>
      <c r="E189" s="2" t="str">
        <v>BAN_HANG</v>
      </c>
      <c r="F189" s="2" t="str">
        <v>INP6101</v>
      </c>
      <c r="G189" s="2" t="str">
        <v>2026-01-13</v>
      </c>
      <c r="H189" s="2" t="str">
        <v>7799999.976</v>
      </c>
      <c r="I189" s="28" t="n">
        <v>7799999.976</v>
      </c>
      <c r="J189" s="7" t="n">
        <v>7800000</v>
      </c>
      <c r="K189" s="28" t="n">
        <f>J189-I189</f>
        <v>0.024000000208616257</v>
      </c>
      <c r="L189" s="2" t="str">
        <v>NHẬP</v>
      </c>
      <c r="M189" s="2" t="str"/>
      <c r="N189" s="2" t="str">
        <v>KHAC</v>
      </c>
    </row>
    <row r="190" ht="25" customHeight="1">
      <c r="A190" s="2" t="str">
        <v>Q202</v>
      </c>
      <c r="B190" s="2" t="str">
        <v>KH034</v>
      </c>
      <c r="C190" s="2" t="str">
        <v>KH034</v>
      </c>
      <c r="D190" s="2" t="str">
        <v>S2-00201-BH</v>
      </c>
      <c r="E190" s="2" t="str">
        <v>BAN_HANG</v>
      </c>
      <c r="F190" s="2" t="str">
        <v>INP6102</v>
      </c>
      <c r="G190" s="2" t="str">
        <v>2026-01-13</v>
      </c>
      <c r="H190" s="2" t="str">
        <v>6077993.76</v>
      </c>
      <c r="I190" s="28" t="n">
        <v>6077993.76</v>
      </c>
      <c r="J190" s="7" t="n">
        <v>6077994</v>
      </c>
      <c r="K190" s="28" t="n">
        <f>J190-I190</f>
        <v>0.24000000022351742</v>
      </c>
      <c r="L190" s="2" t="str">
        <v>NHẬP</v>
      </c>
      <c r="M190" s="2" t="str"/>
      <c r="N190" s="2" t="str">
        <v>KHAC</v>
      </c>
    </row>
    <row r="191" ht="25" customHeight="1">
      <c r="A191" s="2" t="str">
        <v>Q203</v>
      </c>
      <c r="B191" s="2" t="str">
        <v>KH034</v>
      </c>
      <c r="C191" s="2" t="str">
        <v>KH034</v>
      </c>
      <c r="D191" s="2" t="str">
        <v>S2-00201-BH</v>
      </c>
      <c r="E191" s="2" t="str">
        <v>BAN_HANG</v>
      </c>
      <c r="F191" s="2" t="str">
        <v>INP6103</v>
      </c>
      <c r="G191" s="2" t="str">
        <v>2026-01-13</v>
      </c>
      <c r="H191" s="2" t="str">
        <v>5177999.52</v>
      </c>
      <c r="I191" s="28" t="n">
        <v>5177999.52</v>
      </c>
      <c r="J191" s="7" t="n">
        <v>5178000</v>
      </c>
      <c r="K191" s="28" t="n">
        <f>J191-I191</f>
        <v>0.48000000044703484</v>
      </c>
      <c r="L191" s="2" t="str">
        <v>NHẬP</v>
      </c>
      <c r="M191" s="2" t="str"/>
      <c r="N191" s="2" t="str">
        <v>KHAC</v>
      </c>
    </row>
    <row r="192" ht="25" customHeight="1">
      <c r="A192" s="2" t="str">
        <v>Q204</v>
      </c>
      <c r="B192" s="2" t="str">
        <v>KH034</v>
      </c>
      <c r="C192" s="2" t="str">
        <v>KH034</v>
      </c>
      <c r="D192" s="2" t="str">
        <v>S2-00201-BH</v>
      </c>
      <c r="E192" s="2" t="str">
        <v>BAN_HANG</v>
      </c>
      <c r="F192" s="2" t="str">
        <v>INP6104</v>
      </c>
      <c r="G192" s="2" t="str">
        <v>2026-01-13</v>
      </c>
      <c r="H192" s="2" t="str">
        <v>6527999.952</v>
      </c>
      <c r="I192" s="28" t="n">
        <v>6527999.952</v>
      </c>
      <c r="J192" s="7" t="n">
        <v>6528000</v>
      </c>
      <c r="K192" s="28" t="n">
        <f>J192-I192</f>
        <v>0.04800000041723251</v>
      </c>
      <c r="L192" s="2" t="str">
        <v>NHẬP</v>
      </c>
      <c r="M192" s="2" t="str"/>
      <c r="N192" s="2" t="str">
        <v>KHAC</v>
      </c>
    </row>
    <row r="193" ht="25" customHeight="1">
      <c r="A193" s="2" t="str">
        <v>Q206</v>
      </c>
      <c r="B193" s="2" t="str">
        <v>KH034</v>
      </c>
      <c r="C193" s="2" t="str">
        <v>KH034</v>
      </c>
      <c r="D193" s="2" t="str">
        <v>S2-00206-BH</v>
      </c>
      <c r="E193" s="2" t="str">
        <v>BAN_HANG</v>
      </c>
      <c r="F193" s="2" t="str">
        <v>INP1401</v>
      </c>
      <c r="G193" s="2" t="str">
        <v>2026-01-15</v>
      </c>
      <c r="H193" s="2" t="str">
        <v>26699999.868</v>
      </c>
      <c r="I193" s="28" t="n">
        <v>26699999.868</v>
      </c>
      <c r="J193" s="7" t="n">
        <v>26700000</v>
      </c>
      <c r="K193" s="28" t="n">
        <f>J193-I193</f>
        <v>0.13199999928474426</v>
      </c>
      <c r="L193" s="2" t="str">
        <v>NHẬP</v>
      </c>
      <c r="M193" s="2" t="str"/>
      <c r="N193" s="2" t="str">
        <v>KHAC</v>
      </c>
    </row>
    <row r="194" ht="25" customHeight="1">
      <c r="A194" s="2" t="str">
        <v>Q207</v>
      </c>
      <c r="B194" s="2" t="str">
        <v>KH034</v>
      </c>
      <c r="C194" s="2" t="str">
        <v>KH034</v>
      </c>
      <c r="D194" s="2" t="str">
        <v>S2-00206-BH</v>
      </c>
      <c r="E194" s="2" t="str">
        <v>BAN_HANG</v>
      </c>
      <c r="F194" s="2" t="str">
        <v>INP1402</v>
      </c>
      <c r="G194" s="2" t="str">
        <v>2026-01-15</v>
      </c>
      <c r="H194" s="2" t="str">
        <v>30390000.228</v>
      </c>
      <c r="I194" s="28" t="n">
        <v>30390000.228</v>
      </c>
      <c r="J194" s="7" t="n">
        <v>30390000</v>
      </c>
      <c r="K194" s="28" t="n">
        <f>J194-I194</f>
        <v>-0.2280000001192093</v>
      </c>
      <c r="L194" s="2" t="str">
        <v>NHẬP</v>
      </c>
      <c r="M194" s="2" t="str"/>
      <c r="N194" s="2" t="str">
        <v>KHAC</v>
      </c>
    </row>
    <row r="195" ht="25" customHeight="1">
      <c r="A195" s="2" t="str">
        <v>S208</v>
      </c>
      <c r="B195" s="2" t="str">
        <v>KH034</v>
      </c>
      <c r="C195" s="2" t="str">
        <v>KH034</v>
      </c>
      <c r="D195" s="2" t="str">
        <v>S2-00208-VC</v>
      </c>
      <c r="E195" s="2" t="str">
        <v>PHI_VAN_CHUYEN</v>
      </c>
      <c r="F195" s="2" t="str"/>
      <c r="G195" s="2" t="str">
        <v>2026-01-16</v>
      </c>
      <c r="H195" s="2" t="str">
        <v>300000</v>
      </c>
      <c r="I195" s="28" t="n">
        <v>300000</v>
      </c>
      <c r="J195" s="7" t="n">
        <v>300000</v>
      </c>
      <c r="K195" s="28" t="n">
        <f>J195-I195</f>
        <v>0</v>
      </c>
      <c r="L195" s="2" t="str">
        <v>NHẬP</v>
      </c>
      <c r="M195" s="2" t="str"/>
      <c r="N195" s="2" t="str">
        <v>KHAC</v>
      </c>
    </row>
    <row r="196" ht="25" customHeight="1">
      <c r="A196" s="2" t="str">
        <v>Q209</v>
      </c>
      <c r="B196" s="2" t="str">
        <v>KH034</v>
      </c>
      <c r="C196" s="2" t="str">
        <v>KH034</v>
      </c>
      <c r="D196" s="2" t="str">
        <v>S2-00209-BH</v>
      </c>
      <c r="E196" s="2" t="str">
        <v>BAN_HANG</v>
      </c>
      <c r="F196" s="2" t="str">
        <v>INP6001</v>
      </c>
      <c r="G196" s="2" t="str">
        <v>2026-01-30</v>
      </c>
      <c r="H196" s="2" t="str">
        <v>24599999.808</v>
      </c>
      <c r="I196" s="28" t="n">
        <v>24599999.808</v>
      </c>
      <c r="J196" s="7" t="n">
        <v>24600000</v>
      </c>
      <c r="K196" s="28" t="n">
        <f>J196-I196</f>
        <v>0.19200000166893005</v>
      </c>
      <c r="L196" s="2" t="str">
        <v>NHẬP</v>
      </c>
      <c r="M196" s="2" t="str"/>
      <c r="N196" s="2" t="str">
        <v>KHAC</v>
      </c>
    </row>
    <row r="197" ht="25" customHeight="1">
      <c r="A197" s="2" t="str">
        <v>Q210</v>
      </c>
      <c r="B197" s="2" t="str">
        <v>KH034</v>
      </c>
      <c r="C197" s="2" t="str">
        <v>KH034</v>
      </c>
      <c r="D197" s="2" t="str">
        <v>S2-00209-BH</v>
      </c>
      <c r="E197" s="2" t="str">
        <v>BAN_HANG</v>
      </c>
      <c r="F197" s="2" t="str">
        <v>INP2301</v>
      </c>
      <c r="G197" s="2" t="str">
        <v>2026-01-30</v>
      </c>
      <c r="H197" s="2" t="str">
        <v>8999999.856</v>
      </c>
      <c r="I197" s="28" t="n">
        <v>8999999.856</v>
      </c>
      <c r="J197" s="7" t="n">
        <v>9000000</v>
      </c>
      <c r="K197" s="28" t="n">
        <f>J197-I197</f>
        <v>0.1439999993890524</v>
      </c>
      <c r="L197" s="2" t="str">
        <v>NHẬP</v>
      </c>
      <c r="M197" s="2" t="str"/>
      <c r="N197" s="2" t="str">
        <v>KHAC</v>
      </c>
    </row>
    <row r="198" ht="25" customHeight="1">
      <c r="A198" s="2" t="str">
        <v>Q211</v>
      </c>
      <c r="B198" s="2" t="str">
        <v>KH034</v>
      </c>
      <c r="C198" s="2" t="str">
        <v>KH034</v>
      </c>
      <c r="D198" s="2" t="str">
        <v>S2-00211-BH</v>
      </c>
      <c r="E198" s="2" t="str">
        <v>BAN_HANG</v>
      </c>
      <c r="F198" s="2" t="str">
        <v>INP6701</v>
      </c>
      <c r="G198" s="2" t="str">
        <v>2026-01-30</v>
      </c>
      <c r="H198" s="2" t="str">
        <v>9359999.9712</v>
      </c>
      <c r="I198" s="28" t="n">
        <v>9359999.9712</v>
      </c>
      <c r="J198" s="7" t="n">
        <v>9360000</v>
      </c>
      <c r="K198" s="28" t="n">
        <f>J198-I198</f>
        <v>0.02879999950528145</v>
      </c>
      <c r="L198" s="2" t="str">
        <v>NHẬP</v>
      </c>
      <c r="M198" s="2" t="str"/>
      <c r="N198" s="2" t="str">
        <v>KHAC</v>
      </c>
    </row>
    <row r="199" ht="25" customHeight="1">
      <c r="A199" s="2" t="str">
        <v>Q212</v>
      </c>
      <c r="B199" s="2" t="str">
        <v>KH034</v>
      </c>
      <c r="C199" s="2" t="str">
        <v>KH034</v>
      </c>
      <c r="D199" s="2" t="str">
        <v>S2-00212-BH</v>
      </c>
      <c r="E199" s="2" t="str">
        <v>BAN_HANG</v>
      </c>
      <c r="F199" s="2" t="str">
        <v>INP6002</v>
      </c>
      <c r="G199" s="2" t="str">
        <v>2026-01-30</v>
      </c>
      <c r="H199" s="2" t="str">
        <v>23699999.952</v>
      </c>
      <c r="I199" s="28" t="n">
        <v>23699999.952</v>
      </c>
      <c r="J199" s="7" t="n">
        <v>23700000</v>
      </c>
      <c r="K199" s="28" t="n">
        <f>J199-I199</f>
        <v>0.04800000041723251</v>
      </c>
      <c r="L199" s="2" t="str">
        <v>NHẬP</v>
      </c>
      <c r="M199" s="2" t="str"/>
      <c r="N199" s="2" t="str">
        <v>KHAC</v>
      </c>
    </row>
    <row r="200" ht="25" customHeight="1">
      <c r="A200" s="2" t="str">
        <v>Q213</v>
      </c>
      <c r="B200" s="2" t="str">
        <v>KH034</v>
      </c>
      <c r="C200" s="2" t="str">
        <v>KH034</v>
      </c>
      <c r="D200" s="2" t="str">
        <v>S2-00212-BH</v>
      </c>
      <c r="E200" s="2" t="str">
        <v>BAN_HANG</v>
      </c>
      <c r="F200" s="2" t="str">
        <v>INP1201</v>
      </c>
      <c r="G200" s="2" t="str">
        <v>2026-01-30</v>
      </c>
      <c r="H200" s="2" t="str">
        <v>5027999.9616</v>
      </c>
      <c r="I200" s="28" t="n">
        <v>5027999.9616</v>
      </c>
      <c r="J200" s="7" t="n">
        <v>5028000</v>
      </c>
      <c r="K200" s="28" t="n">
        <f>J200-I200</f>
        <v>0.03839999996125698</v>
      </c>
      <c r="L200" s="2" t="str">
        <v>NHẬP</v>
      </c>
      <c r="M200" s="2" t="str"/>
      <c r="N200" s="2" t="str">
        <v>KHAC</v>
      </c>
    </row>
    <row r="201" ht="25" customHeight="1">
      <c r="A201" s="2" t="str">
        <v>Q214</v>
      </c>
      <c r="B201" s="2" t="str">
        <v>KH034</v>
      </c>
      <c r="C201" s="2" t="str">
        <v>KH034</v>
      </c>
      <c r="D201" s="2" t="str">
        <v>S2-00212-BH</v>
      </c>
      <c r="E201" s="2" t="str">
        <v>BAN_HANG</v>
      </c>
      <c r="F201" s="2" t="str">
        <v>INP1202</v>
      </c>
      <c r="G201" s="2" t="str">
        <v>2026-01-30</v>
      </c>
      <c r="H201" s="2" t="str">
        <v>6119999.9712</v>
      </c>
      <c r="I201" s="28" t="n">
        <v>6119999.9712</v>
      </c>
      <c r="J201" s="7" t="n">
        <v>6120000</v>
      </c>
      <c r="K201" s="28" t="n">
        <f>J201-I201</f>
        <v>0.028800000436604023</v>
      </c>
      <c r="L201" s="2" t="str">
        <v>NHẬP</v>
      </c>
      <c r="M201" s="2" t="str"/>
      <c r="N201" s="2" t="str">
        <v>KHAC</v>
      </c>
    </row>
    <row r="202" ht="25" customHeight="1">
      <c r="A202" s="2" t="str">
        <v>Q215</v>
      </c>
      <c r="B202" s="2" t="str">
        <v>KH034</v>
      </c>
      <c r="C202" s="2" t="str">
        <v>KH034</v>
      </c>
      <c r="D202" s="2" t="str">
        <v>S2-00212-BH</v>
      </c>
      <c r="E202" s="2" t="str">
        <v>BAN_HANG</v>
      </c>
      <c r="F202" s="2" t="str">
        <v>INP1203</v>
      </c>
      <c r="G202" s="2" t="str">
        <v>2026-01-30</v>
      </c>
      <c r="H202" s="2" t="str">
        <v>6383999.9664</v>
      </c>
      <c r="I202" s="28" t="n">
        <v>6383999.9664</v>
      </c>
      <c r="J202" s="7" t="n">
        <v>6384000</v>
      </c>
      <c r="K202" s="28" t="n">
        <f>J202-I202</f>
        <v>0.033599999733269215</v>
      </c>
      <c r="L202" s="2" t="str">
        <v>NHẬP</v>
      </c>
      <c r="M202" s="2" t="str"/>
      <c r="N202" s="2" t="str">
        <v>KHAC</v>
      </c>
    </row>
    <row r="203" ht="25" customHeight="1">
      <c r="A203" s="2" t="str">
        <v>S216</v>
      </c>
      <c r="B203" s="2" t="str">
        <v>KH034</v>
      </c>
      <c r="C203" s="2" t="str">
        <v>KH034</v>
      </c>
      <c r="D203" s="2" t="str">
        <v>S2-00216-VC</v>
      </c>
      <c r="E203" s="2" t="str">
        <v>PHI_VAN_CHUYEN</v>
      </c>
      <c r="F203" s="2" t="str"/>
      <c r="G203" s="2" t="str">
        <v>2026-02-02</v>
      </c>
      <c r="H203" s="2" t="str">
        <v>800000</v>
      </c>
      <c r="I203" s="28" t="n">
        <v>800000</v>
      </c>
      <c r="J203" s="7" t="n">
        <v>800000</v>
      </c>
      <c r="K203" s="28" t="n">
        <f>J203-I203</f>
        <v>0</v>
      </c>
      <c r="L203" s="2" t="str">
        <v>NHẬP</v>
      </c>
      <c r="M203" s="2" t="str"/>
      <c r="N203" s="2" t="str">
        <v>KHAC</v>
      </c>
    </row>
    <row r="204" ht="25" customHeight="1">
      <c r="A204" s="2" t="str">
        <v>Q217</v>
      </c>
      <c r="B204" s="2" t="str">
        <v>KH034</v>
      </c>
      <c r="C204" s="2" t="str">
        <v>KH034</v>
      </c>
      <c r="D204" s="2" t="str">
        <v>S2-00217-TH</v>
      </c>
      <c r="E204" s="2" t="str">
        <v>TRA_HANG</v>
      </c>
      <c r="F204" s="2" t="str">
        <v>INP6101</v>
      </c>
      <c r="G204" s="2" t="str">
        <v>2026-02-10</v>
      </c>
      <c r="H204" s="2" t="str">
        <v>7799999.976</v>
      </c>
      <c r="I204" s="28" t="n">
        <v>7799999.976</v>
      </c>
      <c r="J204" s="7" t="n">
        <v>7800000</v>
      </c>
      <c r="K204" s="28" t="n">
        <f>J204-I204</f>
        <v>0.024000000208616257</v>
      </c>
      <c r="L204" s="2" t="str">
        <v>NHẬP</v>
      </c>
      <c r="M204" s="2" t="str"/>
      <c r="N204" s="2" t="str">
        <v>KHAC</v>
      </c>
    </row>
    <row r="205" ht="25" customHeight="1">
      <c r="A205" s="2" t="str">
        <v>Q218</v>
      </c>
      <c r="B205" s="2" t="str">
        <v>KH034</v>
      </c>
      <c r="C205" s="2" t="str">
        <v>KH034</v>
      </c>
      <c r="D205" s="2" t="str">
        <v>S2-00217-TH</v>
      </c>
      <c r="E205" s="2" t="str">
        <v>TRA_HANG</v>
      </c>
      <c r="F205" s="2" t="str">
        <v>INP6102</v>
      </c>
      <c r="G205" s="2" t="str">
        <v>2026-02-10</v>
      </c>
      <c r="H205" s="2" t="str">
        <v>6077993.76</v>
      </c>
      <c r="I205" s="28" t="n">
        <v>6077993.76</v>
      </c>
      <c r="J205" s="7" t="n">
        <v>6077994</v>
      </c>
      <c r="K205" s="28" t="n">
        <f>J205-I205</f>
        <v>0.24000000022351742</v>
      </c>
      <c r="L205" s="2" t="str">
        <v>NHẬP</v>
      </c>
      <c r="M205" s="2" t="str"/>
      <c r="N205" s="2" t="str">
        <v>KHAC</v>
      </c>
    </row>
    <row r="206" ht="25" customHeight="1">
      <c r="A206" s="2" t="str">
        <v>Q219</v>
      </c>
      <c r="B206" s="2" t="str">
        <v>KH034</v>
      </c>
      <c r="C206" s="2" t="str">
        <v>KH034</v>
      </c>
      <c r="D206" s="2" t="str">
        <v>S2-00217-TH</v>
      </c>
      <c r="E206" s="2" t="str">
        <v>TRA_HANG</v>
      </c>
      <c r="F206" s="2" t="str">
        <v>INP6103</v>
      </c>
      <c r="G206" s="2" t="str">
        <v>2026-02-10</v>
      </c>
      <c r="H206" s="2" t="str">
        <v>5177999.52</v>
      </c>
      <c r="I206" s="28" t="n">
        <v>5177999.52</v>
      </c>
      <c r="J206" s="7" t="n">
        <v>5178000</v>
      </c>
      <c r="K206" s="28" t="n">
        <f>J206-I206</f>
        <v>0.48000000044703484</v>
      </c>
      <c r="L206" s="2" t="str">
        <v>NHẬP</v>
      </c>
      <c r="M206" s="2" t="str"/>
      <c r="N206" s="2" t="str">
        <v>KHAC</v>
      </c>
    </row>
    <row r="207" ht="25" customHeight="1">
      <c r="A207" s="2" t="str">
        <v>Q220</v>
      </c>
      <c r="B207" s="2" t="str">
        <v>KH034</v>
      </c>
      <c r="C207" s="2" t="str">
        <v>KH034</v>
      </c>
      <c r="D207" s="2" t="str">
        <v>S2-00217-TH</v>
      </c>
      <c r="E207" s="2" t="str">
        <v>TRA_HANG</v>
      </c>
      <c r="F207" s="2" t="str">
        <v>INP6104</v>
      </c>
      <c r="G207" s="2" t="str">
        <v>2026-02-10</v>
      </c>
      <c r="H207" s="2" t="str">
        <v>6527999.952</v>
      </c>
      <c r="I207" s="28" t="n">
        <v>6527999.952</v>
      </c>
      <c r="J207" s="7" t="n">
        <v>6528000</v>
      </c>
      <c r="K207" s="28" t="n">
        <f>J207-I207</f>
        <v>0.04800000041723251</v>
      </c>
      <c r="L207" s="2" t="str">
        <v>NHẬP</v>
      </c>
      <c r="M207" s="2" t="str"/>
      <c r="N207" s="2" t="str">
        <v>KHAC</v>
      </c>
    </row>
    <row r="208" ht="25" customHeight="1">
      <c r="A208" s="2" t="str">
        <v>R221</v>
      </c>
      <c r="B208" s="2" t="str">
        <v>KH034</v>
      </c>
      <c r="C208" s="2" t="str">
        <v>KH034</v>
      </c>
      <c r="D208" s="2" t="str">
        <v>S2-00221-TT</v>
      </c>
      <c r="E208" s="2" t="str">
        <v>THU_TIEN</v>
      </c>
      <c r="F208" s="2" t="str"/>
      <c r="G208" s="2" t="str">
        <v>2026-02-11</v>
      </c>
      <c r="H208" s="2" t="str">
        <v>120000000</v>
      </c>
      <c r="I208" s="28" t="n">
        <v>120000000</v>
      </c>
      <c r="J208" s="7" t="n">
        <v>120000000</v>
      </c>
      <c r="K208" s="28" t="n">
        <f>J208-I208</f>
        <v>0</v>
      </c>
      <c r="L208" s="2" t="str">
        <v>NHẬP</v>
      </c>
      <c r="M208" s="2" t="str"/>
      <c r="N208" s="2" t="str">
        <v>KHAC</v>
      </c>
    </row>
    <row r="209" ht="25" customHeight="1">
      <c r="A209" s="2" t="str">
        <v>Q222</v>
      </c>
      <c r="B209" s="2" t="str">
        <v>KH034</v>
      </c>
      <c r="C209" s="2" t="str">
        <v>KH034</v>
      </c>
      <c r="D209" s="2" t="str">
        <v>S2-00222-BH</v>
      </c>
      <c r="E209" s="2" t="str">
        <v>BAN_HANG</v>
      </c>
      <c r="F209" s="2" t="str">
        <v>INP1001</v>
      </c>
      <c r="G209" s="2" t="str">
        <v>2026-02-11</v>
      </c>
      <c r="H209" s="2" t="str">
        <v>10380000.96</v>
      </c>
      <c r="I209" s="28" t="n">
        <v>10380000.96</v>
      </c>
      <c r="J209" s="7" t="n">
        <v>10380001</v>
      </c>
      <c r="K209" s="28" t="n">
        <f>J209-I209</f>
        <v>0.03999999910593033</v>
      </c>
      <c r="L209" s="2" t="str">
        <v>NHẬP</v>
      </c>
      <c r="M209" s="2" t="str"/>
      <c r="N209" s="2" t="str">
        <v>KHAC</v>
      </c>
    </row>
    <row r="210" ht="25" customHeight="1">
      <c r="A210" s="2" t="str">
        <v>Q223</v>
      </c>
      <c r="B210" s="2" t="str">
        <v>KH034</v>
      </c>
      <c r="C210" s="2" t="str">
        <v>KH034</v>
      </c>
      <c r="D210" s="2" t="str">
        <v>S2-00222-BH</v>
      </c>
      <c r="E210" s="2" t="str">
        <v>BAN_HANG</v>
      </c>
      <c r="F210" s="2" t="str">
        <v>INP1003</v>
      </c>
      <c r="G210" s="2" t="str">
        <v>2026-02-11</v>
      </c>
      <c r="H210" s="2" t="str">
        <v>6999999.912</v>
      </c>
      <c r="I210" s="28" t="n">
        <v>6999999.912</v>
      </c>
      <c r="J210" s="7" t="n">
        <v>7000000</v>
      </c>
      <c r="K210" s="28" t="n">
        <f>J210-I210</f>
        <v>0.08800000045448542</v>
      </c>
      <c r="L210" s="2" t="str">
        <v>NHẬP</v>
      </c>
      <c r="M210" s="2" t="str"/>
      <c r="N210" s="2" t="str">
        <v>KHAC</v>
      </c>
    </row>
    <row r="211" ht="25" customHeight="1">
      <c r="A211" s="2" t="str">
        <v>S224</v>
      </c>
      <c r="B211" s="2" t="str">
        <v>KH034</v>
      </c>
      <c r="C211" s="2" t="str">
        <v>KH034</v>
      </c>
      <c r="D211" s="2" t="str">
        <v>S2-00224-VC</v>
      </c>
      <c r="E211" s="2" t="str">
        <v>PHI_VAN_CHUYEN</v>
      </c>
      <c r="F211" s="2" t="str"/>
      <c r="G211" s="2" t="str">
        <v>2026-02-11</v>
      </c>
      <c r="H211" s="2" t="str">
        <v>320000</v>
      </c>
      <c r="I211" s="28" t="n">
        <v>320000</v>
      </c>
      <c r="J211" s="7" t="n">
        <v>320000</v>
      </c>
      <c r="K211" s="28" t="n">
        <f>J211-I211</f>
        <v>0</v>
      </c>
      <c r="L211" s="2" t="str">
        <v>NHẬP</v>
      </c>
      <c r="M211" s="2" t="str"/>
      <c r="N211" s="2" t="str">
        <v>KHAC</v>
      </c>
    </row>
    <row r="212" ht="25" customHeight="1">
      <c r="A212" s="2" t="str">
        <v>R225</v>
      </c>
      <c r="B212" s="2" t="str">
        <v>KH034</v>
      </c>
      <c r="C212" s="2" t="str">
        <v>KH034</v>
      </c>
      <c r="D212" s="2" t="str">
        <v>S2-00225-TT</v>
      </c>
      <c r="E212" s="2" t="str">
        <v>THU_TIEN</v>
      </c>
      <c r="F212" s="2" t="str"/>
      <c r="G212" s="2" t="str"/>
      <c r="H212" s="2" t="str">
        <v>80000000</v>
      </c>
      <c r="I212" s="28" t="n">
        <v>80000000</v>
      </c>
      <c r="J212" s="7" t="n">
        <v>80000000</v>
      </c>
      <c r="K212" s="28" t="n">
        <f>J212-I212</f>
        <v>0</v>
      </c>
      <c r="L212" s="2" t="str">
        <v>NHẬP</v>
      </c>
      <c r="M212" s="2" t="str"/>
      <c r="N212" s="2" t="str">
        <v>KHAC</v>
      </c>
    </row>
    <row r="213" ht="25" customHeight="1">
      <c r="A213" s="2" t="str">
        <v>Q226</v>
      </c>
      <c r="B213" s="2" t="str">
        <v>KH034</v>
      </c>
      <c r="C213" s="2" t="str">
        <v>KH034</v>
      </c>
      <c r="D213" s="2" t="str">
        <v>S2-00226-BH</v>
      </c>
      <c r="E213" s="2" t="str">
        <v>BAN_HANG</v>
      </c>
      <c r="F213" s="2" t="str">
        <v>INP6701</v>
      </c>
      <c r="G213" s="2" t="str">
        <v>2026-03-16</v>
      </c>
      <c r="H213" s="2" t="str">
        <v>21839999.9328</v>
      </c>
      <c r="I213" s="28" t="n">
        <v>21839999.9328</v>
      </c>
      <c r="J213" s="7" t="n">
        <v>21840000</v>
      </c>
      <c r="K213" s="28" t="n">
        <f>J213-I213</f>
        <v>0.06720000132918358</v>
      </c>
      <c r="L213" s="2" t="str">
        <v>NHẬP</v>
      </c>
      <c r="M213" s="2" t="str"/>
      <c r="N213" s="2" t="str">
        <v>KHAC</v>
      </c>
    </row>
    <row r="214" ht="25" customHeight="1">
      <c r="A214" s="2" t="str">
        <v>S227</v>
      </c>
      <c r="B214" s="2" t="str">
        <v>KH034</v>
      </c>
      <c r="C214" s="2" t="str">
        <v>KH034</v>
      </c>
      <c r="D214" s="2" t="str">
        <v>S2-00227-VC</v>
      </c>
      <c r="E214" s="2" t="str">
        <v>PHI_VAN_CHUYEN</v>
      </c>
      <c r="F214" s="2" t="str"/>
      <c r="G214" s="2" t="str">
        <v>2026-03-16</v>
      </c>
      <c r="H214" s="2" t="str">
        <v>360000</v>
      </c>
      <c r="I214" s="28" t="n">
        <v>360000</v>
      </c>
      <c r="J214" s="7" t="n">
        <v>360000</v>
      </c>
      <c r="K214" s="28" t="n">
        <f>J214-I214</f>
        <v>0</v>
      </c>
      <c r="L214" s="2" t="str">
        <v>NHẬP</v>
      </c>
      <c r="M214" s="2" t="str"/>
      <c r="N214" s="2" t="str">
        <v>KHAC</v>
      </c>
    </row>
    <row r="215" ht="25" customHeight="1">
      <c r="A215" s="2" t="str">
        <v>Q228</v>
      </c>
      <c r="B215" s="2" t="str">
        <v>KH034</v>
      </c>
      <c r="C215" s="2" t="str">
        <v>KH034</v>
      </c>
      <c r="D215" s="2" t="str">
        <v>S2-00228-BH</v>
      </c>
      <c r="E215" s="2" t="str">
        <v>BAN_HANG</v>
      </c>
      <c r="F215" s="2" t="str">
        <v>INP6902</v>
      </c>
      <c r="G215" s="2" t="str">
        <v>2026-06-18</v>
      </c>
      <c r="H215" s="2" t="str">
        <v>35199999.792</v>
      </c>
      <c r="I215" s="28" t="n">
        <v>35199999.792</v>
      </c>
      <c r="J215" s="7" t="n">
        <v>35200000</v>
      </c>
      <c r="K215" s="28" t="n">
        <f>J215-I215</f>
        <v>0.20799999684095383</v>
      </c>
      <c r="L215" s="2" t="str">
        <v>NHẬP</v>
      </c>
      <c r="M215" s="2" t="str"/>
      <c r="N215" s="2" t="str">
        <v>KHAC</v>
      </c>
    </row>
    <row r="216" ht="25" customHeight="1">
      <c r="A216" s="2" t="str">
        <v>Q229</v>
      </c>
      <c r="B216" s="2" t="str">
        <v>KH034</v>
      </c>
      <c r="C216" s="2" t="str">
        <v>KH034</v>
      </c>
      <c r="D216" s="2" t="str">
        <v>S2-00228-BH</v>
      </c>
      <c r="E216" s="2" t="str">
        <v>BAN_HANG</v>
      </c>
      <c r="F216" s="2" t="str">
        <v>INP6903</v>
      </c>
      <c r="G216" s="2" t="str">
        <v>2026-06-18</v>
      </c>
      <c r="H216" s="2" t="str">
        <v>19600000.056</v>
      </c>
      <c r="I216" s="28" t="n">
        <v>19600000.056</v>
      </c>
      <c r="J216" s="7" t="n">
        <v>19600000</v>
      </c>
      <c r="K216" s="28" t="n">
        <f>J216-I216</f>
        <v>-0.0560000017285347</v>
      </c>
      <c r="L216" s="2" t="str">
        <v>NHẬP</v>
      </c>
      <c r="M216" s="2" t="str"/>
      <c r="N216" s="2" t="str">
        <v>KHAC</v>
      </c>
    </row>
    <row r="217" ht="25" customHeight="1">
      <c r="A217" s="2" t="str">
        <v>S230</v>
      </c>
      <c r="B217" s="2" t="str">
        <v>KH034</v>
      </c>
      <c r="C217" s="2" t="str">
        <v>KH034</v>
      </c>
      <c r="D217" s="2" t="str">
        <v>S2-00230-VC</v>
      </c>
      <c r="E217" s="2" t="str">
        <v>PHI_VAN_CHUYEN</v>
      </c>
      <c r="F217" s="2" t="str"/>
      <c r="G217" s="2" t="str">
        <v>2026-06-20</v>
      </c>
      <c r="H217" s="2" t="str">
        <v>600000</v>
      </c>
      <c r="I217" s="28" t="n">
        <v>600000</v>
      </c>
      <c r="J217" s="7" t="n">
        <v>600000</v>
      </c>
      <c r="K217" s="28" t="n">
        <f>J217-I217</f>
        <v>0</v>
      </c>
      <c r="L217" s="2" t="str">
        <v>NHẬP</v>
      </c>
      <c r="M217" s="2" t="str"/>
      <c r="N217" s="2" t="str">
        <v>KHAC</v>
      </c>
    </row>
    <row r="218" ht="25" customHeight="1">
      <c r="A218" s="2" t="str">
        <v>R231</v>
      </c>
      <c r="B218" s="2" t="str">
        <v>KH034</v>
      </c>
      <c r="C218" s="2" t="str">
        <v>KH034</v>
      </c>
      <c r="D218" s="2" t="str">
        <v>S2-00231-TT</v>
      </c>
      <c r="E218" s="2" t="str">
        <v>THU_TIEN</v>
      </c>
      <c r="F218" s="2" t="str"/>
      <c r="G218" s="2" t="str">
        <v>2026-06-29</v>
      </c>
      <c r="H218" s="2" t="str">
        <v>50000000</v>
      </c>
      <c r="I218" s="28" t="n">
        <v>50000000</v>
      </c>
      <c r="J218" s="7" t="n">
        <v>50000000</v>
      </c>
      <c r="K218" s="28" t="n">
        <f>J218-I218</f>
        <v>0</v>
      </c>
      <c r="L218" s="2" t="str">
        <v>NHẬP</v>
      </c>
      <c r="M218" s="2" t="str"/>
      <c r="N218" s="2" t="str">
        <v>KHAC</v>
      </c>
    </row>
    <row r="219" ht="25" customHeight="1">
      <c r="A219" s="2" t="str">
        <v>Q232</v>
      </c>
      <c r="B219" s="2" t="str">
        <v>KH034</v>
      </c>
      <c r="C219" s="2" t="str">
        <v>KH034</v>
      </c>
      <c r="D219" s="2" t="str">
        <v>S2-00232-BH</v>
      </c>
      <c r="E219" s="2" t="str">
        <v>BAN_HANG</v>
      </c>
      <c r="F219" s="2" t="str">
        <v>INP6407</v>
      </c>
      <c r="G219" s="2" t="str">
        <v>2026-06-29</v>
      </c>
      <c r="H219" s="2" t="str">
        <v>8999999.9424</v>
      </c>
      <c r="I219" s="28" t="n">
        <v>8999999.9424</v>
      </c>
      <c r="J219" s="7" t="n">
        <v>9000000</v>
      </c>
      <c r="K219" s="28" t="n">
        <f>J219-I219</f>
        <v>0.057600000873208046</v>
      </c>
      <c r="L219" s="2" t="str">
        <v>NHẬP</v>
      </c>
      <c r="M219" s="2" t="str"/>
      <c r="N219" s="2" t="str">
        <v>QUAT</v>
      </c>
    </row>
    <row r="220" ht="25" customHeight="1">
      <c r="A220" s="2" t="str">
        <v>Q233</v>
      </c>
      <c r="B220" s="2" t="str">
        <v>KH034</v>
      </c>
      <c r="C220" s="2" t="str">
        <v>KH034</v>
      </c>
      <c r="D220" s="2" t="str">
        <v>S2-00232-BH</v>
      </c>
      <c r="E220" s="2" t="str">
        <v>BAN_HANG</v>
      </c>
      <c r="F220" s="2" t="str">
        <v>INP6408</v>
      </c>
      <c r="G220" s="2" t="str">
        <v>2026-06-29</v>
      </c>
      <c r="H220" s="2" t="str">
        <v>8000000.208</v>
      </c>
      <c r="I220" s="28" t="n">
        <v>8000000.208</v>
      </c>
      <c r="J220" s="7" t="n">
        <v>8000000</v>
      </c>
      <c r="K220" s="28" t="n">
        <f>J220-I220</f>
        <v>-0.20799999963492155</v>
      </c>
      <c r="L220" s="2" t="str">
        <v>NHẬP</v>
      </c>
      <c r="M220" s="2" t="str"/>
      <c r="N220" s="2" t="str">
        <v>QUAT</v>
      </c>
    </row>
    <row r="221" ht="25" customHeight="1">
      <c r="A221" s="2" t="str">
        <v>Q234</v>
      </c>
      <c r="B221" s="2" t="str">
        <v>KH034</v>
      </c>
      <c r="C221" s="2" t="str">
        <v>KH034</v>
      </c>
      <c r="D221" s="2" t="str">
        <v>S2-00232-BH</v>
      </c>
      <c r="E221" s="2" t="str">
        <v>BAN_HANG</v>
      </c>
      <c r="F221" s="2" t="str">
        <v>INP6409</v>
      </c>
      <c r="G221" s="2" t="str">
        <v>2026-06-29</v>
      </c>
      <c r="H221" s="2" t="str">
        <v>13199999.76</v>
      </c>
      <c r="I221" s="28" t="n">
        <v>13199999.76</v>
      </c>
      <c r="J221" s="7" t="n">
        <v>13200000</v>
      </c>
      <c r="K221" s="28" t="n">
        <f>J221-I221</f>
        <v>0.24000000022351742</v>
      </c>
      <c r="L221" s="2" t="str">
        <v>NHẬP</v>
      </c>
      <c r="M221" s="2" t="str"/>
      <c r="N221" s="2" t="str">
        <v>QUAT</v>
      </c>
    </row>
    <row r="222" ht="25" customHeight="1">
      <c r="A222" s="2" t="str">
        <v>Q235</v>
      </c>
      <c r="B222" s="2" t="str">
        <v>KH034</v>
      </c>
      <c r="C222" s="2" t="str">
        <v>KH034</v>
      </c>
      <c r="D222" s="2" t="str">
        <v>S2-00232-BH</v>
      </c>
      <c r="E222" s="2" t="str">
        <v>BAN_HANG</v>
      </c>
      <c r="F222" s="2" t="str">
        <v>INP6410</v>
      </c>
      <c r="G222" s="2" t="str">
        <v>2026-06-29</v>
      </c>
      <c r="H222" s="2" t="str">
        <v>14999999.904</v>
      </c>
      <c r="I222" s="28" t="n">
        <v>14999999.904</v>
      </c>
      <c r="J222" s="7" t="n">
        <v>15000000</v>
      </c>
      <c r="K222" s="28" t="n">
        <f>J222-I222</f>
        <v>0.09600000083446503</v>
      </c>
      <c r="L222" s="2" t="str">
        <v>NHẬP</v>
      </c>
      <c r="M222" s="2" t="str"/>
      <c r="N222" s="2" t="str">
        <v>QUAT</v>
      </c>
    </row>
    <row r="223" ht="25" customHeight="1">
      <c r="A223" s="2" t="str">
        <v>Q236</v>
      </c>
      <c r="B223" s="2" t="str">
        <v>KH034</v>
      </c>
      <c r="C223" s="2" t="str">
        <v>KH034</v>
      </c>
      <c r="D223" s="2" t="str">
        <v>S2-00232-BH</v>
      </c>
      <c r="E223" s="2" t="str">
        <v>BAN_HANG</v>
      </c>
      <c r="F223" s="2" t="str">
        <v>INP6411</v>
      </c>
      <c r="G223" s="2" t="str">
        <v>2026-06-29</v>
      </c>
      <c r="H223" s="2" t="str">
        <v>18400000.176</v>
      </c>
      <c r="I223" s="28" t="n">
        <v>18400000.176</v>
      </c>
      <c r="J223" s="7" t="n">
        <v>18400000</v>
      </c>
      <c r="K223" s="28" t="n">
        <f>J223-I223</f>
        <v>-0.17599999904632568</v>
      </c>
      <c r="L223" s="2" t="str">
        <v>NHẬP</v>
      </c>
      <c r="M223" s="2" t="str"/>
      <c r="N223" s="2" t="str">
        <v>QUAT</v>
      </c>
    </row>
    <row r="224" ht="25" customHeight="1">
      <c r="A224" s="2" t="str">
        <v>S237</v>
      </c>
      <c r="B224" s="2" t="str">
        <v>KH034</v>
      </c>
      <c r="C224" s="2" t="str">
        <v>KH034</v>
      </c>
      <c r="D224" s="2" t="str">
        <v>S2-00237-VC</v>
      </c>
      <c r="E224" s="2" t="str">
        <v>PHI_VAN_CHUYEN</v>
      </c>
      <c r="F224" s="2" t="str"/>
      <c r="G224" s="2" t="str">
        <v>2026-06-30</v>
      </c>
      <c r="H224" s="2" t="str">
        <v>360000</v>
      </c>
      <c r="I224" s="28" t="n">
        <v>360000</v>
      </c>
      <c r="J224" s="7" t="n">
        <v>360000</v>
      </c>
      <c r="K224" s="28" t="n">
        <f>J224-I224</f>
        <v>0</v>
      </c>
      <c r="L224" s="2" t="str">
        <v>NHẬP</v>
      </c>
      <c r="M224" s="2" t="str"/>
      <c r="N224" s="2" t="str">
        <v>KHAC</v>
      </c>
    </row>
    <row r="225" ht="25" customHeight="1">
      <c r="A225" s="2" t="str">
        <v>Q238</v>
      </c>
      <c r="B225" s="2" t="str">
        <v>KH034</v>
      </c>
      <c r="C225" s="2" t="str">
        <v>KH034</v>
      </c>
      <c r="D225" s="2" t="str">
        <v>S2-00238-BH</v>
      </c>
      <c r="E225" s="2" t="str">
        <v>BAN_HANG</v>
      </c>
      <c r="F225" s="2" t="str">
        <v>INP6902</v>
      </c>
      <c r="G225" s="2" t="str">
        <v>2026-07-10</v>
      </c>
      <c r="H225" s="2" t="str">
        <v>26399999.844</v>
      </c>
      <c r="I225" s="28" t="n">
        <v>26399999.844</v>
      </c>
      <c r="J225" s="7" t="n">
        <v>26400000</v>
      </c>
      <c r="K225" s="28" t="n">
        <f>J225-I225</f>
        <v>0.15599999949336052</v>
      </c>
      <c r="L225" s="2" t="str">
        <v>NHẬP</v>
      </c>
      <c r="M225" s="2" t="str"/>
      <c r="N225" s="2" t="str">
        <v>KHAC</v>
      </c>
    </row>
    <row r="226" ht="25" customHeight="1">
      <c r="A226" s="2" t="str">
        <v>Q239</v>
      </c>
      <c r="B226" s="2" t="str">
        <v>KH034</v>
      </c>
      <c r="C226" s="2" t="str">
        <v>KH034</v>
      </c>
      <c r="D226" s="2" t="str">
        <v>S2-00239-BH</v>
      </c>
      <c r="E226" s="2" t="str">
        <v>BAN_HANG</v>
      </c>
      <c r="F226" s="2" t="str">
        <v>INP6001</v>
      </c>
      <c r="G226" s="2" t="str">
        <v>2026-07-10</v>
      </c>
      <c r="H226" s="2" t="str">
        <v>24599999.808</v>
      </c>
      <c r="I226" s="28" t="n">
        <v>24599999.808</v>
      </c>
      <c r="J226" s="7" t="n">
        <v>24600000</v>
      </c>
      <c r="K226" s="28" t="n">
        <f>J226-I226</f>
        <v>0.19200000166893005</v>
      </c>
      <c r="L226" s="2" t="str">
        <v>NHẬP</v>
      </c>
      <c r="M226" s="2" t="str"/>
      <c r="N226" s="2" t="str">
        <v>KHAC</v>
      </c>
    </row>
    <row r="227" ht="25" customHeight="1">
      <c r="A227" s="2" t="str">
        <v>S240</v>
      </c>
      <c r="B227" s="2" t="str">
        <v>KH034</v>
      </c>
      <c r="C227" s="2" t="str">
        <v>KH034</v>
      </c>
      <c r="D227" s="2" t="str">
        <v>S2-00240-VC</v>
      </c>
      <c r="E227" s="2" t="str">
        <v>PHI_VAN_CHUYEN</v>
      </c>
      <c r="F227" s="2" t="str"/>
      <c r="G227" s="2" t="str">
        <v>2026-07-10</v>
      </c>
      <c r="H227" s="2" t="str">
        <v>600000</v>
      </c>
      <c r="I227" s="28" t="n">
        <v>600000</v>
      </c>
      <c r="J227" s="7" t="n">
        <v>600000</v>
      </c>
      <c r="K227" s="28" t="n">
        <f>J227-I227</f>
        <v>0</v>
      </c>
      <c r="L227" s="2" t="str">
        <v>NHẬP</v>
      </c>
      <c r="M227" s="2" t="str"/>
      <c r="N227" s="2" t="str">
        <v>KHAC</v>
      </c>
    </row>
    <row r="228" ht="25" customHeight="1">
      <c r="A228" s="2" t="str">
        <v>Q241</v>
      </c>
      <c r="B228" s="2" t="str">
        <v>KH034</v>
      </c>
      <c r="C228" s="2" t="str">
        <v>KH034</v>
      </c>
      <c r="D228" s="2" t="str">
        <v>S2-00241-BH</v>
      </c>
      <c r="E228" s="2" t="str">
        <v>BAN_HANG</v>
      </c>
      <c r="F228" s="2" t="str">
        <v>INP6901</v>
      </c>
      <c r="G228" s="2" t="str">
        <v>2026-07-22</v>
      </c>
      <c r="H228" s="2" t="str">
        <v>18599999.976</v>
      </c>
      <c r="I228" s="28" t="n">
        <v>18599999.976</v>
      </c>
      <c r="J228" s="7" t="n">
        <v>18600000</v>
      </c>
      <c r="K228" s="28" t="n">
        <f>J228-I228</f>
        <v>0.024000000208616257</v>
      </c>
      <c r="L228" s="2" t="str">
        <v>NHẬP</v>
      </c>
      <c r="M228" s="2" t="str"/>
      <c r="N228" s="2" t="str">
        <v>KHAC</v>
      </c>
    </row>
    <row r="229" ht="25" customHeight="1">
      <c r="A229" s="2" t="str">
        <v>Q242</v>
      </c>
      <c r="B229" s="2" t="str">
        <v>KH034</v>
      </c>
      <c r="C229" s="2" t="str">
        <v>KH034</v>
      </c>
      <c r="D229" s="2" t="str">
        <v>S2-00242-BH</v>
      </c>
      <c r="E229" s="2" t="str">
        <v>BAN_HANG</v>
      </c>
      <c r="F229" s="2" t="str">
        <v>INP6105</v>
      </c>
      <c r="G229" s="2" t="str">
        <v>2026-07-22</v>
      </c>
      <c r="H229" s="2" t="str">
        <v>13140000.0792</v>
      </c>
      <c r="I229" s="28" t="n">
        <v>13140000.0792</v>
      </c>
      <c r="J229" s="7" t="n">
        <v>13140000</v>
      </c>
      <c r="K229" s="28" t="n">
        <f>J229-I229</f>
        <v>-0.07919999957084656</v>
      </c>
      <c r="L229" s="2" t="str">
        <v>NHẬP</v>
      </c>
      <c r="M229" s="2" t="str"/>
      <c r="N229" s="2" t="str">
        <v>KHAC</v>
      </c>
    </row>
    <row r="230" ht="25" customHeight="1">
      <c r="A230" s="2" t="str">
        <v>Q244</v>
      </c>
      <c r="B230" s="2" t="str">
        <v>KH005</v>
      </c>
      <c r="C230" s="2" t="str">
        <v>KH005</v>
      </c>
      <c r="D230" s="2" t="str">
        <v>S2-00244-BH</v>
      </c>
      <c r="E230" s="2" t="str">
        <v>BAN_HANG</v>
      </c>
      <c r="F230" s="2" t="str">
        <v>INP1001</v>
      </c>
      <c r="G230" s="2" t="str">
        <v>2026-04-09</v>
      </c>
      <c r="H230" s="2" t="str">
        <v>3113999</v>
      </c>
      <c r="I230" s="28" t="n">
        <v>3113999</v>
      </c>
      <c r="J230" s="7" t="n">
        <v>3113999</v>
      </c>
      <c r="K230" s="28" t="n">
        <f>J230-I230</f>
        <v>0</v>
      </c>
      <c r="L230" s="2" t="str">
        <v>NHẬP</v>
      </c>
      <c r="M230" s="2" t="str"/>
      <c r="N230" s="2" t="str">
        <v>KHAC</v>
      </c>
    </row>
    <row r="231" ht="25" customHeight="1">
      <c r="A231" s="2" t="str">
        <v>Q245</v>
      </c>
      <c r="B231" s="2" t="str">
        <v>KH005</v>
      </c>
      <c r="C231" s="2" t="str">
        <v>KH005</v>
      </c>
      <c r="D231" s="2" t="str">
        <v>S2-00244-BH</v>
      </c>
      <c r="E231" s="2" t="str">
        <v>BAN_HANG</v>
      </c>
      <c r="F231" s="2" t="str">
        <v>INP1002</v>
      </c>
      <c r="G231" s="2" t="str">
        <v>2026-04-09</v>
      </c>
      <c r="H231" s="2" t="str">
        <v>4194000</v>
      </c>
      <c r="I231" s="28" t="n">
        <v>4194000</v>
      </c>
      <c r="J231" s="7" t="n">
        <v>4194000</v>
      </c>
      <c r="K231" s="28" t="n">
        <f>J231-I231</f>
        <v>0</v>
      </c>
      <c r="L231" s="2" t="str">
        <v>NHẬP</v>
      </c>
      <c r="M231" s="2" t="str"/>
      <c r="N231" s="2" t="str">
        <v>KHAC</v>
      </c>
    </row>
    <row r="232" ht="25" customHeight="1">
      <c r="A232" s="2" t="str">
        <v>Q246</v>
      </c>
      <c r="B232" s="2" t="str">
        <v>KH005</v>
      </c>
      <c r="C232" s="2" t="str">
        <v>KH005</v>
      </c>
      <c r="D232" s="2" t="str">
        <v>S2-00244-BH</v>
      </c>
      <c r="E232" s="2" t="str">
        <v>BAN_HANG</v>
      </c>
      <c r="F232" s="2" t="str">
        <v>INP1003</v>
      </c>
      <c r="G232" s="2" t="str">
        <v>2026-04-09</v>
      </c>
      <c r="H232" s="2" t="str">
        <v>6999999</v>
      </c>
      <c r="I232" s="28" t="n">
        <v>6999999</v>
      </c>
      <c r="J232" s="7" t="n">
        <v>6999999</v>
      </c>
      <c r="K232" s="28" t="n">
        <f>J232-I232</f>
        <v>0</v>
      </c>
      <c r="L232" s="2" t="str">
        <v>NHẬP</v>
      </c>
      <c r="M232" s="2" t="str"/>
      <c r="N232" s="2" t="str">
        <v>KHAC</v>
      </c>
    </row>
    <row r="233" ht="25" customHeight="1">
      <c r="A233" s="2" t="str">
        <v>Q247</v>
      </c>
      <c r="B233" s="2" t="str">
        <v>KH005</v>
      </c>
      <c r="C233" s="2" t="str">
        <v>KH005</v>
      </c>
      <c r="D233" s="2" t="str">
        <v>S2-00244-BH</v>
      </c>
      <c r="E233" s="2" t="str">
        <v>BAN_HANG</v>
      </c>
      <c r="F233" s="2" t="str">
        <v>INP2002</v>
      </c>
      <c r="G233" s="2" t="str">
        <v>2026-04-09</v>
      </c>
      <c r="H233" s="2" t="str">
        <v>4600000</v>
      </c>
      <c r="I233" s="28" t="n">
        <v>4600000</v>
      </c>
      <c r="J233" s="7" t="n">
        <v>4600000</v>
      </c>
      <c r="K233" s="28" t="n">
        <f>J233-I233</f>
        <v>0</v>
      </c>
      <c r="L233" s="2" t="str">
        <v>NHẬP</v>
      </c>
      <c r="M233" s="2" t="str"/>
      <c r="N233" s="2" t="str">
        <v>KHAC</v>
      </c>
    </row>
    <row r="234" ht="25" customHeight="1">
      <c r="A234" s="2" t="str">
        <v>Q248</v>
      </c>
      <c r="B234" s="2" t="str">
        <v>KH005</v>
      </c>
      <c r="C234" s="2" t="str">
        <v>KH005</v>
      </c>
      <c r="D234" s="2" t="str">
        <v>S2-00244-BH</v>
      </c>
      <c r="E234" s="2" t="str">
        <v>BAN_HANG</v>
      </c>
      <c r="F234" s="2" t="str">
        <v>INP2003</v>
      </c>
      <c r="G234" s="2" t="str">
        <v>2026-04-09</v>
      </c>
      <c r="H234" s="2" t="str">
        <v>5120000</v>
      </c>
      <c r="I234" s="28" t="n">
        <v>5120000</v>
      </c>
      <c r="J234" s="7" t="n">
        <v>5120000</v>
      </c>
      <c r="K234" s="28" t="n">
        <f>J234-I234</f>
        <v>0</v>
      </c>
      <c r="L234" s="2" t="str">
        <v>NHẬP</v>
      </c>
      <c r="M234" s="2" t="str"/>
      <c r="N234" s="2" t="str">
        <v>KHAC</v>
      </c>
    </row>
    <row r="235" ht="25" customHeight="1">
      <c r="A235" s="2" t="str">
        <v>Q249</v>
      </c>
      <c r="B235" s="2" t="str">
        <v>KH005</v>
      </c>
      <c r="C235" s="2" t="str">
        <v>KH005</v>
      </c>
      <c r="D235" s="2" t="str">
        <v>S2-00244-BH</v>
      </c>
      <c r="E235" s="2" t="str">
        <v>BAN_HANG</v>
      </c>
      <c r="F235" s="2" t="str">
        <v>INP2105</v>
      </c>
      <c r="G235" s="2" t="str">
        <v>2026-04-09</v>
      </c>
      <c r="H235" s="2" t="str">
        <v>2600000</v>
      </c>
      <c r="I235" s="28" t="n">
        <v>2600000</v>
      </c>
      <c r="J235" s="7" t="n">
        <v>2600000</v>
      </c>
      <c r="K235" s="28" t="n">
        <f>J235-I235</f>
        <v>0</v>
      </c>
      <c r="L235" s="2" t="str">
        <v>NHẬP</v>
      </c>
      <c r="M235" s="2" t="str"/>
      <c r="N235" s="2" t="str">
        <v>KHAC</v>
      </c>
    </row>
    <row r="236" ht="25" customHeight="1">
      <c r="A236" s="2" t="str">
        <v>Q250</v>
      </c>
      <c r="B236" s="2" t="str">
        <v>KH005</v>
      </c>
      <c r="C236" s="2" t="str">
        <v>KH005</v>
      </c>
      <c r="D236" s="2" t="str">
        <v>S2-00244-BH</v>
      </c>
      <c r="E236" s="2" t="str">
        <v>BAN_HANG</v>
      </c>
      <c r="F236" s="2" t="str">
        <v>INP2106</v>
      </c>
      <c r="G236" s="2" t="str">
        <v>2026-04-09</v>
      </c>
      <c r="H236" s="2" t="str">
        <v>2800000</v>
      </c>
      <c r="I236" s="28" t="n">
        <v>2800000</v>
      </c>
      <c r="J236" s="7" t="n">
        <v>2800000</v>
      </c>
      <c r="K236" s="28" t="n">
        <f>J236-I236</f>
        <v>0</v>
      </c>
      <c r="L236" s="2" t="str">
        <v>NHẬP</v>
      </c>
      <c r="M236" s="2" t="str"/>
      <c r="N236" s="2" t="str">
        <v>KHAC</v>
      </c>
    </row>
    <row r="237" ht="25" customHeight="1">
      <c r="A237" s="2" t="str">
        <v>Q251</v>
      </c>
      <c r="B237" s="2" t="str">
        <v>KH005</v>
      </c>
      <c r="C237" s="2" t="str">
        <v>KH005</v>
      </c>
      <c r="D237" s="2" t="str">
        <v>S2-00244-BH</v>
      </c>
      <c r="E237" s="2" t="str">
        <v>BAN_HANG</v>
      </c>
      <c r="F237" s="2" t="str">
        <v>INP2109</v>
      </c>
      <c r="G237" s="2" t="str">
        <v>2026-04-09</v>
      </c>
      <c r="H237" s="2" t="str">
        <v>2600000</v>
      </c>
      <c r="I237" s="28" t="n">
        <v>2600000</v>
      </c>
      <c r="J237" s="7" t="n">
        <v>2600000</v>
      </c>
      <c r="K237" s="28" t="n">
        <f>J237-I237</f>
        <v>0</v>
      </c>
      <c r="L237" s="2" t="str">
        <v>NHẬP</v>
      </c>
      <c r="M237" s="2" t="str"/>
      <c r="N237" s="2" t="str">
        <v>KHAC</v>
      </c>
    </row>
    <row r="238" ht="25" customHeight="1">
      <c r="A238" s="2" t="str">
        <v>Q252</v>
      </c>
      <c r="B238" s="2" t="str">
        <v>KH005</v>
      </c>
      <c r="C238" s="2" t="str">
        <v>KH005</v>
      </c>
      <c r="D238" s="2" t="str">
        <v>S2-00244-BH</v>
      </c>
      <c r="E238" s="2" t="str">
        <v>BAN_HANG</v>
      </c>
      <c r="F238" s="2" t="str">
        <v>INP2110</v>
      </c>
      <c r="G238" s="2" t="str">
        <v>2026-04-09</v>
      </c>
      <c r="H238" s="2" t="str">
        <v>2800000</v>
      </c>
      <c r="I238" s="28" t="n">
        <v>2800000</v>
      </c>
      <c r="J238" s="7" t="n">
        <v>2800000</v>
      </c>
      <c r="K238" s="28" t="n">
        <f>J238-I238</f>
        <v>0</v>
      </c>
      <c r="L238" s="2" t="str">
        <v>NHẬP</v>
      </c>
      <c r="M238" s="2" t="str"/>
      <c r="N238" s="2" t="str">
        <v>KHAC</v>
      </c>
    </row>
    <row r="239" ht="25" customHeight="1">
      <c r="A239" s="2" t="str">
        <v>Q253</v>
      </c>
      <c r="B239" s="2" t="str">
        <v>KH005</v>
      </c>
      <c r="C239" s="2" t="str">
        <v>KH005</v>
      </c>
      <c r="D239" s="2" t="str">
        <v>S2-00244-BH</v>
      </c>
      <c r="E239" s="2" t="str">
        <v>BAN_HANG</v>
      </c>
      <c r="F239" s="2" t="str">
        <v>INP2111</v>
      </c>
      <c r="G239" s="2" t="str">
        <v>2026-04-09</v>
      </c>
      <c r="H239" s="2" t="str">
        <v>3000000</v>
      </c>
      <c r="I239" s="28" t="n">
        <v>3000000</v>
      </c>
      <c r="J239" s="7" t="n">
        <v>3000000</v>
      </c>
      <c r="K239" s="28" t="n">
        <f>J239-I239</f>
        <v>0</v>
      </c>
      <c r="L239" s="2" t="str">
        <v>NHẬP</v>
      </c>
      <c r="M239" s="2" t="str"/>
      <c r="N239" s="2" t="str">
        <v>KHAC</v>
      </c>
    </row>
    <row r="240" ht="25" customHeight="1">
      <c r="A240" s="2" t="str">
        <v>Q254</v>
      </c>
      <c r="B240" s="2" t="str">
        <v>KH005</v>
      </c>
      <c r="C240" s="2" t="str">
        <v>KH005</v>
      </c>
      <c r="D240" s="2" t="str">
        <v>S2-00244-BH</v>
      </c>
      <c r="E240" s="2" t="str">
        <v>BAN_HANG</v>
      </c>
      <c r="F240" s="2" t="str">
        <v>INP2301</v>
      </c>
      <c r="G240" s="2" t="str">
        <v>2026-04-09</v>
      </c>
      <c r="H240" s="2" t="str">
        <v>9000000</v>
      </c>
      <c r="I240" s="28" t="n">
        <v>9000000</v>
      </c>
      <c r="J240" s="7" t="n">
        <v>9000000</v>
      </c>
      <c r="K240" s="28" t="n">
        <f>J240-I240</f>
        <v>0</v>
      </c>
      <c r="L240" s="2" t="str">
        <v>NHẬP</v>
      </c>
      <c r="M240" s="2" t="str"/>
      <c r="N240" s="2" t="str">
        <v>KHAC</v>
      </c>
    </row>
    <row r="241" ht="25" customHeight="1">
      <c r="A241" s="2" t="str">
        <v>Q255</v>
      </c>
      <c r="B241" s="2" t="str">
        <v>KH005</v>
      </c>
      <c r="C241" s="2" t="str">
        <v>KH005</v>
      </c>
      <c r="D241" s="2" t="str">
        <v>S2-00244-BH</v>
      </c>
      <c r="E241" s="2" t="str">
        <v>BAN_HANG</v>
      </c>
      <c r="F241" s="2" t="str">
        <v>INP6001</v>
      </c>
      <c r="G241" s="2" t="str">
        <v>2026-04-09</v>
      </c>
      <c r="H241" s="2" t="str">
        <v>12300001</v>
      </c>
      <c r="I241" s="28" t="n">
        <v>12300001</v>
      </c>
      <c r="J241" s="7" t="n">
        <v>12300001</v>
      </c>
      <c r="K241" s="28" t="n">
        <f>J241-I241</f>
        <v>0</v>
      </c>
      <c r="L241" s="2" t="str">
        <v>NHẬP</v>
      </c>
      <c r="M241" s="2" t="str"/>
      <c r="N241" s="2" t="str">
        <v>KHAC</v>
      </c>
    </row>
    <row r="242" ht="25" customHeight="1">
      <c r="A242" s="2" t="str">
        <v>Q256</v>
      </c>
      <c r="B242" s="2" t="str">
        <v>KH005</v>
      </c>
      <c r="C242" s="2" t="str">
        <v>KH005</v>
      </c>
      <c r="D242" s="2" t="str">
        <v>S2-00244-BH</v>
      </c>
      <c r="E242" s="2" t="str">
        <v>BAN_HANG</v>
      </c>
      <c r="F242" s="2" t="str">
        <v>INP6003</v>
      </c>
      <c r="G242" s="2" t="str">
        <v>2026-04-09</v>
      </c>
      <c r="H242" s="2" t="str">
        <v>3680000</v>
      </c>
      <c r="I242" s="28" t="n">
        <v>3680000</v>
      </c>
      <c r="J242" s="7" t="n">
        <v>3680000</v>
      </c>
      <c r="K242" s="28" t="n">
        <f>J242-I242</f>
        <v>0</v>
      </c>
      <c r="L242" s="2" t="str">
        <v>NHẬP</v>
      </c>
      <c r="M242" s="2" t="str"/>
      <c r="N242" s="2" t="str">
        <v>KHAC</v>
      </c>
    </row>
    <row r="243" ht="25" customHeight="1">
      <c r="A243" s="2" t="str">
        <v>Q257</v>
      </c>
      <c r="B243" s="2" t="str">
        <v>KH005</v>
      </c>
      <c r="C243" s="2" t="str">
        <v>KH005</v>
      </c>
      <c r="D243" s="2" t="str">
        <v>S2-00244-BH</v>
      </c>
      <c r="E243" s="2" t="str">
        <v>BAN_HANG</v>
      </c>
      <c r="F243" s="2" t="str">
        <v>INP6202</v>
      </c>
      <c r="G243" s="2" t="str">
        <v>2026-04-09</v>
      </c>
      <c r="H243" s="2" t="str">
        <v>10560000</v>
      </c>
      <c r="I243" s="28" t="n">
        <v>10560000</v>
      </c>
      <c r="J243" s="7" t="n">
        <v>10560000</v>
      </c>
      <c r="K243" s="28" t="n">
        <f>J243-I243</f>
        <v>0</v>
      </c>
      <c r="L243" s="2" t="str">
        <v>NHẬP</v>
      </c>
      <c r="M243" s="2" t="str"/>
      <c r="N243" s="2" t="str">
        <v>KHAC</v>
      </c>
    </row>
    <row r="244" ht="25" customHeight="1">
      <c r="A244" s="2" t="str">
        <v>Q258</v>
      </c>
      <c r="B244" s="2" t="str">
        <v>KH005</v>
      </c>
      <c r="C244" s="2" t="str">
        <v>KH005</v>
      </c>
      <c r="D244" s="2" t="str">
        <v>S2-00244-BH</v>
      </c>
      <c r="E244" s="2" t="str">
        <v>BAN_HANG</v>
      </c>
      <c r="F244" s="2" t="str">
        <v>INP6601</v>
      </c>
      <c r="G244" s="2" t="str">
        <v>2026-04-09</v>
      </c>
      <c r="H244" s="2" t="str">
        <v>2600000</v>
      </c>
      <c r="I244" s="28" t="n">
        <v>2600000</v>
      </c>
      <c r="J244" s="7" t="n">
        <v>2600000</v>
      </c>
      <c r="K244" s="28" t="n">
        <f>J244-I244</f>
        <v>0</v>
      </c>
      <c r="L244" s="2" t="str">
        <v>NHẬP</v>
      </c>
      <c r="M244" s="2" t="str"/>
      <c r="N244" s="2" t="str">
        <v>KHAC</v>
      </c>
    </row>
    <row r="245" ht="25" customHeight="1">
      <c r="A245" s="2" t="str">
        <v>Q259</v>
      </c>
      <c r="B245" s="2" t="str">
        <v>KH005</v>
      </c>
      <c r="C245" s="2" t="str">
        <v>KH005</v>
      </c>
      <c r="D245" s="2" t="str">
        <v>S2-00244-BH</v>
      </c>
      <c r="E245" s="2" t="str">
        <v>BAN_HANG</v>
      </c>
      <c r="F245" s="2" t="str">
        <v>INP6602</v>
      </c>
      <c r="G245" s="2" t="str">
        <v>2026-04-09</v>
      </c>
      <c r="H245" s="2" t="str">
        <v>2940000</v>
      </c>
      <c r="I245" s="28" t="n">
        <v>2940000</v>
      </c>
      <c r="J245" s="7" t="n">
        <v>2940000</v>
      </c>
      <c r="K245" s="28" t="n">
        <f>J245-I245</f>
        <v>0</v>
      </c>
      <c r="L245" s="2" t="str">
        <v>NHẬP</v>
      </c>
      <c r="M245" s="2" t="str"/>
      <c r="N245" s="2" t="str">
        <v>KHAC</v>
      </c>
    </row>
    <row r="246" ht="25" customHeight="1">
      <c r="A246" s="2" t="str">
        <v>Q260</v>
      </c>
      <c r="B246" s="2" t="str">
        <v>KH005</v>
      </c>
      <c r="C246" s="2" t="str">
        <v>KH005</v>
      </c>
      <c r="D246" s="2" t="str">
        <v>S2-00244-BH</v>
      </c>
      <c r="E246" s="2" t="str">
        <v>BAN_HANG</v>
      </c>
      <c r="F246" s="2" t="str">
        <v>INP6701</v>
      </c>
      <c r="G246" s="2" t="str">
        <v>2026-04-09</v>
      </c>
      <c r="H246" s="2" t="str">
        <v>6240000</v>
      </c>
      <c r="I246" s="28" t="n">
        <v>6240000</v>
      </c>
      <c r="J246" s="7" t="n">
        <v>6240000</v>
      </c>
      <c r="K246" s="28" t="n">
        <f>J246-I246</f>
        <v>0</v>
      </c>
      <c r="L246" s="2" t="str">
        <v>NHẬP</v>
      </c>
      <c r="M246" s="2" t="str"/>
      <c r="N246" s="2" t="str">
        <v>KHAC</v>
      </c>
    </row>
    <row r="247" ht="25" customHeight="1">
      <c r="A247" s="2" t="str">
        <v>Q261</v>
      </c>
      <c r="B247" s="2" t="str">
        <v>KH005</v>
      </c>
      <c r="C247" s="2" t="str">
        <v>KH005</v>
      </c>
      <c r="D247" s="2" t="str">
        <v>S2-00244-BH</v>
      </c>
      <c r="E247" s="2" t="str">
        <v>BAN_HANG</v>
      </c>
      <c r="F247" s="2" t="str">
        <v>INP1201</v>
      </c>
      <c r="G247" s="2" t="str">
        <v>2026-04-09</v>
      </c>
      <c r="H247" s="2" t="str">
        <v>1676000</v>
      </c>
      <c r="I247" s="28" t="n">
        <v>1676000</v>
      </c>
      <c r="J247" s="7" t="n">
        <v>1676000</v>
      </c>
      <c r="K247" s="28" t="n">
        <f>J247-I247</f>
        <v>0</v>
      </c>
      <c r="L247" s="2" t="str">
        <v>NHẬP</v>
      </c>
      <c r="M247" s="2" t="str"/>
      <c r="N247" s="2" t="str">
        <v>KHAC</v>
      </c>
    </row>
    <row r="248" ht="25" customHeight="1">
      <c r="A248" s="2" t="str">
        <v>Q262</v>
      </c>
      <c r="B248" s="2" t="str">
        <v>KH005</v>
      </c>
      <c r="C248" s="2" t="str">
        <v>KH005</v>
      </c>
      <c r="D248" s="2" t="str">
        <v>S2-00244-BH</v>
      </c>
      <c r="E248" s="2" t="str">
        <v>BAN_HANG</v>
      </c>
      <c r="F248" s="2" t="str">
        <v>INP1202</v>
      </c>
      <c r="G248" s="2" t="str">
        <v>2026-04-09</v>
      </c>
      <c r="H248" s="2" t="str">
        <v>2040000</v>
      </c>
      <c r="I248" s="28" t="n">
        <v>2040000</v>
      </c>
      <c r="J248" s="7" t="n">
        <v>2040000</v>
      </c>
      <c r="K248" s="28" t="n">
        <f>J248-I248</f>
        <v>0</v>
      </c>
      <c r="L248" s="2" t="str">
        <v>NHẬP</v>
      </c>
      <c r="M248" s="2" t="str"/>
      <c r="N248" s="2" t="str">
        <v>KHAC</v>
      </c>
    </row>
    <row r="249" ht="25" customHeight="1">
      <c r="A249" s="2" t="str">
        <v>Q263</v>
      </c>
      <c r="B249" s="2" t="str">
        <v>KH005</v>
      </c>
      <c r="C249" s="2" t="str">
        <v>KH005</v>
      </c>
      <c r="D249" s="2" t="str">
        <v>S2-00244-BH</v>
      </c>
      <c r="E249" s="2" t="str">
        <v>BAN_HANG</v>
      </c>
      <c r="F249" s="2" t="str">
        <v>INP1203</v>
      </c>
      <c r="G249" s="2" t="str">
        <v>2026-04-09</v>
      </c>
      <c r="H249" s="2" t="str">
        <v>2128000</v>
      </c>
      <c r="I249" s="28" t="n">
        <v>2128000</v>
      </c>
      <c r="J249" s="7" t="n">
        <v>2128000</v>
      </c>
      <c r="K249" s="28" t="n">
        <f>J249-I249</f>
        <v>0</v>
      </c>
      <c r="L249" s="2" t="str">
        <v>NHẬP</v>
      </c>
      <c r="M249" s="2" t="str"/>
      <c r="N249" s="2" t="str">
        <v>KHAC</v>
      </c>
    </row>
    <row r="250" ht="25" customHeight="1">
      <c r="A250" s="2" t="str">
        <v>Q264</v>
      </c>
      <c r="B250" s="2" t="str">
        <v>KH005</v>
      </c>
      <c r="C250" s="2" t="str">
        <v>KH005</v>
      </c>
      <c r="D250" s="2" t="str">
        <v>S2-00244-BH</v>
      </c>
      <c r="E250" s="2" t="str">
        <v>BAN_HANG</v>
      </c>
      <c r="F250" s="2" t="str">
        <v>INP6002</v>
      </c>
      <c r="G250" s="2" t="str">
        <v>2026-04-09</v>
      </c>
      <c r="H250" s="2" t="str">
        <v>11850000</v>
      </c>
      <c r="I250" s="28" t="n">
        <v>11850000</v>
      </c>
      <c r="J250" s="7" t="n">
        <v>11850000</v>
      </c>
      <c r="K250" s="28" t="n">
        <f>J250-I250</f>
        <v>0</v>
      </c>
      <c r="L250" s="2" t="str">
        <v>NHẬP</v>
      </c>
      <c r="M250" s="2" t="str"/>
      <c r="N250" s="2" t="str">
        <v>KHAC</v>
      </c>
    </row>
    <row r="251" ht="25" customHeight="1">
      <c r="A251" s="2" t="str">
        <v>S265</v>
      </c>
      <c r="B251" s="2" t="str">
        <v>KH005</v>
      </c>
      <c r="C251" s="2" t="str">
        <v>KH005</v>
      </c>
      <c r="D251" s="2" t="str">
        <v>S2-00265-VC</v>
      </c>
      <c r="E251" s="2" t="str">
        <v>PHI_VAN_CHUYEN</v>
      </c>
      <c r="F251" s="2" t="str"/>
      <c r="G251" s="2" t="str">
        <v>2026-11-04</v>
      </c>
      <c r="H251" s="2" t="str">
        <v>820000</v>
      </c>
      <c r="I251" s="28" t="n">
        <v>820000</v>
      </c>
      <c r="J251" s="7" t="n">
        <v>820000</v>
      </c>
      <c r="K251" s="28" t="n">
        <f>J251-I251</f>
        <v>0</v>
      </c>
      <c r="L251" s="2" t="str">
        <v>NHẬP</v>
      </c>
      <c r="M251" s="2" t="str"/>
      <c r="N251" s="2" t="str">
        <v>KHAC</v>
      </c>
    </row>
    <row r="252" ht="25" customHeight="1">
      <c r="A252" s="2" t="str">
        <v>Q266</v>
      </c>
      <c r="B252" s="2" t="str">
        <v>KH005</v>
      </c>
      <c r="C252" s="2" t="str">
        <v>KH005</v>
      </c>
      <c r="D252" s="2" t="str">
        <v>S2-00266-BH</v>
      </c>
      <c r="E252" s="2" t="str">
        <v>BAN_HANG</v>
      </c>
      <c r="F252" s="2" t="str">
        <v>INP2106</v>
      </c>
      <c r="G252" s="2" t="str">
        <v>15/04/2026</v>
      </c>
      <c r="H252" s="2" t="str">
        <v>5600000</v>
      </c>
      <c r="I252" s="28" t="n">
        <v>5600000</v>
      </c>
      <c r="J252" s="7" t="n">
        <v>5600000</v>
      </c>
      <c r="K252" s="28" t="n">
        <f>J252-I252</f>
        <v>0</v>
      </c>
      <c r="L252" s="2" t="str">
        <v>NHẬP</v>
      </c>
      <c r="M252" s="2" t="str"/>
      <c r="N252" s="2" t="str">
        <v>KHAC</v>
      </c>
    </row>
    <row r="253" ht="25" customHeight="1">
      <c r="A253" s="2" t="str">
        <v>Q267</v>
      </c>
      <c r="B253" s="2" t="str">
        <v>KH005</v>
      </c>
      <c r="C253" s="2" t="str">
        <v>KH005</v>
      </c>
      <c r="D253" s="2" t="str">
        <v>S2-00266-BH</v>
      </c>
      <c r="E253" s="2" t="str">
        <v>BAN_HANG</v>
      </c>
      <c r="F253" s="2" t="str">
        <v>INP2108</v>
      </c>
      <c r="G253" s="2" t="str">
        <v>15/04/2026</v>
      </c>
      <c r="H253" s="2" t="str">
        <v>2450001</v>
      </c>
      <c r="I253" s="28" t="n">
        <v>2450001</v>
      </c>
      <c r="J253" s="7" t="n">
        <v>2450001</v>
      </c>
      <c r="K253" s="28" t="n">
        <f>J253-I253</f>
        <v>0</v>
      </c>
      <c r="L253" s="2" t="str">
        <v>NHẬP</v>
      </c>
      <c r="M253" s="2" t="str"/>
      <c r="N253" s="2" t="str">
        <v>KHAC</v>
      </c>
    </row>
    <row r="254" ht="25" customHeight="1">
      <c r="A254" s="2" t="str">
        <v>Q268</v>
      </c>
      <c r="B254" s="2" t="str">
        <v>KH005</v>
      </c>
      <c r="C254" s="2" t="str">
        <v>KH005</v>
      </c>
      <c r="D254" s="2" t="str">
        <v>S2-00266-BH</v>
      </c>
      <c r="E254" s="2" t="str">
        <v>BAN_HANG</v>
      </c>
      <c r="F254" s="2" t="str">
        <v>INP2109</v>
      </c>
      <c r="G254" s="2" t="str">
        <v>15/04/2026</v>
      </c>
      <c r="H254" s="2" t="str">
        <v>2600000</v>
      </c>
      <c r="I254" s="28" t="n">
        <v>2600000</v>
      </c>
      <c r="J254" s="7" t="n">
        <v>2600000</v>
      </c>
      <c r="K254" s="28" t="n">
        <f>J254-I254</f>
        <v>0</v>
      </c>
      <c r="L254" s="2" t="str">
        <v>NHẬP</v>
      </c>
      <c r="M254" s="2" t="str"/>
      <c r="N254" s="2" t="str">
        <v>KHAC</v>
      </c>
    </row>
    <row r="255" ht="25" customHeight="1">
      <c r="A255" s="2" t="str">
        <v>Q269</v>
      </c>
      <c r="B255" s="2" t="str">
        <v>KH005</v>
      </c>
      <c r="C255" s="2" t="str">
        <v>KH005</v>
      </c>
      <c r="D255" s="2" t="str">
        <v>S2-00266-BH</v>
      </c>
      <c r="E255" s="2" t="str">
        <v>BAN_HANG</v>
      </c>
      <c r="F255" s="2" t="str">
        <v>INP2110</v>
      </c>
      <c r="G255" s="2" t="str">
        <v>15/04/2026</v>
      </c>
      <c r="H255" s="2" t="str">
        <v>5600000</v>
      </c>
      <c r="I255" s="28" t="n">
        <v>5600000</v>
      </c>
      <c r="J255" s="7" t="n">
        <v>5600000</v>
      </c>
      <c r="K255" s="28" t="n">
        <f>J255-I255</f>
        <v>0</v>
      </c>
      <c r="L255" s="2" t="str">
        <v>NHẬP</v>
      </c>
      <c r="M255" s="2" t="str"/>
      <c r="N255" s="2" t="str">
        <v>KHAC</v>
      </c>
    </row>
    <row r="256" ht="25" customHeight="1">
      <c r="A256" s="2" t="str">
        <v>Q270</v>
      </c>
      <c r="B256" s="2" t="str">
        <v>KH005</v>
      </c>
      <c r="C256" s="2" t="str">
        <v>KH005</v>
      </c>
      <c r="D256" s="2" t="str">
        <v>S2-00266-BH</v>
      </c>
      <c r="E256" s="2" t="str">
        <v>BAN_HANG</v>
      </c>
      <c r="F256" s="2" t="str">
        <v>INP2111</v>
      </c>
      <c r="G256" s="2" t="str">
        <v>15/04/2026</v>
      </c>
      <c r="H256" s="2" t="str">
        <v>6000000</v>
      </c>
      <c r="I256" s="28" t="n">
        <v>6000000</v>
      </c>
      <c r="J256" s="7" t="n">
        <v>6000000</v>
      </c>
      <c r="K256" s="28" t="n">
        <f>J256-I256</f>
        <v>0</v>
      </c>
      <c r="L256" s="2" t="str">
        <v>NHẬP</v>
      </c>
      <c r="M256" s="2" t="str"/>
      <c r="N256" s="2" t="str">
        <v>KHAC</v>
      </c>
    </row>
    <row r="257" ht="25" customHeight="1">
      <c r="A257" s="2" t="str">
        <v>Q271</v>
      </c>
      <c r="B257" s="2" t="str">
        <v>KH005</v>
      </c>
      <c r="C257" s="2" t="str">
        <v>KH005</v>
      </c>
      <c r="D257" s="2" t="str">
        <v>S2-00266-BH</v>
      </c>
      <c r="E257" s="2" t="str">
        <v>BAN_HANG</v>
      </c>
      <c r="F257" s="2" t="str">
        <v>INP2101</v>
      </c>
      <c r="G257" s="2" t="str">
        <v>15/04/2026</v>
      </c>
      <c r="H257" s="2" t="str">
        <v>2530000</v>
      </c>
      <c r="I257" s="28" t="n">
        <v>2530000</v>
      </c>
      <c r="J257" s="7" t="n">
        <v>2530000</v>
      </c>
      <c r="K257" s="28" t="n">
        <f>J257-I257</f>
        <v>0</v>
      </c>
      <c r="L257" s="2" t="str">
        <v>NHẬP</v>
      </c>
      <c r="M257" s="2" t="str"/>
      <c r="N257" s="2" t="str">
        <v>KHAC</v>
      </c>
    </row>
    <row r="258" ht="25" customHeight="1">
      <c r="A258" s="2" t="str">
        <v>Q272</v>
      </c>
      <c r="B258" s="2" t="str">
        <v>KH005</v>
      </c>
      <c r="C258" s="2" t="str">
        <v>KH005</v>
      </c>
      <c r="D258" s="2" t="str">
        <v>S2-00266-BH</v>
      </c>
      <c r="E258" s="2" t="str">
        <v>BAN_HANG</v>
      </c>
      <c r="F258" s="2" t="str">
        <v>INP2102</v>
      </c>
      <c r="G258" s="2" t="str">
        <v>15/04/2026</v>
      </c>
      <c r="H258" s="2" t="str">
        <v>2770000</v>
      </c>
      <c r="I258" s="28" t="n">
        <v>2770000</v>
      </c>
      <c r="J258" s="7" t="n">
        <v>2770000</v>
      </c>
      <c r="K258" s="28" t="n">
        <f>J258-I258</f>
        <v>0</v>
      </c>
      <c r="L258" s="2" t="str">
        <v>NHẬP</v>
      </c>
      <c r="M258" s="2" t="str"/>
      <c r="N258" s="2" t="str">
        <v>KHAC</v>
      </c>
    </row>
    <row r="259" ht="25" customHeight="1">
      <c r="A259" s="2" t="str">
        <v>Q273</v>
      </c>
      <c r="B259" s="2" t="str">
        <v>KH005</v>
      </c>
      <c r="C259" s="2" t="str">
        <v>KH005</v>
      </c>
      <c r="D259" s="2" t="str">
        <v>S2-00266-BH</v>
      </c>
      <c r="E259" s="2" t="str">
        <v>BAN_HANG</v>
      </c>
      <c r="F259" s="2" t="str">
        <v>INP2103</v>
      </c>
      <c r="G259" s="2" t="str">
        <v>15/04/2026</v>
      </c>
      <c r="H259" s="2" t="str">
        <v>9120000</v>
      </c>
      <c r="I259" s="28" t="n">
        <v>9120000</v>
      </c>
      <c r="J259" s="7" t="n">
        <v>9120000</v>
      </c>
      <c r="K259" s="28" t="n">
        <f>J259-I259</f>
        <v>0</v>
      </c>
      <c r="L259" s="2" t="str">
        <v>NHẬP</v>
      </c>
      <c r="M259" s="2" t="str"/>
      <c r="N259" s="2" t="str">
        <v>KHAC</v>
      </c>
    </row>
    <row r="260" ht="25" customHeight="1">
      <c r="A260" s="2" t="str">
        <v>Q274</v>
      </c>
      <c r="B260" s="2" t="str">
        <v>KH005</v>
      </c>
      <c r="C260" s="2" t="str">
        <v>KH005</v>
      </c>
      <c r="D260" s="2" t="str">
        <v>S2-00266-BH</v>
      </c>
      <c r="E260" s="2" t="str">
        <v>BAN_HANG</v>
      </c>
      <c r="F260" s="2" t="str">
        <v>INP1001</v>
      </c>
      <c r="G260" s="2" t="str">
        <v>15/04/2026</v>
      </c>
      <c r="H260" s="2" t="str">
        <v>5190000</v>
      </c>
      <c r="I260" s="28" t="n">
        <v>5190000</v>
      </c>
      <c r="J260" s="7" t="n">
        <v>5190000</v>
      </c>
      <c r="K260" s="28" t="n">
        <f>J260-I260</f>
        <v>0</v>
      </c>
      <c r="L260" s="2" t="str">
        <v>NHẬP</v>
      </c>
      <c r="M260" s="2" t="str"/>
      <c r="N260" s="2" t="str">
        <v>KHAC</v>
      </c>
    </row>
    <row r="261" ht="25" customHeight="1">
      <c r="A261" s="2" t="str">
        <v>Q275</v>
      </c>
      <c r="B261" s="2" t="str">
        <v>KH005</v>
      </c>
      <c r="C261" s="2" t="str">
        <v>KH005</v>
      </c>
      <c r="D261" s="2" t="str">
        <v>S2-00266-BH</v>
      </c>
      <c r="E261" s="2" t="str">
        <v>BAN_HANG</v>
      </c>
      <c r="F261" s="2" t="str">
        <v>INP1002</v>
      </c>
      <c r="G261" s="2" t="str">
        <v>15/04/2026</v>
      </c>
      <c r="H261" s="2" t="str">
        <v>6990000</v>
      </c>
      <c r="I261" s="28" t="n">
        <v>6990000</v>
      </c>
      <c r="J261" s="7" t="n">
        <v>6990000</v>
      </c>
      <c r="K261" s="28" t="n">
        <f>J261-I261</f>
        <v>0</v>
      </c>
      <c r="L261" s="2" t="str">
        <v>NHẬP</v>
      </c>
      <c r="M261" s="2" t="str"/>
      <c r="N261" s="2" t="str">
        <v>KHAC</v>
      </c>
    </row>
    <row r="262" ht="25" customHeight="1">
      <c r="A262" s="2" t="str">
        <v>Q276</v>
      </c>
      <c r="B262" s="2" t="str">
        <v>KH005</v>
      </c>
      <c r="C262" s="2" t="str">
        <v>KH005</v>
      </c>
      <c r="D262" s="2" t="str">
        <v>S2-00276-BH</v>
      </c>
      <c r="E262" s="2" t="str">
        <v>BAN_HANG</v>
      </c>
      <c r="F262" s="2" t="str">
        <v>INP2109</v>
      </c>
      <c r="G262" s="2" t="str">
        <v>15/04/2026</v>
      </c>
      <c r="H262" s="2" t="str">
        <v>260000</v>
      </c>
      <c r="I262" s="28" t="n">
        <v>260000</v>
      </c>
      <c r="J262" s="7" t="n">
        <v>260000</v>
      </c>
      <c r="K262" s="28" t="n">
        <f>J262-I262</f>
        <v>0</v>
      </c>
      <c r="L262" s="2" t="str">
        <v>NHẬP</v>
      </c>
      <c r="M262" s="2" t="str"/>
      <c r="N262" s="2" t="str">
        <v>KHAC</v>
      </c>
    </row>
    <row r="263" ht="25" customHeight="1">
      <c r="A263" s="2" t="str">
        <v>Q277</v>
      </c>
      <c r="B263" s="2" t="str">
        <v>KH005</v>
      </c>
      <c r="C263" s="2" t="str">
        <v>KH005</v>
      </c>
      <c r="D263" s="2" t="str">
        <v>S2-00276-BH</v>
      </c>
      <c r="E263" s="2" t="str">
        <v>BAN_HANG</v>
      </c>
      <c r="F263" s="2" t="str">
        <v>INP2106</v>
      </c>
      <c r="G263" s="2" t="str">
        <v>15/04/2026</v>
      </c>
      <c r="H263" s="2" t="str">
        <v>280000</v>
      </c>
      <c r="I263" s="28" t="n">
        <v>280000</v>
      </c>
      <c r="J263" s="7" t="n">
        <v>280000</v>
      </c>
      <c r="K263" s="28" t="n">
        <f>J263-I263</f>
        <v>0</v>
      </c>
      <c r="L263" s="2" t="str">
        <v>NHẬP</v>
      </c>
      <c r="M263" s="2" t="str"/>
      <c r="N263" s="2" t="str">
        <v>KHAC</v>
      </c>
    </row>
    <row r="264" ht="25" customHeight="1">
      <c r="A264" s="2" t="str">
        <v>Q278</v>
      </c>
      <c r="B264" s="2" t="str">
        <v>KH005</v>
      </c>
      <c r="C264" s="2" t="str">
        <v>KH005</v>
      </c>
      <c r="D264" s="2" t="str">
        <v>S2-00276-BH</v>
      </c>
      <c r="E264" s="2" t="str">
        <v>BAN_HANG</v>
      </c>
      <c r="F264" s="2" t="str">
        <v>INP2111</v>
      </c>
      <c r="G264" s="2" t="str">
        <v>15/04/2026</v>
      </c>
      <c r="H264" s="2" t="str">
        <v>300000</v>
      </c>
      <c r="I264" s="28" t="n">
        <v>300000</v>
      </c>
      <c r="J264" s="7" t="n">
        <v>300000</v>
      </c>
      <c r="K264" s="28" t="n">
        <f>J264-I264</f>
        <v>0</v>
      </c>
      <c r="L264" s="2" t="str">
        <v>NHẬP</v>
      </c>
      <c r="M264" s="2" t="str"/>
      <c r="N264" s="2" t="str">
        <v>KHAC</v>
      </c>
    </row>
    <row r="265" ht="25" customHeight="1">
      <c r="A265" s="2" t="str">
        <v>S279</v>
      </c>
      <c r="B265" s="2" t="str">
        <v>KH005</v>
      </c>
      <c r="C265" s="2" t="str">
        <v>KH005</v>
      </c>
      <c r="D265" s="2" t="str">
        <v>S2-00279-VC</v>
      </c>
      <c r="E265" s="2" t="str">
        <v>PHI_VAN_CHUYEN</v>
      </c>
      <c r="F265" s="2" t="str"/>
      <c r="G265" s="2" t="str">
        <v>16/04/2026</v>
      </c>
      <c r="H265" s="2" t="str">
        <v>460000</v>
      </c>
      <c r="I265" s="28" t="n">
        <v>460000</v>
      </c>
      <c r="J265" s="7" t="n">
        <v>460000</v>
      </c>
      <c r="K265" s="28" t="n">
        <f>J265-I265</f>
        <v>0</v>
      </c>
      <c r="L265" s="2" t="str">
        <v>NHẬP</v>
      </c>
      <c r="M265" s="2" t="str"/>
      <c r="N265" s="2" t="str">
        <v>KHAC</v>
      </c>
    </row>
    <row r="266" ht="25" customHeight="1">
      <c r="A266" s="2" t="str">
        <v>Q280</v>
      </c>
      <c r="B266" s="2" t="str">
        <v>KH005</v>
      </c>
      <c r="C266" s="2" t="str">
        <v>KH005</v>
      </c>
      <c r="D266" s="2" t="str">
        <v>S2-00280-TH</v>
      </c>
      <c r="E266" s="2" t="str">
        <v>TRA_HANG</v>
      </c>
      <c r="F266" s="2" t="str">
        <v>INP6601</v>
      </c>
      <c r="G266" s="2" t="str">
        <v>20/05/2026</v>
      </c>
      <c r="H266" s="2" t="str">
        <v>2600000</v>
      </c>
      <c r="I266" s="28" t="n">
        <v>2600000</v>
      </c>
      <c r="J266" s="7" t="n">
        <v>2600000</v>
      </c>
      <c r="K266" s="28" t="n">
        <f>J266-I266</f>
        <v>0</v>
      </c>
      <c r="L266" s="2" t="str">
        <v>NHẬP</v>
      </c>
      <c r="M266" s="2" t="str"/>
      <c r="N266" s="2" t="str">
        <v>KHAC</v>
      </c>
    </row>
    <row r="267" ht="25" customHeight="1">
      <c r="A267" s="2" t="str">
        <v>Q281</v>
      </c>
      <c r="B267" s="2" t="str">
        <v>KH005</v>
      </c>
      <c r="C267" s="2" t="str">
        <v>KH005</v>
      </c>
      <c r="D267" s="2" t="str">
        <v>S2-00280-TH</v>
      </c>
      <c r="E267" s="2" t="str">
        <v>TRA_HANG</v>
      </c>
      <c r="F267" s="2" t="str">
        <v>INP6602</v>
      </c>
      <c r="G267" s="2" t="str">
        <v>20/05/2026</v>
      </c>
      <c r="H267" s="2" t="str">
        <v>2940000</v>
      </c>
      <c r="I267" s="28" t="n">
        <v>2940000</v>
      </c>
      <c r="J267" s="7" t="n">
        <v>2940000</v>
      </c>
      <c r="K267" s="28" t="n">
        <f>J267-I267</f>
        <v>0</v>
      </c>
      <c r="L267" s="2" t="str">
        <v>NHẬP</v>
      </c>
      <c r="M267" s="2" t="str"/>
      <c r="N267" s="2" t="str">
        <v>KHAC</v>
      </c>
    </row>
    <row r="268" ht="25" customHeight="1">
      <c r="A268" s="2" t="str">
        <v>Q282</v>
      </c>
      <c r="B268" s="2" t="str">
        <v>KH005</v>
      </c>
      <c r="C268" s="2" t="str">
        <v>KH005</v>
      </c>
      <c r="D268" s="2" t="str">
        <v>S2-00280-TH</v>
      </c>
      <c r="E268" s="2" t="str">
        <v>TRA_HANG</v>
      </c>
      <c r="F268" s="2" t="str">
        <v>INP6001</v>
      </c>
      <c r="G268" s="2" t="str">
        <v>20/05/2026</v>
      </c>
      <c r="H268" s="2" t="str">
        <v>11070001</v>
      </c>
      <c r="I268" s="28" t="n">
        <v>11070001</v>
      </c>
      <c r="J268" s="7" t="n">
        <v>11070001</v>
      </c>
      <c r="K268" s="28" t="n">
        <f>J268-I268</f>
        <v>0</v>
      </c>
      <c r="L268" s="2" t="str">
        <v>NHẬP</v>
      </c>
      <c r="M268" s="2" t="str"/>
      <c r="N268" s="2" t="str">
        <v>KHAC</v>
      </c>
    </row>
    <row r="269" ht="25" customHeight="1">
      <c r="A269" s="2" t="str">
        <v>Q283</v>
      </c>
      <c r="B269" s="2" t="str">
        <v>KH005</v>
      </c>
      <c r="C269" s="2" t="str">
        <v>KH005</v>
      </c>
      <c r="D269" s="2" t="str">
        <v>S2-00280-TH</v>
      </c>
      <c r="E269" s="2" t="str">
        <v>TRA_HANG</v>
      </c>
      <c r="F269" s="2" t="str">
        <v>INP6002</v>
      </c>
      <c r="G269" s="2" t="str">
        <v>20/05/2026</v>
      </c>
      <c r="H269" s="2" t="str">
        <v>11850000</v>
      </c>
      <c r="I269" s="28" t="n">
        <v>11850000</v>
      </c>
      <c r="J269" s="7" t="n">
        <v>11850000</v>
      </c>
      <c r="K269" s="28" t="n">
        <f>J269-I269</f>
        <v>0</v>
      </c>
      <c r="L269" s="2" t="str">
        <v>NHẬP</v>
      </c>
      <c r="M269" s="2" t="str"/>
      <c r="N269" s="2" t="str">
        <v>KHAC</v>
      </c>
    </row>
    <row r="270" ht="25" customHeight="1">
      <c r="A270" s="2" t="str">
        <v>Q284</v>
      </c>
      <c r="B270" s="2" t="str">
        <v>KH005</v>
      </c>
      <c r="C270" s="2" t="str">
        <v>KH005</v>
      </c>
      <c r="D270" s="2" t="str">
        <v>S2-00280-TH</v>
      </c>
      <c r="E270" s="2" t="str">
        <v>TRA_HANG</v>
      </c>
      <c r="F270" s="2" t="str">
        <v>INP6003</v>
      </c>
      <c r="G270" s="2" t="str">
        <v>20/05/2026</v>
      </c>
      <c r="H270" s="2" t="str">
        <v>2760000</v>
      </c>
      <c r="I270" s="28" t="n">
        <v>2760000</v>
      </c>
      <c r="J270" s="7" t="n">
        <v>2760000</v>
      </c>
      <c r="K270" s="28" t="n">
        <f>J270-I270</f>
        <v>0</v>
      </c>
      <c r="L270" s="2" t="str">
        <v>NHẬP</v>
      </c>
      <c r="M270" s="2" t="str"/>
      <c r="N270" s="2" t="str">
        <v>KHAC</v>
      </c>
    </row>
    <row r="271" ht="25" customHeight="1">
      <c r="A271" s="2" t="str">
        <v>Q285</v>
      </c>
      <c r="B271" s="2" t="str">
        <v>KH005</v>
      </c>
      <c r="C271" s="2" t="str">
        <v>KH005</v>
      </c>
      <c r="D271" s="2" t="str">
        <v>S2-00280-TH</v>
      </c>
      <c r="E271" s="2" t="str">
        <v>TRA_HANG</v>
      </c>
      <c r="F271" s="2" t="str">
        <v>INP6202</v>
      </c>
      <c r="G271" s="2" t="str">
        <v>20/05/2026</v>
      </c>
      <c r="H271" s="2" t="str">
        <v>10208000</v>
      </c>
      <c r="I271" s="28" t="n">
        <v>10208000</v>
      </c>
      <c r="J271" s="7" t="n">
        <v>10208000</v>
      </c>
      <c r="K271" s="28" t="n">
        <f>J271-I271</f>
        <v>0</v>
      </c>
      <c r="L271" s="2" t="str">
        <v>NHẬP</v>
      </c>
      <c r="M271" s="2" t="str"/>
      <c r="N271" s="2" t="str">
        <v>KHAC</v>
      </c>
    </row>
    <row r="272" ht="25" customHeight="1">
      <c r="A272" s="2" t="str">
        <v>Q286</v>
      </c>
      <c r="B272" s="2" t="str">
        <v>KH005</v>
      </c>
      <c r="C272" s="2" t="str">
        <v>KH005</v>
      </c>
      <c r="D272" s="2" t="str">
        <v>S2-00286-BH</v>
      </c>
      <c r="E272" s="2" t="str">
        <v>BAN_HANG</v>
      </c>
      <c r="F272" s="2" t="str">
        <v>INP6701</v>
      </c>
      <c r="G272" s="2" t="str">
        <v>20/05/2026</v>
      </c>
      <c r="H272" s="2" t="str">
        <v>3900000</v>
      </c>
      <c r="I272" s="28" t="n">
        <v>3900000</v>
      </c>
      <c r="J272" s="7" t="n">
        <v>3900000</v>
      </c>
      <c r="K272" s="28" t="n">
        <f>J272-I272</f>
        <v>0</v>
      </c>
      <c r="L272" s="2" t="str">
        <v>NHẬP</v>
      </c>
      <c r="M272" s="2" t="str"/>
      <c r="N272" s="2" t="str">
        <v>KHAC</v>
      </c>
    </row>
    <row r="273" ht="25" customHeight="1">
      <c r="A273" s="2" t="str">
        <v>Q287</v>
      </c>
      <c r="B273" s="2" t="str">
        <v>KH005</v>
      </c>
      <c r="C273" s="2" t="str">
        <v>KH005</v>
      </c>
      <c r="D273" s="2" t="str">
        <v>S2-00286-BH</v>
      </c>
      <c r="E273" s="2" t="str">
        <v>BAN_HANG</v>
      </c>
      <c r="F273" s="2" t="str">
        <v>INP2109</v>
      </c>
      <c r="G273" s="2" t="str">
        <v>20/05/2026</v>
      </c>
      <c r="H273" s="2" t="str">
        <v>1300000</v>
      </c>
      <c r="I273" s="28" t="n">
        <v>1300000</v>
      </c>
      <c r="J273" s="7" t="n">
        <v>1300000</v>
      </c>
      <c r="K273" s="28" t="n">
        <f>J273-I273</f>
        <v>0</v>
      </c>
      <c r="L273" s="2" t="str">
        <v>NHẬP</v>
      </c>
      <c r="M273" s="2" t="str"/>
      <c r="N273" s="2" t="str">
        <v>KHAC</v>
      </c>
    </row>
    <row r="274" ht="25" customHeight="1">
      <c r="A274" s="2" t="str">
        <v>Q288</v>
      </c>
      <c r="B274" s="2" t="str">
        <v>KH005</v>
      </c>
      <c r="C274" s="2" t="str">
        <v>KH005</v>
      </c>
      <c r="D274" s="2" t="str">
        <v>S2-00286-BH</v>
      </c>
      <c r="E274" s="2" t="str">
        <v>BAN_HANG</v>
      </c>
      <c r="F274" s="2" t="str">
        <v>INP2110</v>
      </c>
      <c r="G274" s="2" t="str">
        <v>20/05/2026</v>
      </c>
      <c r="H274" s="2" t="str">
        <v>1400000</v>
      </c>
      <c r="I274" s="28" t="n">
        <v>1400000</v>
      </c>
      <c r="J274" s="7" t="n">
        <v>1400000</v>
      </c>
      <c r="K274" s="28" t="n">
        <f>J274-I274</f>
        <v>0</v>
      </c>
      <c r="L274" s="2" t="str">
        <v>NHẬP</v>
      </c>
      <c r="M274" s="2" t="str"/>
      <c r="N274" s="2" t="str">
        <v>KHAC</v>
      </c>
    </row>
    <row r="275" ht="25" customHeight="1">
      <c r="A275" s="2" t="str">
        <v>Q289</v>
      </c>
      <c r="B275" s="2" t="str">
        <v>KH005</v>
      </c>
      <c r="C275" s="2" t="str">
        <v>KH005</v>
      </c>
      <c r="D275" s="2" t="str">
        <v>S2-00286-BH</v>
      </c>
      <c r="E275" s="2" t="str">
        <v>BAN_HANG</v>
      </c>
      <c r="F275" s="2" t="str">
        <v>INP2111</v>
      </c>
      <c r="G275" s="2" t="str">
        <v>20/05/2026</v>
      </c>
      <c r="H275" s="2" t="str">
        <v>1500000</v>
      </c>
      <c r="I275" s="28" t="n">
        <v>1500000</v>
      </c>
      <c r="J275" s="7" t="n">
        <v>1500000</v>
      </c>
      <c r="K275" s="28" t="n">
        <f>J275-I275</f>
        <v>0</v>
      </c>
      <c r="L275" s="2" t="str">
        <v>NHẬP</v>
      </c>
      <c r="M275" s="2" t="str"/>
      <c r="N275" s="2" t="str">
        <v>KHAC</v>
      </c>
    </row>
    <row r="276" ht="25" customHeight="1">
      <c r="A276" s="2" t="str">
        <v>Q290</v>
      </c>
      <c r="B276" s="2" t="str">
        <v>KH005</v>
      </c>
      <c r="C276" s="2" t="str">
        <v>KH005</v>
      </c>
      <c r="D276" s="2" t="str">
        <v>S2-00286-BH</v>
      </c>
      <c r="E276" s="2" t="str">
        <v>BAN_HANG</v>
      </c>
      <c r="F276" s="2" t="str">
        <v>INP1003</v>
      </c>
      <c r="G276" s="2" t="str">
        <v>20/05/2026</v>
      </c>
      <c r="H276" s="2" t="str">
        <v>3500000</v>
      </c>
      <c r="I276" s="28" t="n">
        <v>3500000</v>
      </c>
      <c r="J276" s="7" t="n">
        <v>3500000</v>
      </c>
      <c r="K276" s="28" t="n">
        <f>J276-I276</f>
        <v>0</v>
      </c>
      <c r="L276" s="2" t="str">
        <v>NHẬP</v>
      </c>
      <c r="M276" s="2" t="str"/>
      <c r="N276" s="2" t="str">
        <v>KHAC</v>
      </c>
    </row>
    <row r="277" ht="25" customHeight="1">
      <c r="A277" s="2" t="str">
        <v>Q291</v>
      </c>
      <c r="B277" s="2" t="str">
        <v>KH005</v>
      </c>
      <c r="C277" s="2" t="str">
        <v>KH005</v>
      </c>
      <c r="D277" s="2" t="str">
        <v>S2-00286-BH</v>
      </c>
      <c r="E277" s="2" t="str">
        <v>BAN_HANG</v>
      </c>
      <c r="F277" s="2" t="str">
        <v>INP1001</v>
      </c>
      <c r="G277" s="2" t="str">
        <v>20/05/2026</v>
      </c>
      <c r="H277" s="2" t="str">
        <v>5190000</v>
      </c>
      <c r="I277" s="28" t="n">
        <v>5190000</v>
      </c>
      <c r="J277" s="7" t="n">
        <v>5190000</v>
      </c>
      <c r="K277" s="28" t="n">
        <f>J277-I277</f>
        <v>0</v>
      </c>
      <c r="L277" s="2" t="str">
        <v>NHẬP</v>
      </c>
      <c r="M277" s="2" t="str"/>
      <c r="N277" s="2" t="str">
        <v>KHAC</v>
      </c>
    </row>
    <row r="278" ht="25" customHeight="1">
      <c r="A278" s="2" t="str">
        <v>Q292</v>
      </c>
      <c r="B278" s="2" t="str">
        <v>KH005</v>
      </c>
      <c r="C278" s="2" t="str">
        <v>KH005</v>
      </c>
      <c r="D278" s="2" t="str">
        <v>S2-00286-BH</v>
      </c>
      <c r="E278" s="2" t="str">
        <v>BAN_HANG</v>
      </c>
      <c r="F278" s="2" t="str">
        <v>INP1201</v>
      </c>
      <c r="G278" s="2" t="str">
        <v>20/05/2026</v>
      </c>
      <c r="H278" s="2" t="str">
        <v>2514000</v>
      </c>
      <c r="I278" s="28" t="n">
        <v>2514000</v>
      </c>
      <c r="J278" s="7" t="n">
        <v>2514000</v>
      </c>
      <c r="K278" s="28" t="n">
        <f>J278-I278</f>
        <v>0</v>
      </c>
      <c r="L278" s="2" t="str">
        <v>NHẬP</v>
      </c>
      <c r="M278" s="2" t="str"/>
      <c r="N278" s="2" t="str">
        <v>KHAC</v>
      </c>
    </row>
    <row r="279" ht="25" customHeight="1">
      <c r="A279" s="2" t="str">
        <v>Q293</v>
      </c>
      <c r="B279" s="2" t="str">
        <v>KH005</v>
      </c>
      <c r="C279" s="2" t="str">
        <v>KH005</v>
      </c>
      <c r="D279" s="2" t="str">
        <v>S2-00286-BH</v>
      </c>
      <c r="E279" s="2" t="str">
        <v>BAN_HANG</v>
      </c>
      <c r="F279" s="2" t="str">
        <v>INP1202</v>
      </c>
      <c r="G279" s="2" t="str">
        <v>20/05/2026</v>
      </c>
      <c r="H279" s="2" t="str">
        <v>3060000</v>
      </c>
      <c r="I279" s="28" t="n">
        <v>3060000</v>
      </c>
      <c r="J279" s="7" t="n">
        <v>3060000</v>
      </c>
      <c r="K279" s="28" t="n">
        <f>J279-I279</f>
        <v>0</v>
      </c>
      <c r="L279" s="2" t="str">
        <v>NHẬP</v>
      </c>
      <c r="M279" s="2" t="str"/>
      <c r="N279" s="2" t="str">
        <v>KHAC</v>
      </c>
    </row>
    <row r="280" ht="25" customHeight="1">
      <c r="A280" s="2" t="str">
        <v>Q294</v>
      </c>
      <c r="B280" s="2" t="str">
        <v>KH005</v>
      </c>
      <c r="C280" s="2" t="str">
        <v>KH005</v>
      </c>
      <c r="D280" s="2" t="str">
        <v>S2-00286-BH</v>
      </c>
      <c r="E280" s="2" t="str">
        <v>BAN_HANG</v>
      </c>
      <c r="F280" s="2" t="str">
        <v>INP1203</v>
      </c>
      <c r="G280" s="2" t="str">
        <v>20/05/2026</v>
      </c>
      <c r="H280" s="2" t="str">
        <v>3192000</v>
      </c>
      <c r="I280" s="28" t="n">
        <v>3192000</v>
      </c>
      <c r="J280" s="7" t="n">
        <v>3192000</v>
      </c>
      <c r="K280" s="28" t="n">
        <f>J280-I280</f>
        <v>0</v>
      </c>
      <c r="L280" s="2" t="str">
        <v>NHẬP</v>
      </c>
      <c r="M280" s="2" t="str"/>
      <c r="N280" s="2" t="str">
        <v>KHAC</v>
      </c>
    </row>
    <row r="281" ht="25" customHeight="1">
      <c r="A281" s="2" t="str">
        <v>S295</v>
      </c>
      <c r="B281" s="2" t="str">
        <v>KH005</v>
      </c>
      <c r="C281" s="2" t="str">
        <v>KH005</v>
      </c>
      <c r="D281" s="2" t="str">
        <v>S2-00295-VC</v>
      </c>
      <c r="E281" s="2" t="str">
        <v>PHI_VAN_CHUYEN</v>
      </c>
      <c r="F281" s="2" t="str"/>
      <c r="G281" s="2" t="str">
        <v>20/05/2026</v>
      </c>
      <c r="H281" s="2" t="str">
        <v>300000</v>
      </c>
      <c r="I281" s="28" t="n">
        <v>300000</v>
      </c>
      <c r="J281" s="7" t="n">
        <v>300000</v>
      </c>
      <c r="K281" s="28" t="n">
        <f>J281-I281</f>
        <v>0</v>
      </c>
      <c r="L281" s="2" t="str">
        <v>NHẬP</v>
      </c>
      <c r="M281" s="2" t="str"/>
      <c r="N281" s="2" t="str">
        <v>KHAC</v>
      </c>
    </row>
    <row r="282" ht="25" customHeight="1">
      <c r="A282" s="2" t="str">
        <v>R296</v>
      </c>
      <c r="B282" s="2" t="str">
        <v>KH005</v>
      </c>
      <c r="C282" s="2" t="str">
        <v>KH005</v>
      </c>
      <c r="D282" s="2" t="str">
        <v>S2-00296-TT</v>
      </c>
      <c r="E282" s="2" t="str">
        <v>THU_TIEN</v>
      </c>
      <c r="F282" s="2" t="str"/>
      <c r="G282" s="2" t="str">
        <v>16/06/2026</v>
      </c>
      <c r="H282" s="2" t="str">
        <v>50000000</v>
      </c>
      <c r="I282" s="28" t="n">
        <v>50000000</v>
      </c>
      <c r="J282" s="7" t="n">
        <v>50000000</v>
      </c>
      <c r="K282" s="28" t="n">
        <f>J282-I282</f>
        <v>0</v>
      </c>
      <c r="L282" s="2" t="str">
        <v>NHẬP</v>
      </c>
      <c r="M282" s="2" t="str"/>
      <c r="N282" s="2" t="str">
        <v>KHAC</v>
      </c>
    </row>
    <row r="283" ht="25" customHeight="1">
      <c r="A283" s="2" t="str">
        <v>Q297</v>
      </c>
      <c r="B283" s="2" t="str">
        <v>KH005</v>
      </c>
      <c r="C283" s="2" t="str">
        <v>KH005</v>
      </c>
      <c r="D283" s="2" t="str">
        <v>S2-00297-BH</v>
      </c>
      <c r="E283" s="2" t="str">
        <v>BAN_HANG</v>
      </c>
      <c r="F283" s="2" t="str">
        <v>INP1001</v>
      </c>
      <c r="G283" s="2" t="str">
        <v>23/06/2026</v>
      </c>
      <c r="H283" s="2" t="str">
        <v>5190000</v>
      </c>
      <c r="I283" s="28" t="n">
        <v>5190000</v>
      </c>
      <c r="J283" s="7" t="n">
        <v>5190000</v>
      </c>
      <c r="K283" s="28" t="n">
        <f>J283-I283</f>
        <v>0</v>
      </c>
      <c r="L283" s="2" t="str">
        <v>NHẬP</v>
      </c>
      <c r="M283" s="2" t="str"/>
      <c r="N283" s="2" t="str">
        <v>KHAC</v>
      </c>
    </row>
    <row r="284" ht="25" customHeight="1">
      <c r="A284" s="2" t="str">
        <v>Q298</v>
      </c>
      <c r="B284" s="2" t="str">
        <v>KH005</v>
      </c>
      <c r="C284" s="2" t="str">
        <v>KH005</v>
      </c>
      <c r="D284" s="2" t="str">
        <v>S2-00297-BH</v>
      </c>
      <c r="E284" s="2" t="str">
        <v>BAN_HANG</v>
      </c>
      <c r="F284" s="2" t="str">
        <v>INP1002</v>
      </c>
      <c r="G284" s="2" t="str">
        <v>23/06/2026</v>
      </c>
      <c r="H284" s="2" t="str">
        <v>1398000</v>
      </c>
      <c r="I284" s="28" t="n">
        <v>1398000</v>
      </c>
      <c r="J284" s="7" t="n">
        <v>1398000</v>
      </c>
      <c r="K284" s="28" t="n">
        <f>J284-I284</f>
        <v>0</v>
      </c>
      <c r="L284" s="2" t="str">
        <v>NHẬP</v>
      </c>
      <c r="M284" s="2" t="str"/>
      <c r="N284" s="2" t="str">
        <v>KHAC</v>
      </c>
    </row>
    <row r="285" ht="25" customHeight="1">
      <c r="A285" s="2" t="str">
        <v>Q299</v>
      </c>
      <c r="B285" s="2" t="str">
        <v>KH005</v>
      </c>
      <c r="C285" s="2" t="str">
        <v>KH005</v>
      </c>
      <c r="D285" s="2" t="str">
        <v>S2-00297-BH</v>
      </c>
      <c r="E285" s="2" t="str">
        <v>BAN_HANG</v>
      </c>
      <c r="F285" s="2" t="str">
        <v>INP1101</v>
      </c>
      <c r="G285" s="2" t="str">
        <v>23/06/2026</v>
      </c>
      <c r="H285" s="2" t="str">
        <v>5220000</v>
      </c>
      <c r="I285" s="28" t="n">
        <v>5220000</v>
      </c>
      <c r="J285" s="7" t="n">
        <v>5220000</v>
      </c>
      <c r="K285" s="28" t="n">
        <f>J285-I285</f>
        <v>0</v>
      </c>
      <c r="L285" s="2" t="str">
        <v>NHẬP</v>
      </c>
      <c r="M285" s="2" t="str"/>
      <c r="N285" s="2" t="str">
        <v>KHAC</v>
      </c>
    </row>
    <row r="286" ht="25" customHeight="1">
      <c r="A286" s="2" t="str">
        <v>Q300</v>
      </c>
      <c r="B286" s="2" t="str">
        <v>KH005</v>
      </c>
      <c r="C286" s="2" t="str">
        <v>KH005</v>
      </c>
      <c r="D286" s="2" t="str">
        <v>S2-00297-BH</v>
      </c>
      <c r="E286" s="2" t="str">
        <v>BAN_HANG</v>
      </c>
      <c r="F286" s="2" t="str">
        <v>INP2002</v>
      </c>
      <c r="G286" s="2" t="str">
        <v>23/06/2026</v>
      </c>
      <c r="H286" s="2" t="str">
        <v>5520000</v>
      </c>
      <c r="I286" s="28" t="n">
        <v>5520000</v>
      </c>
      <c r="J286" s="7" t="n">
        <v>5520000</v>
      </c>
      <c r="K286" s="28" t="n">
        <f>J286-I286</f>
        <v>0</v>
      </c>
      <c r="L286" s="2" t="str">
        <v>NHẬP</v>
      </c>
      <c r="M286" s="2" t="str"/>
      <c r="N286" s="2" t="str">
        <v>KHAC</v>
      </c>
    </row>
    <row r="287" ht="25" customHeight="1">
      <c r="A287" s="2" t="str">
        <v>Q301</v>
      </c>
      <c r="B287" s="2" t="str">
        <v>KH005</v>
      </c>
      <c r="C287" s="2" t="str">
        <v>KH005</v>
      </c>
      <c r="D287" s="2" t="str">
        <v>S2-00297-BH</v>
      </c>
      <c r="E287" s="2" t="str">
        <v>BAN_HANG</v>
      </c>
      <c r="F287" s="2" t="str">
        <v>INP2003</v>
      </c>
      <c r="G287" s="2" t="str">
        <v>23/06/2026</v>
      </c>
      <c r="H287" s="2" t="str">
        <v>2560000</v>
      </c>
      <c r="I287" s="28" t="n">
        <v>2560000</v>
      </c>
      <c r="J287" s="7" t="n">
        <v>2560000</v>
      </c>
      <c r="K287" s="28" t="n">
        <f>J287-I287</f>
        <v>0</v>
      </c>
      <c r="L287" s="2" t="str">
        <v>NHẬP</v>
      </c>
      <c r="M287" s="2" t="str"/>
      <c r="N287" s="2" t="str">
        <v>KHAC</v>
      </c>
    </row>
    <row r="288" ht="25" customHeight="1">
      <c r="A288" s="2" t="str">
        <v>Q302</v>
      </c>
      <c r="B288" s="2" t="str">
        <v>KH005</v>
      </c>
      <c r="C288" s="2" t="str">
        <v>KH005</v>
      </c>
      <c r="D288" s="2" t="str">
        <v>S2-00297-BH</v>
      </c>
      <c r="E288" s="2" t="str">
        <v>BAN_HANG</v>
      </c>
      <c r="F288" s="2" t="str">
        <v>INP2103</v>
      </c>
      <c r="G288" s="2" t="str">
        <v>23/06/2026</v>
      </c>
      <c r="H288" s="2" t="str">
        <v>3040000</v>
      </c>
      <c r="I288" s="28" t="n">
        <v>3040000</v>
      </c>
      <c r="J288" s="7" t="n">
        <v>3040000</v>
      </c>
      <c r="K288" s="28" t="n">
        <f>J288-I288</f>
        <v>0</v>
      </c>
      <c r="L288" s="2" t="str">
        <v>NHẬP</v>
      </c>
      <c r="M288" s="2" t="str"/>
      <c r="N288" s="2" t="str">
        <v>KHAC</v>
      </c>
    </row>
    <row r="289" ht="25" customHeight="1">
      <c r="A289" s="2" t="str">
        <v>Q303</v>
      </c>
      <c r="B289" s="2" t="str">
        <v>KH005</v>
      </c>
      <c r="C289" s="2" t="str">
        <v>KH005</v>
      </c>
      <c r="D289" s="2" t="str">
        <v>S2-00297-BH</v>
      </c>
      <c r="E289" s="2" t="str">
        <v>BAN_HANG</v>
      </c>
      <c r="F289" s="2" t="str">
        <v>INP2109</v>
      </c>
      <c r="G289" s="2" t="str">
        <v>23/06/2026</v>
      </c>
      <c r="H289" s="2" t="str">
        <v>2600000</v>
      </c>
      <c r="I289" s="28" t="n">
        <v>2600000</v>
      </c>
      <c r="J289" s="7" t="n">
        <v>2600000</v>
      </c>
      <c r="K289" s="28" t="n">
        <f>J289-I289</f>
        <v>0</v>
      </c>
      <c r="L289" s="2" t="str">
        <v>NHẬP</v>
      </c>
      <c r="M289" s="2" t="str"/>
      <c r="N289" s="2" t="str">
        <v>KHAC</v>
      </c>
    </row>
    <row r="290" ht="25" customHeight="1">
      <c r="A290" s="2" t="str">
        <v>Q304</v>
      </c>
      <c r="B290" s="2" t="str">
        <v>KH005</v>
      </c>
      <c r="C290" s="2" t="str">
        <v>KH005</v>
      </c>
      <c r="D290" s="2" t="str">
        <v>S2-00297-BH</v>
      </c>
      <c r="E290" s="2" t="str">
        <v>BAN_HANG</v>
      </c>
      <c r="F290" s="2" t="str">
        <v>INP2110</v>
      </c>
      <c r="G290" s="2" t="str">
        <v>23/06/2026</v>
      </c>
      <c r="H290" s="2" t="str">
        <v>2800000</v>
      </c>
      <c r="I290" s="28" t="n">
        <v>2800000</v>
      </c>
      <c r="J290" s="7" t="n">
        <v>2800000</v>
      </c>
      <c r="K290" s="28" t="n">
        <f>J290-I290</f>
        <v>0</v>
      </c>
      <c r="L290" s="2" t="str">
        <v>NHẬP</v>
      </c>
      <c r="M290" s="2" t="str"/>
      <c r="N290" s="2" t="str">
        <v>KHAC</v>
      </c>
    </row>
    <row r="291" ht="25" customHeight="1">
      <c r="A291" s="2" t="str">
        <v>Q305</v>
      </c>
      <c r="B291" s="2" t="str">
        <v>KH005</v>
      </c>
      <c r="C291" s="2" t="str">
        <v>KH005</v>
      </c>
      <c r="D291" s="2" t="str">
        <v>S2-00297-BH</v>
      </c>
      <c r="E291" s="2" t="str">
        <v>BAN_HANG</v>
      </c>
      <c r="F291" s="2" t="str">
        <v>INP2111</v>
      </c>
      <c r="G291" s="2" t="str">
        <v>23/06/2026</v>
      </c>
      <c r="H291" s="2" t="str">
        <v>3000000</v>
      </c>
      <c r="I291" s="28" t="n">
        <v>3000000</v>
      </c>
      <c r="J291" s="7" t="n">
        <v>3000000</v>
      </c>
      <c r="K291" s="28" t="n">
        <f>J291-I291</f>
        <v>0</v>
      </c>
      <c r="L291" s="2" t="str">
        <v>NHẬP</v>
      </c>
      <c r="M291" s="2" t="str"/>
      <c r="N291" s="2" t="str">
        <v>KHAC</v>
      </c>
    </row>
    <row r="292" ht="25" customHeight="1">
      <c r="A292" s="2" t="str">
        <v>Q306</v>
      </c>
      <c r="B292" s="2" t="str">
        <v>KH005</v>
      </c>
      <c r="C292" s="2" t="str">
        <v>KH005</v>
      </c>
      <c r="D292" s="2" t="str">
        <v>S2-00306-BH</v>
      </c>
      <c r="E292" s="2" t="str">
        <v>BAN_HANG</v>
      </c>
      <c r="F292" s="2" t="str">
        <v>INP2301</v>
      </c>
      <c r="G292" s="2" t="str">
        <v>23/06/2026</v>
      </c>
      <c r="H292" s="2" t="str">
        <v>4500000</v>
      </c>
      <c r="I292" s="28" t="n">
        <v>4500000</v>
      </c>
      <c r="J292" s="7" t="n">
        <v>4500000</v>
      </c>
      <c r="K292" s="28" t="n">
        <f>J292-I292</f>
        <v>0</v>
      </c>
      <c r="L292" s="2" t="str">
        <v>NHẬP</v>
      </c>
      <c r="M292" s="2" t="str"/>
      <c r="N292" s="2" t="str">
        <v>KHAC</v>
      </c>
    </row>
    <row r="293" ht="25" customHeight="1">
      <c r="A293" s="2" t="str">
        <v>Q307</v>
      </c>
      <c r="B293" s="2" t="str">
        <v>KH005</v>
      </c>
      <c r="C293" s="2" t="str">
        <v>KH005</v>
      </c>
      <c r="D293" s="2" t="str">
        <v>S2-00306-BH</v>
      </c>
      <c r="E293" s="2" t="str">
        <v>BAN_HANG</v>
      </c>
      <c r="F293" s="2" t="str">
        <v>INP6902</v>
      </c>
      <c r="G293" s="2" t="str">
        <v>23/06/2026</v>
      </c>
      <c r="H293" s="2" t="str">
        <v>1760001</v>
      </c>
      <c r="I293" s="28" t="n">
        <v>1760001</v>
      </c>
      <c r="J293" s="7" t="n">
        <v>1760001</v>
      </c>
      <c r="K293" s="28" t="n">
        <f>J293-I293</f>
        <v>0</v>
      </c>
      <c r="L293" s="2" t="str">
        <v>NHẬP</v>
      </c>
      <c r="M293" s="2" t="str"/>
      <c r="N293" s="2" t="str">
        <v>KHAC</v>
      </c>
    </row>
    <row r="294" ht="25" customHeight="1">
      <c r="A294" s="2" t="str">
        <v>Q308</v>
      </c>
      <c r="B294" s="2" t="str">
        <v>KH005</v>
      </c>
      <c r="C294" s="2" t="str">
        <v>KH005</v>
      </c>
      <c r="D294" s="2" t="str">
        <v>S2-00306-BH</v>
      </c>
      <c r="E294" s="2" t="str">
        <v>BAN_HANG</v>
      </c>
      <c r="F294" s="2" t="str">
        <v>INP6903</v>
      </c>
      <c r="G294" s="2" t="str">
        <v>23/06/2026</v>
      </c>
      <c r="H294" s="2" t="str">
        <v>1960000</v>
      </c>
      <c r="I294" s="28" t="n">
        <v>1960000</v>
      </c>
      <c r="J294" s="7" t="n">
        <v>1960000</v>
      </c>
      <c r="K294" s="28" t="n">
        <f>J294-I294</f>
        <v>0</v>
      </c>
      <c r="L294" s="2" t="str">
        <v>NHẬP</v>
      </c>
      <c r="M294" s="2" t="str"/>
      <c r="N294" s="2" t="str">
        <v>KHAC</v>
      </c>
    </row>
    <row r="295" ht="25" customHeight="1">
      <c r="A295" s="2" t="str">
        <v>Q309</v>
      </c>
      <c r="B295" s="2" t="str">
        <v>KH005</v>
      </c>
      <c r="C295" s="2" t="str">
        <v>KH005</v>
      </c>
      <c r="D295" s="2" t="str">
        <v>S2-00309-BH</v>
      </c>
      <c r="E295" s="2" t="str">
        <v>BAN_HANG</v>
      </c>
      <c r="F295" s="2" t="str">
        <v>INP6701</v>
      </c>
      <c r="G295" s="2" t="str">
        <v>21/07/2026</v>
      </c>
      <c r="H295" s="2" t="str">
        <v>6239999.9808</v>
      </c>
      <c r="I295" s="28" t="n">
        <v>6239999.9808</v>
      </c>
      <c r="J295" s="7" t="n">
        <v>6240000</v>
      </c>
      <c r="K295" s="28" t="n">
        <f>J295-I295</f>
        <v>0.01919999998062849</v>
      </c>
      <c r="L295" s="2" t="str">
        <v>NHẬP</v>
      </c>
      <c r="M295" s="2" t="str"/>
      <c r="N295" s="2" t="str">
        <v>KHAC</v>
      </c>
    </row>
    <row r="296" ht="25" customHeight="1">
      <c r="A296" s="2" t="str">
        <v>Q310</v>
      </c>
      <c r="B296" s="2" t="str">
        <v>KH005</v>
      </c>
      <c r="C296" s="2" t="str">
        <v>KH005</v>
      </c>
      <c r="D296" s="2" t="str">
        <v>S2-00309-BH</v>
      </c>
      <c r="E296" s="2" t="str">
        <v>BAN_HANG</v>
      </c>
      <c r="F296" s="2" t="str">
        <v>INP2104</v>
      </c>
      <c r="G296" s="2" t="str">
        <v>21/07/2026</v>
      </c>
      <c r="H296" s="2" t="str">
        <v>6440000.04</v>
      </c>
      <c r="I296" s="28" t="n">
        <v>6440000.04</v>
      </c>
      <c r="J296" s="7" t="n">
        <v>6440000</v>
      </c>
      <c r="K296" s="28" t="n">
        <f>J296-I296</f>
        <v>-0.0400000000372529</v>
      </c>
      <c r="L296" s="2" t="str">
        <v>NHẬP</v>
      </c>
      <c r="M296" s="2" t="str"/>
      <c r="N296" s="2" t="str">
        <v>KHAC</v>
      </c>
    </row>
    <row r="297" ht="25" customHeight="1">
      <c r="A297" s="2" t="str">
        <v>Q311</v>
      </c>
      <c r="B297" s="2" t="str">
        <v>KH005</v>
      </c>
      <c r="C297" s="2" t="str">
        <v>KH005</v>
      </c>
      <c r="D297" s="2" t="str">
        <v>S2-00309-BH</v>
      </c>
      <c r="E297" s="2" t="str">
        <v>BAN_HANG</v>
      </c>
      <c r="F297" s="2" t="str">
        <v>INP2107</v>
      </c>
      <c r="G297" s="2" t="str">
        <v>21/07/2026</v>
      </c>
      <c r="H297" s="2" t="str">
        <v>6000000.048</v>
      </c>
      <c r="I297" s="28" t="n">
        <v>6000000.048</v>
      </c>
      <c r="J297" s="7" t="n">
        <v>6000000</v>
      </c>
      <c r="K297" s="28" t="n">
        <f>J297-I297</f>
        <v>-0.04800000041723251</v>
      </c>
      <c r="L297" s="2" t="str">
        <v>NHẬP</v>
      </c>
      <c r="M297" s="2" t="str"/>
      <c r="N297" s="2" t="str">
        <v>KHAC</v>
      </c>
    </row>
    <row r="298" ht="25" customHeight="1">
      <c r="A298" s="2" t="str">
        <v>Q312</v>
      </c>
      <c r="B298" s="2" t="str">
        <v>KH005</v>
      </c>
      <c r="C298" s="2" t="str">
        <v>KH005</v>
      </c>
      <c r="D298" s="2" t="str">
        <v>S2-00309-BH</v>
      </c>
      <c r="E298" s="2" t="str">
        <v>BAN_HANG</v>
      </c>
      <c r="F298" s="2" t="str">
        <v>INP2111</v>
      </c>
      <c r="G298" s="2" t="str">
        <v>21/07/2026</v>
      </c>
      <c r="H298" s="2" t="str">
        <v>6000000.048</v>
      </c>
      <c r="I298" s="28" t="n">
        <v>6000000.048</v>
      </c>
      <c r="J298" s="7" t="n">
        <v>6000000</v>
      </c>
      <c r="K298" s="28" t="n">
        <f>J298-I298</f>
        <v>-0.04800000041723251</v>
      </c>
      <c r="L298" s="2" t="str">
        <v>NHẬP</v>
      </c>
      <c r="M298" s="2" t="str"/>
      <c r="N298" s="2" t="str">
        <v>KHAC</v>
      </c>
    </row>
    <row r="299" ht="25" customHeight="1">
      <c r="A299" s="2" t="str">
        <v>Q313</v>
      </c>
      <c r="B299" s="2" t="str">
        <v>KH005</v>
      </c>
      <c r="C299" s="2" t="str">
        <v>KH005</v>
      </c>
      <c r="D299" s="2" t="str">
        <v>S2-00309-BH</v>
      </c>
      <c r="E299" s="2" t="str">
        <v>BAN_HANG</v>
      </c>
      <c r="F299" s="2" t="str">
        <v>INP2301</v>
      </c>
      <c r="G299" s="2" t="str">
        <v>21/07/2026</v>
      </c>
      <c r="H299" s="2" t="str">
        <v>2249999.964</v>
      </c>
      <c r="I299" s="28" t="n">
        <v>2249999.964</v>
      </c>
      <c r="J299" s="7" t="n">
        <v>2250000</v>
      </c>
      <c r="K299" s="28" t="n">
        <f>J299-I299</f>
        <v>0.0359999998472631</v>
      </c>
      <c r="L299" s="2" t="str">
        <v>NHẬP</v>
      </c>
      <c r="M299" s="2" t="str"/>
      <c r="N299" s="2" t="str">
        <v>KHAC</v>
      </c>
    </row>
    <row r="300" ht="25" customHeight="1">
      <c r="A300" s="2" t="str">
        <v>Q314</v>
      </c>
      <c r="B300" s="2" t="str">
        <v>KH005</v>
      </c>
      <c r="C300" s="2" t="str">
        <v>KH005</v>
      </c>
      <c r="D300" s="2" t="str">
        <v>S2-00309-BH</v>
      </c>
      <c r="E300" s="2" t="str">
        <v>BAN_HANG</v>
      </c>
      <c r="F300" s="2" t="str">
        <v>INP2002</v>
      </c>
      <c r="G300" s="2" t="str">
        <v>21/07/2026</v>
      </c>
      <c r="H300" s="2" t="str">
        <v>14719999.968</v>
      </c>
      <c r="I300" s="28" t="n">
        <v>14719999.968</v>
      </c>
      <c r="J300" s="7" t="n">
        <v>14720000</v>
      </c>
      <c r="K300" s="28" t="n">
        <f>J300-I300</f>
        <v>0.03199999965727329</v>
      </c>
      <c r="L300" s="2" t="str">
        <v>NHẬP</v>
      </c>
      <c r="M300" s="2" t="str"/>
      <c r="N300" s="2" t="str">
        <v>KHAC</v>
      </c>
    </row>
    <row r="301" ht="25" customHeight="1">
      <c r="A301" s="2" t="str">
        <v>Q315</v>
      </c>
      <c r="B301" s="2" t="str">
        <v>KH005</v>
      </c>
      <c r="C301" s="2" t="str">
        <v>KH005</v>
      </c>
      <c r="D301" s="2" t="str">
        <v>S2-00309-BH</v>
      </c>
      <c r="E301" s="2" t="str">
        <v>BAN_HANG</v>
      </c>
      <c r="F301" s="2" t="str">
        <v>INP1301</v>
      </c>
      <c r="G301" s="2" t="str">
        <v>21/07/2026</v>
      </c>
      <c r="H301" s="2" t="str">
        <v>2549999.88</v>
      </c>
      <c r="I301" s="28" t="n">
        <v>2549999.88</v>
      </c>
      <c r="J301" s="7" t="n">
        <v>2550000</v>
      </c>
      <c r="K301" s="28" t="n">
        <f>J301-I301</f>
        <v>0.12000000011175871</v>
      </c>
      <c r="L301" s="2" t="str">
        <v>NHẬP</v>
      </c>
      <c r="M301" s="2" t="str"/>
      <c r="N301" s="2" t="str">
        <v>KHAC</v>
      </c>
    </row>
    <row r="302" ht="25" customHeight="1">
      <c r="A302" s="2" t="str">
        <v>Q316</v>
      </c>
      <c r="B302" s="2" t="str">
        <v>KH058</v>
      </c>
      <c r="C302" s="2" t="str">
        <v>KH058</v>
      </c>
      <c r="D302" s="2" t="str">
        <v>S2-00316-BH</v>
      </c>
      <c r="E302" s="2" t="str">
        <v>BAN_HANG</v>
      </c>
      <c r="F302" s="2" t="str">
        <v>INP1003</v>
      </c>
      <c r="G302" s="2" t="str">
        <v>2026-01-13</v>
      </c>
      <c r="H302" s="2" t="str">
        <v>34999999.56</v>
      </c>
      <c r="I302" s="28" t="n">
        <v>34999999.56</v>
      </c>
      <c r="J302" s="7" t="n">
        <v>34999999</v>
      </c>
      <c r="K302" s="28" t="n">
        <f>J302-I302</f>
        <v>-0.5600000023841858</v>
      </c>
      <c r="L302" s="2" t="str">
        <v>NHẬP</v>
      </c>
      <c r="M302" s="2" t="str"/>
      <c r="N302" s="2" t="str">
        <v>KHAC</v>
      </c>
    </row>
    <row r="303" ht="25" customHeight="1">
      <c r="A303" s="2" t="str">
        <v>Q317</v>
      </c>
      <c r="B303" s="2" t="str">
        <v>KH058</v>
      </c>
      <c r="C303" s="2" t="str">
        <v>KH058</v>
      </c>
      <c r="D303" s="2" t="str">
        <v>S2-00316-BH</v>
      </c>
      <c r="E303" s="2" t="str">
        <v>BAN_HANG</v>
      </c>
      <c r="F303" s="2" t="str">
        <v>INP3201</v>
      </c>
      <c r="G303" s="2" t="str">
        <v>2026-01-13</v>
      </c>
      <c r="H303" s="2" t="str">
        <v>2519999.9424</v>
      </c>
      <c r="I303" s="28" t="n">
        <v>2519999.9424</v>
      </c>
      <c r="J303" s="7" t="n">
        <v>2520000</v>
      </c>
      <c r="K303" s="28" t="n">
        <f>J303-I303</f>
        <v>0.05759999994188547</v>
      </c>
      <c r="L303" s="2" t="str">
        <v>NHẬP</v>
      </c>
      <c r="M303" s="2" t="str"/>
      <c r="N303" s="2" t="str">
        <v>KHAC</v>
      </c>
    </row>
    <row r="304" ht="25" customHeight="1">
      <c r="A304" s="2" t="str">
        <v>Q318</v>
      </c>
      <c r="B304" s="2" t="str">
        <v>KH058</v>
      </c>
      <c r="C304" s="2" t="str">
        <v>KH058</v>
      </c>
      <c r="D304" s="2" t="str">
        <v>S2-00316-BH</v>
      </c>
      <c r="E304" s="2" t="str">
        <v>BAN_HANG</v>
      </c>
      <c r="F304" s="2" t="str">
        <v>INP1501</v>
      </c>
      <c r="G304" s="2" t="str">
        <v>2026-01-13</v>
      </c>
      <c r="H304" s="2" t="str">
        <v>1559999.9952</v>
      </c>
      <c r="I304" s="28" t="n">
        <v>1559999.9952</v>
      </c>
      <c r="J304" s="7" t="n">
        <v>1560000</v>
      </c>
      <c r="K304" s="28" t="n">
        <f>J304-I304</f>
        <v>0.004799999995157123</v>
      </c>
      <c r="L304" s="2" t="str">
        <v>NHẬP</v>
      </c>
      <c r="M304" s="2" t="str"/>
      <c r="N304" s="2" t="str">
        <v>KHAC</v>
      </c>
    </row>
    <row r="305" ht="25" customHeight="1">
      <c r="A305" s="2" t="str">
        <v>Q319</v>
      </c>
      <c r="B305" s="2" t="str">
        <v>KH058</v>
      </c>
      <c r="C305" s="2" t="str">
        <v>KH058</v>
      </c>
      <c r="D305" s="2" t="str">
        <v>S2-00316-BH</v>
      </c>
      <c r="E305" s="2" t="str">
        <v>BAN_HANG</v>
      </c>
      <c r="F305" s="2" t="str">
        <v>INP1502</v>
      </c>
      <c r="G305" s="2" t="str">
        <v>2026-01-13</v>
      </c>
      <c r="H305" s="2" t="str">
        <v>1680000.0048</v>
      </c>
      <c r="I305" s="28" t="n">
        <v>1680000.0048</v>
      </c>
      <c r="J305" s="7" t="n">
        <v>1680000</v>
      </c>
      <c r="K305" s="28" t="n">
        <f>J305-I305</f>
        <v>-0.004799999995157123</v>
      </c>
      <c r="L305" s="2" t="str">
        <v>NHẬP</v>
      </c>
      <c r="M305" s="2" t="str"/>
      <c r="N305" s="2" t="str">
        <v>KHAC</v>
      </c>
    </row>
    <row r="306" ht="25" customHeight="1">
      <c r="A306" s="2" t="str">
        <v>Q320</v>
      </c>
      <c r="B306" s="2" t="str">
        <v>KH058</v>
      </c>
      <c r="C306" s="2" t="str">
        <v>KH058</v>
      </c>
      <c r="D306" s="2" t="str">
        <v>S2-00316-BH</v>
      </c>
      <c r="E306" s="2" t="str">
        <v>BAN_HANG</v>
      </c>
      <c r="F306" s="2" t="str">
        <v>INP1503</v>
      </c>
      <c r="G306" s="2" t="str">
        <v>2026-01-13</v>
      </c>
      <c r="H306" s="2" t="str">
        <v>1800000.0144</v>
      </c>
      <c r="I306" s="28" t="n">
        <v>1800000.0144</v>
      </c>
      <c r="J306" s="7" t="n">
        <v>1800000</v>
      </c>
      <c r="K306" s="28" t="n">
        <f>J306-I306</f>
        <v>-0.014399999985471368</v>
      </c>
      <c r="L306" s="2" t="str">
        <v>NHẬP</v>
      </c>
      <c r="M306" s="2" t="str"/>
      <c r="N306" s="2" t="str">
        <v>KHAC</v>
      </c>
    </row>
    <row r="307" ht="25" customHeight="1">
      <c r="A307" s="2" t="str">
        <v>Q321</v>
      </c>
      <c r="B307" s="2" t="str">
        <v>KH058</v>
      </c>
      <c r="C307" s="2" t="str">
        <v>KH058</v>
      </c>
      <c r="D307" s="2" t="str">
        <v>S2-00321-BH</v>
      </c>
      <c r="E307" s="2" t="str">
        <v>BAN_HANG</v>
      </c>
      <c r="F307" s="2" t="str">
        <v>INP6701</v>
      </c>
      <c r="G307" s="2" t="str">
        <v>2026-01-13</v>
      </c>
      <c r="H307" s="2" t="str">
        <v>3119999.9904</v>
      </c>
      <c r="I307" s="28" t="n">
        <v>3119999.9904</v>
      </c>
      <c r="J307" s="7" t="n">
        <v>3120000</v>
      </c>
      <c r="K307" s="28" t="n">
        <f>J307-I307</f>
        <v>0.009599999990314245</v>
      </c>
      <c r="L307" s="2" t="str">
        <v>NHẬP</v>
      </c>
      <c r="M307" s="2" t="str"/>
      <c r="N307" s="2" t="str">
        <v>KHAC</v>
      </c>
    </row>
    <row r="308" ht="25" customHeight="1">
      <c r="A308" s="2" t="str">
        <v>Q322</v>
      </c>
      <c r="B308" s="2" t="str">
        <v>KH058</v>
      </c>
      <c r="C308" s="2" t="str">
        <v>KH058</v>
      </c>
      <c r="D308" s="2" t="str">
        <v>S2-00322-BH</v>
      </c>
      <c r="E308" s="2" t="str">
        <v>BAN_HANG</v>
      </c>
      <c r="F308" s="2" t="str">
        <v>INP6102</v>
      </c>
      <c r="G308" s="2" t="str">
        <v>2026-01-13</v>
      </c>
      <c r="H308" s="2" t="str">
        <v>6078000.24</v>
      </c>
      <c r="I308" s="28" t="n">
        <v>6078000.24</v>
      </c>
      <c r="J308" s="7" t="n">
        <v>6078000</v>
      </c>
      <c r="K308" s="28" t="n">
        <f>J308-I308</f>
        <v>-0.24000000022351742</v>
      </c>
      <c r="L308" s="2" t="str">
        <v>NHẬP</v>
      </c>
      <c r="M308" s="2" t="str"/>
      <c r="N308" s="2" t="str">
        <v>KHAC</v>
      </c>
    </row>
    <row r="309" ht="25" customHeight="1">
      <c r="A309" s="2" t="str">
        <v>Q323</v>
      </c>
      <c r="B309" s="2" t="str">
        <v>KH058</v>
      </c>
      <c r="C309" s="2" t="str">
        <v>KH058</v>
      </c>
      <c r="D309" s="2" t="str">
        <v>S2-00322-BH</v>
      </c>
      <c r="E309" s="2" t="str">
        <v>BAN_HANG</v>
      </c>
      <c r="F309" s="2" t="str">
        <v>INP6104</v>
      </c>
      <c r="G309" s="2" t="str">
        <v>2026-01-13</v>
      </c>
      <c r="H309" s="2" t="str">
        <v>6527999.952</v>
      </c>
      <c r="I309" s="28" t="n">
        <v>6527999.952</v>
      </c>
      <c r="J309" s="7" t="n">
        <v>6528000</v>
      </c>
      <c r="K309" s="28" t="n">
        <f>J309-I309</f>
        <v>0.04800000041723251</v>
      </c>
      <c r="L309" s="2" t="str">
        <v>NHẬP</v>
      </c>
      <c r="M309" s="2" t="str"/>
      <c r="N309" s="2" t="str">
        <v>KHAC</v>
      </c>
    </row>
    <row r="310" ht="25" customHeight="1">
      <c r="A310" s="2" t="str">
        <v>R325</v>
      </c>
      <c r="B310" s="2" t="str">
        <v>KH058</v>
      </c>
      <c r="C310" s="2" t="str">
        <v>KH058</v>
      </c>
      <c r="D310" s="2" t="str">
        <v>S2-00325-TT</v>
      </c>
      <c r="E310" s="2" t="str">
        <v>THU_TIEN</v>
      </c>
      <c r="F310" s="2" t="str"/>
      <c r="G310" s="2" t="str">
        <v>2026-01-16</v>
      </c>
      <c r="H310" s="2" t="str">
        <v>20000000</v>
      </c>
      <c r="I310" s="28" t="n">
        <v>20000000</v>
      </c>
      <c r="J310" s="7" t="n">
        <v>20000000</v>
      </c>
      <c r="K310" s="28" t="n">
        <f>J310-I310</f>
        <v>0</v>
      </c>
      <c r="L310" s="2" t="str">
        <v>NHẬP</v>
      </c>
      <c r="M310" s="2" t="str"/>
      <c r="N310" s="2" t="str">
        <v>KHAC</v>
      </c>
    </row>
    <row r="311" ht="25" customHeight="1">
      <c r="A311" s="2" t="str">
        <v>Q326</v>
      </c>
      <c r="B311" s="2" t="str">
        <v>KH058</v>
      </c>
      <c r="C311" s="2" t="str">
        <v>KH058</v>
      </c>
      <c r="D311" s="2" t="str">
        <v>S2-00326-BH</v>
      </c>
      <c r="E311" s="2" t="str">
        <v>BAN_HANG</v>
      </c>
      <c r="F311" s="2" t="str">
        <v>INP1003</v>
      </c>
      <c r="G311" s="2" t="str">
        <v>2026-01-21</v>
      </c>
      <c r="H311" s="2" t="str">
        <v>42000000.768</v>
      </c>
      <c r="I311" s="28" t="n">
        <v>42000000.768</v>
      </c>
      <c r="J311" s="7" t="n">
        <v>42000001</v>
      </c>
      <c r="K311" s="28" t="n">
        <f>J311-I311</f>
        <v>0.23200000077486038</v>
      </c>
      <c r="L311" s="2" t="str">
        <v>NHẬP</v>
      </c>
      <c r="M311" s="2" t="str"/>
      <c r="N311" s="2" t="str">
        <v>KHAC</v>
      </c>
    </row>
    <row r="312" ht="25" customHeight="1">
      <c r="A312" s="2" t="str">
        <v>R327</v>
      </c>
      <c r="B312" s="2" t="str">
        <v>KH058</v>
      </c>
      <c r="C312" s="2" t="str">
        <v>KH058</v>
      </c>
      <c r="D312" s="2" t="str">
        <v>S2-00327-TT</v>
      </c>
      <c r="E312" s="2" t="str">
        <v>THU_TIEN</v>
      </c>
      <c r="F312" s="2" t="str"/>
      <c r="G312" s="2" t="str">
        <v>2026-01-22</v>
      </c>
      <c r="H312" s="2" t="str">
        <v>22560000</v>
      </c>
      <c r="I312" s="28" t="n">
        <v>22560000</v>
      </c>
      <c r="J312" s="7" t="n">
        <v>22560000</v>
      </c>
      <c r="K312" s="28" t="n">
        <f>J312-I312</f>
        <v>0</v>
      </c>
      <c r="L312" s="2" t="str">
        <v>NHẬP</v>
      </c>
      <c r="M312" s="2" t="str"/>
      <c r="N312" s="2" t="str">
        <v>KHAC</v>
      </c>
    </row>
    <row r="313" ht="25" customHeight="1">
      <c r="A313" s="2" t="str">
        <v>Q328</v>
      </c>
      <c r="B313" s="2" t="str">
        <v>KH058</v>
      </c>
      <c r="C313" s="2" t="str">
        <v>KH058</v>
      </c>
      <c r="D313" s="2" t="str">
        <v>S2-00328-BH</v>
      </c>
      <c r="E313" s="2" t="str">
        <v>BAN_HANG</v>
      </c>
      <c r="F313" s="2" t="str">
        <v>INP2101</v>
      </c>
      <c r="G313" s="2" t="str">
        <v>2026-02-03</v>
      </c>
      <c r="H313" s="2" t="str">
        <v>7589999.7</v>
      </c>
      <c r="I313" s="28" t="n">
        <v>7589999.7</v>
      </c>
      <c r="J313" s="7" t="n">
        <v>7589999</v>
      </c>
      <c r="K313" s="28" t="n">
        <f>J313-I313</f>
        <v>-0.7000000001862645</v>
      </c>
      <c r="L313" s="2" t="str">
        <v>NHẬP</v>
      </c>
      <c r="M313" s="2" t="str"/>
      <c r="N313" s="2" t="str">
        <v>KHAC</v>
      </c>
    </row>
    <row r="314" ht="25" customHeight="1">
      <c r="A314" s="2" t="str">
        <v>Q329</v>
      </c>
      <c r="B314" s="2" t="str">
        <v>KH058</v>
      </c>
      <c r="C314" s="2" t="str">
        <v>KH058</v>
      </c>
      <c r="D314" s="2" t="str">
        <v>S2-00328-BH</v>
      </c>
      <c r="E314" s="2" t="str">
        <v>BAN_HANG</v>
      </c>
      <c r="F314" s="2" t="str">
        <v>INP2102</v>
      </c>
      <c r="G314" s="2" t="str">
        <v>2026-02-03</v>
      </c>
      <c r="H314" s="2" t="str">
        <v>8309999.952</v>
      </c>
      <c r="I314" s="28" t="n">
        <v>8309999.952</v>
      </c>
      <c r="J314" s="7" t="n">
        <v>8310000</v>
      </c>
      <c r="K314" s="28" t="n">
        <f>J314-I314</f>
        <v>0.04800000041723251</v>
      </c>
      <c r="L314" s="2" t="str">
        <v>NHẬP</v>
      </c>
      <c r="M314" s="2" t="str"/>
      <c r="N314" s="2" t="str">
        <v>KHAC</v>
      </c>
    </row>
    <row r="315" ht="25" customHeight="1">
      <c r="A315" s="2" t="str">
        <v>Q330</v>
      </c>
      <c r="B315" s="2" t="str">
        <v>KH058</v>
      </c>
      <c r="C315" s="2" t="str">
        <v>KH058</v>
      </c>
      <c r="D315" s="2" t="str">
        <v>S2-00328-BH</v>
      </c>
      <c r="E315" s="2" t="str">
        <v>BAN_HANG</v>
      </c>
      <c r="F315" s="2" t="str">
        <v>INP2103</v>
      </c>
      <c r="G315" s="2" t="str">
        <v>2026-02-03</v>
      </c>
      <c r="H315" s="2" t="str">
        <v>12159999.936</v>
      </c>
      <c r="I315" s="28" t="n">
        <v>12159999.936</v>
      </c>
      <c r="J315" s="7" t="n">
        <v>12160000</v>
      </c>
      <c r="K315" s="28" t="n">
        <f>J315-I315</f>
        <v>0.06399999931454659</v>
      </c>
      <c r="L315" s="2" t="str">
        <v>NHẬP</v>
      </c>
      <c r="M315" s="2" t="str"/>
      <c r="N315" s="2" t="str">
        <v>KHAC</v>
      </c>
    </row>
    <row r="316" ht="25" customHeight="1">
      <c r="A316" s="2" t="str">
        <v>Q331</v>
      </c>
      <c r="B316" s="2" t="str">
        <v>KH058</v>
      </c>
      <c r="C316" s="2" t="str">
        <v>KH058</v>
      </c>
      <c r="D316" s="2" t="str">
        <v>S2-00328-BH</v>
      </c>
      <c r="E316" s="2" t="str">
        <v>BAN_HANG</v>
      </c>
      <c r="F316" s="2" t="str">
        <v>INP6001</v>
      </c>
      <c r="G316" s="2" t="str">
        <v>2026-02-03</v>
      </c>
      <c r="H316" s="2" t="str">
        <v>24599999.808</v>
      </c>
      <c r="I316" s="28" t="n">
        <v>24599999.808</v>
      </c>
      <c r="J316" s="7" t="n">
        <v>24600000</v>
      </c>
      <c r="K316" s="28" t="n">
        <f>J316-I316</f>
        <v>0.19200000166893005</v>
      </c>
      <c r="L316" s="2" t="str">
        <v>NHẬP</v>
      </c>
      <c r="M316" s="2" t="str"/>
      <c r="N316" s="2" t="str">
        <v>KHAC</v>
      </c>
    </row>
    <row r="317" ht="25" customHeight="1">
      <c r="A317" s="2" t="str">
        <v>Q332</v>
      </c>
      <c r="B317" s="2" t="str">
        <v>KH058</v>
      </c>
      <c r="C317" s="2" t="str">
        <v>KH058</v>
      </c>
      <c r="D317" s="2" t="str">
        <v>S2-00328-BH</v>
      </c>
      <c r="E317" s="2" t="str">
        <v>BAN_HANG</v>
      </c>
      <c r="F317" s="2" t="str">
        <v>INP6201</v>
      </c>
      <c r="G317" s="2" t="str">
        <v>2026-02-03</v>
      </c>
      <c r="H317" s="2" t="str">
        <v>4199999.9472</v>
      </c>
      <c r="I317" s="28" t="n">
        <v>4199999.9472</v>
      </c>
      <c r="J317" s="7" t="n">
        <v>4200000</v>
      </c>
      <c r="K317" s="28" t="n">
        <f>J317-I317</f>
        <v>0.052799999713897705</v>
      </c>
      <c r="L317" s="2" t="str">
        <v>NHẬP</v>
      </c>
      <c r="M317" s="2" t="str"/>
      <c r="N317" s="2" t="str">
        <v>KHAC</v>
      </c>
    </row>
    <row r="318" ht="25" customHeight="1">
      <c r="A318" s="2" t="str">
        <v>Q333</v>
      </c>
      <c r="B318" s="2" t="str">
        <v>KH058</v>
      </c>
      <c r="C318" s="2" t="str">
        <v>KH058</v>
      </c>
      <c r="D318" s="2" t="str">
        <v>S2-00328-BH</v>
      </c>
      <c r="E318" s="2" t="str">
        <v>BAN_HANG</v>
      </c>
      <c r="F318" s="2" t="str">
        <v>INP6202</v>
      </c>
      <c r="G318" s="2" t="str">
        <v>2026-02-03</v>
      </c>
      <c r="H318" s="2" t="str">
        <v>4223999.9232</v>
      </c>
      <c r="I318" s="28" t="n">
        <v>4223999.9232</v>
      </c>
      <c r="J318" s="7" t="n">
        <v>4224000</v>
      </c>
      <c r="K318" s="28" t="n">
        <f>J318-I318</f>
        <v>0.07679999992251396</v>
      </c>
      <c r="L318" s="2" t="str">
        <v>NHẬP</v>
      </c>
      <c r="M318" s="2" t="str"/>
      <c r="N318" s="2" t="str">
        <v>KHAC</v>
      </c>
    </row>
    <row r="319" ht="25" customHeight="1">
      <c r="A319" s="2" t="str">
        <v>Q334</v>
      </c>
      <c r="B319" s="2" t="str">
        <v>KH058</v>
      </c>
      <c r="C319" s="2" t="str">
        <v>KH058</v>
      </c>
      <c r="D319" s="2" t="str">
        <v>S2-00328-BH</v>
      </c>
      <c r="E319" s="2" t="str">
        <v>BAN_HANG</v>
      </c>
      <c r="F319" s="2" t="str">
        <v>INP6203</v>
      </c>
      <c r="G319" s="2" t="str">
        <v>2026-02-03</v>
      </c>
      <c r="H319" s="2" t="str">
        <v>4043999.9088</v>
      </c>
      <c r="I319" s="28" t="n">
        <v>4043999.9088</v>
      </c>
      <c r="J319" s="7" t="n">
        <v>4044000</v>
      </c>
      <c r="K319" s="28" t="n">
        <f>J319-I319</f>
        <v>0.09120000014081597</v>
      </c>
      <c r="L319" s="2" t="str">
        <v>NHẬP</v>
      </c>
      <c r="M319" s="2" t="str"/>
      <c r="N319" s="2" t="str">
        <v>KHAC</v>
      </c>
    </row>
    <row r="320" ht="25" customHeight="1">
      <c r="A320" s="2" t="str">
        <v>Q335</v>
      </c>
      <c r="B320" s="2" t="str">
        <v>KH058</v>
      </c>
      <c r="C320" s="2" t="str">
        <v>KH058</v>
      </c>
      <c r="D320" s="2" t="str">
        <v>S2-00335-BH</v>
      </c>
      <c r="E320" s="2" t="str">
        <v>BAN_HANG</v>
      </c>
      <c r="F320" s="2" t="str">
        <v>INP6701</v>
      </c>
      <c r="G320" s="2" t="str">
        <v>2026-02-03</v>
      </c>
      <c r="H320" s="2" t="str">
        <v>12479999.9616</v>
      </c>
      <c r="I320" s="28" t="n">
        <v>12479999.9616</v>
      </c>
      <c r="J320" s="7" t="n">
        <v>12480000</v>
      </c>
      <c r="K320" s="28" t="n">
        <f>J320-I320</f>
        <v>0.03839999996125698</v>
      </c>
      <c r="L320" s="2" t="str">
        <v>NHẬP</v>
      </c>
      <c r="M320" s="2" t="str"/>
      <c r="N320" s="2" t="str">
        <v>KHAC</v>
      </c>
    </row>
    <row r="321" ht="25" customHeight="1">
      <c r="A321" s="2" t="str">
        <v>Q336</v>
      </c>
      <c r="B321" s="2" t="str">
        <v>KH058</v>
      </c>
      <c r="C321" s="2" t="str">
        <v>KH058</v>
      </c>
      <c r="D321" s="2" t="str">
        <v>S2-00335-BH</v>
      </c>
      <c r="E321" s="2" t="str">
        <v>BAN_HANG</v>
      </c>
      <c r="F321" s="2" t="str">
        <v>INP6002</v>
      </c>
      <c r="G321" s="2" t="str">
        <v>2026-02-03</v>
      </c>
      <c r="H321" s="2" t="str">
        <v>28439999.9424</v>
      </c>
      <c r="I321" s="28" t="n">
        <v>28439999.9424</v>
      </c>
      <c r="J321" s="7" t="n">
        <v>28440000</v>
      </c>
      <c r="K321" s="28" t="n">
        <f>J321-I321</f>
        <v>0.0575999990105629</v>
      </c>
      <c r="L321" s="2" t="str">
        <v>NHẬP</v>
      </c>
      <c r="M321" s="2" t="str"/>
      <c r="N321" s="2" t="str">
        <v>KHAC</v>
      </c>
    </row>
    <row r="322" ht="25" customHeight="1">
      <c r="A322" s="2" t="str">
        <v>R337</v>
      </c>
      <c r="B322" s="2" t="str">
        <v>KH058</v>
      </c>
      <c r="C322" s="2" t="str">
        <v>KH058</v>
      </c>
      <c r="D322" s="2" t="str">
        <v>S2-00337-TT</v>
      </c>
      <c r="E322" s="2" t="str">
        <v>THU_TIEN</v>
      </c>
      <c r="F322" s="2" t="str"/>
      <c r="G322" s="2" t="str">
        <v>2026-03-12</v>
      </c>
      <c r="H322" s="2" t="str">
        <v>35000000</v>
      </c>
      <c r="I322" s="28" t="n">
        <v>35000000</v>
      </c>
      <c r="J322" s="7" t="n">
        <v>35000000</v>
      </c>
      <c r="K322" s="28" t="n">
        <f>J322-I322</f>
        <v>0</v>
      </c>
      <c r="L322" s="2" t="str">
        <v>NHẬP</v>
      </c>
      <c r="M322" s="2" t="str"/>
      <c r="N322" s="2" t="str">
        <v>KHAC</v>
      </c>
    </row>
    <row r="323" ht="25" customHeight="1">
      <c r="A323" s="2" t="str">
        <v>Q338</v>
      </c>
      <c r="B323" s="2" t="str">
        <v>KH058</v>
      </c>
      <c r="C323" s="2" t="str">
        <v>KH058</v>
      </c>
      <c r="D323" s="2" t="str">
        <v>S2-00338-BH</v>
      </c>
      <c r="E323" s="2" t="str">
        <v>BAN_HANG</v>
      </c>
      <c r="F323" s="2" t="str">
        <v>INP2101</v>
      </c>
      <c r="G323" s="2" t="str">
        <v>2026-03-12</v>
      </c>
      <c r="H323" s="2" t="str">
        <v>12649999.5</v>
      </c>
      <c r="I323" s="28" t="n">
        <v>12649999.5</v>
      </c>
      <c r="J323" s="7" t="n">
        <v>12649999</v>
      </c>
      <c r="K323" s="28" t="n">
        <f>J323-I323</f>
        <v>-0.5</v>
      </c>
      <c r="L323" s="2" t="str">
        <v>NHẬP</v>
      </c>
      <c r="M323" s="2" t="str"/>
      <c r="N323" s="2" t="str">
        <v>KHAC</v>
      </c>
    </row>
    <row r="324" ht="25" customHeight="1">
      <c r="A324" s="2" t="str">
        <v>Q339</v>
      </c>
      <c r="B324" s="2" t="str">
        <v>KH058</v>
      </c>
      <c r="C324" s="2" t="str">
        <v>KH058</v>
      </c>
      <c r="D324" s="2" t="str">
        <v>S2-00338-BH</v>
      </c>
      <c r="E324" s="2" t="str">
        <v>BAN_HANG</v>
      </c>
      <c r="F324" s="2" t="str">
        <v>INP2102</v>
      </c>
      <c r="G324" s="2" t="str">
        <v>2026-03-12</v>
      </c>
      <c r="H324" s="2" t="str">
        <v>13849999.92</v>
      </c>
      <c r="I324" s="28" t="n">
        <v>13849999.92</v>
      </c>
      <c r="J324" s="7" t="n">
        <v>13850000</v>
      </c>
      <c r="K324" s="28" t="n">
        <f>J324-I324</f>
        <v>0.0800000000745058</v>
      </c>
      <c r="L324" s="2" t="str">
        <v>NHẬP</v>
      </c>
      <c r="M324" s="2" t="str"/>
      <c r="N324" s="2" t="str">
        <v>KHAC</v>
      </c>
    </row>
    <row r="325" ht="25" customHeight="1">
      <c r="A325" s="2" t="str">
        <v>Q340</v>
      </c>
      <c r="B325" s="2" t="str">
        <v>KH058</v>
      </c>
      <c r="C325" s="2" t="str">
        <v>KH058</v>
      </c>
      <c r="D325" s="2" t="str">
        <v>S2-00338-BH</v>
      </c>
      <c r="E325" s="2" t="str">
        <v>BAN_HANG</v>
      </c>
      <c r="F325" s="2" t="str">
        <v>INP2103</v>
      </c>
      <c r="G325" s="2" t="str">
        <v>2026-03-12</v>
      </c>
      <c r="H325" s="2" t="str">
        <v>30399999.84</v>
      </c>
      <c r="I325" s="28" t="n">
        <v>30399999.84</v>
      </c>
      <c r="J325" s="7" t="n">
        <v>30400000</v>
      </c>
      <c r="K325" s="28" t="n">
        <f>J325-I325</f>
        <v>0.1600000001490116</v>
      </c>
      <c r="L325" s="2" t="str">
        <v>NHẬP</v>
      </c>
      <c r="M325" s="2" t="str"/>
      <c r="N325" s="2" t="str">
        <v>KHAC</v>
      </c>
    </row>
    <row r="326" ht="25" customHeight="1">
      <c r="A326" s="2" t="str">
        <v>Q341</v>
      </c>
      <c r="B326" s="2" t="str">
        <v>KH058</v>
      </c>
      <c r="C326" s="2" t="str">
        <v>KH058</v>
      </c>
      <c r="D326" s="2" t="str">
        <v>S2-00338-BH</v>
      </c>
      <c r="E326" s="2" t="str">
        <v>BAN_HANG</v>
      </c>
      <c r="F326" s="2" t="str">
        <v>INP6001</v>
      </c>
      <c r="G326" s="2" t="str">
        <v>2026-03-12</v>
      </c>
      <c r="H326" s="2" t="str">
        <v>19679999.8464</v>
      </c>
      <c r="I326" s="28" t="n">
        <v>19679999.8464</v>
      </c>
      <c r="J326" s="7" t="n">
        <v>19680000</v>
      </c>
      <c r="K326" s="28" t="n">
        <f>J326-I326</f>
        <v>0.15359999984502792</v>
      </c>
      <c r="L326" s="2" t="str">
        <v>NHẬP</v>
      </c>
      <c r="M326" s="2" t="str"/>
      <c r="N326" s="2" t="str">
        <v>KHAC</v>
      </c>
    </row>
    <row r="327" ht="25" customHeight="1">
      <c r="A327" s="2" t="str">
        <v>Q342</v>
      </c>
      <c r="B327" s="2" t="str">
        <v>KH058</v>
      </c>
      <c r="C327" s="2" t="str">
        <v>KH058</v>
      </c>
      <c r="D327" s="2" t="str">
        <v>S2-00338-BH</v>
      </c>
      <c r="E327" s="2" t="str">
        <v>BAN_HANG</v>
      </c>
      <c r="F327" s="2" t="str">
        <v>INP6003</v>
      </c>
      <c r="G327" s="2" t="str">
        <v>2026-03-12</v>
      </c>
      <c r="H327" s="2" t="str">
        <v>7359999.984</v>
      </c>
      <c r="I327" s="28" t="n">
        <v>7359999.984</v>
      </c>
      <c r="J327" s="7" t="n">
        <v>7360000</v>
      </c>
      <c r="K327" s="28" t="n">
        <f>J327-I327</f>
        <v>0.015999999828636646</v>
      </c>
      <c r="L327" s="2" t="str">
        <v>NHẬP</v>
      </c>
      <c r="M327" s="2" t="str"/>
      <c r="N327" s="2" t="str">
        <v>KHAC</v>
      </c>
    </row>
    <row r="328" ht="25" customHeight="1">
      <c r="A328" s="2" t="str">
        <v>Q343</v>
      </c>
      <c r="B328" s="2" t="str">
        <v>KH058</v>
      </c>
      <c r="C328" s="2" t="str">
        <v>KH058</v>
      </c>
      <c r="D328" s="2" t="str">
        <v>S2-00338-BH</v>
      </c>
      <c r="E328" s="2" t="str">
        <v>BAN_HANG</v>
      </c>
      <c r="F328" s="2" t="str">
        <v>INP6701</v>
      </c>
      <c r="G328" s="2" t="str">
        <v>2026-03-12</v>
      </c>
      <c r="H328" s="2" t="str">
        <v>15599999.952</v>
      </c>
      <c r="I328" s="28" t="n">
        <v>15599999.952</v>
      </c>
      <c r="J328" s="7" t="n">
        <v>15600000</v>
      </c>
      <c r="K328" s="28" t="n">
        <f>J328-I328</f>
        <v>0.04800000041723251</v>
      </c>
      <c r="L328" s="2" t="str">
        <v>NHẬP</v>
      </c>
      <c r="M328" s="2" t="str"/>
      <c r="N328" s="2" t="str">
        <v>KHAC</v>
      </c>
    </row>
    <row r="329" ht="25" customHeight="1">
      <c r="A329" s="2" t="str">
        <v>Q344</v>
      </c>
      <c r="B329" s="2" t="str">
        <v>KH058</v>
      </c>
      <c r="C329" s="2" t="str">
        <v>KH058</v>
      </c>
      <c r="D329" s="2" t="str">
        <v>S2-00338-BH</v>
      </c>
      <c r="E329" s="2" t="str">
        <v>BAN_HANG</v>
      </c>
      <c r="F329" s="2" t="str">
        <v>INP6002</v>
      </c>
      <c r="G329" s="2" t="str">
        <v>2026-03-12</v>
      </c>
      <c r="H329" s="2" t="str">
        <v>4739999.9904</v>
      </c>
      <c r="I329" s="28" t="n">
        <v>4739999.9904</v>
      </c>
      <c r="J329" s="7" t="n">
        <v>4740000</v>
      </c>
      <c r="K329" s="28" t="n">
        <f>J329-I329</f>
        <v>0.009600000455975533</v>
      </c>
      <c r="L329" s="2" t="str">
        <v>NHẬP</v>
      </c>
      <c r="M329" s="2" t="str"/>
      <c r="N329" s="2" t="str">
        <v>KHAC</v>
      </c>
    </row>
    <row r="330" ht="25" customHeight="1">
      <c r="A330" s="2" t="str">
        <v>R345</v>
      </c>
      <c r="B330" s="2" t="str">
        <v>KH058</v>
      </c>
      <c r="C330" s="2" t="str">
        <v>KH058</v>
      </c>
      <c r="D330" s="2" t="str">
        <v>S2-00345-TT</v>
      </c>
      <c r="E330" s="2" t="str">
        <v>THU_TIEN</v>
      </c>
      <c r="F330" s="2" t="str"/>
      <c r="G330" s="2" t="str">
        <v>2026-11-14</v>
      </c>
      <c r="H330" s="2" t="str">
        <v>100000000</v>
      </c>
      <c r="I330" s="28" t="n">
        <v>100000000</v>
      </c>
      <c r="J330" s="7" t="n">
        <v>100000000</v>
      </c>
      <c r="K330" s="28" t="n">
        <f>J330-I330</f>
        <v>0</v>
      </c>
      <c r="L330" s="2" t="str">
        <v>NHẬP</v>
      </c>
      <c r="M330" s="2" t="str"/>
      <c r="N330" s="2" t="str">
        <v>KHAC</v>
      </c>
    </row>
    <row r="331" ht="25" customHeight="1">
      <c r="A331" s="2" t="str">
        <v>Q346</v>
      </c>
      <c r="B331" s="2" t="str">
        <v>KH058</v>
      </c>
      <c r="C331" s="2" t="str">
        <v>KH058</v>
      </c>
      <c r="D331" s="2" t="str">
        <v>S2-00346-BH</v>
      </c>
      <c r="E331" s="2" t="str">
        <v>BAN_HANG</v>
      </c>
      <c r="F331" s="2" t="str">
        <v>INP1301</v>
      </c>
      <c r="G331" s="2" t="str">
        <v>2026-04-28</v>
      </c>
      <c r="H331" s="2" t="str">
        <v>4413461.04</v>
      </c>
      <c r="I331" s="28" t="n">
        <v>4413461.04</v>
      </c>
      <c r="J331" s="7" t="n">
        <v>4413461</v>
      </c>
      <c r="K331" s="28" t="n">
        <f>J331-I331</f>
        <v>-0.0400000000372529</v>
      </c>
      <c r="L331" s="2" t="str">
        <v>NHẬP</v>
      </c>
      <c r="M331" s="2" t="str"/>
      <c r="N331" s="2" t="str">
        <v>KHAC</v>
      </c>
    </row>
    <row r="332" ht="25" customHeight="1">
      <c r="A332" s="2" t="str">
        <v>Q347</v>
      </c>
      <c r="B332" s="2" t="str">
        <v>KH058</v>
      </c>
      <c r="C332" s="2" t="str">
        <v>KH058</v>
      </c>
      <c r="D332" s="2" t="str">
        <v>S2-00346-BH</v>
      </c>
      <c r="E332" s="2" t="str">
        <v>BAN_HANG</v>
      </c>
      <c r="F332" s="2" t="str">
        <v>INP2101</v>
      </c>
      <c r="G332" s="2" t="str">
        <v>2026-04-28</v>
      </c>
      <c r="H332" s="2" t="str">
        <v>7589999.7</v>
      </c>
      <c r="I332" s="28" t="n">
        <v>7589999.7</v>
      </c>
      <c r="J332" s="7" t="n">
        <v>7589999</v>
      </c>
      <c r="K332" s="28" t="n">
        <f>J332-I332</f>
        <v>-0.7000000001862645</v>
      </c>
      <c r="L332" s="2" t="str">
        <v>NHẬP</v>
      </c>
      <c r="M332" s="2" t="str"/>
      <c r="N332" s="2" t="str">
        <v>KHAC</v>
      </c>
    </row>
    <row r="333" ht="25" customHeight="1">
      <c r="A333" s="2" t="str">
        <v>Q348</v>
      </c>
      <c r="B333" s="2" t="str">
        <v>KH058</v>
      </c>
      <c r="C333" s="2" t="str">
        <v>KH058</v>
      </c>
      <c r="D333" s="2" t="str">
        <v>S2-00346-BH</v>
      </c>
      <c r="E333" s="2" t="str">
        <v>BAN_HANG</v>
      </c>
      <c r="F333" s="2" t="str">
        <v>INP2102</v>
      </c>
      <c r="G333" s="2" t="str">
        <v>2026-04-28</v>
      </c>
      <c r="H333" s="2" t="str">
        <v>22159999.872</v>
      </c>
      <c r="I333" s="28" t="n">
        <v>22159999.872</v>
      </c>
      <c r="J333" s="7" t="n">
        <v>22160000</v>
      </c>
      <c r="K333" s="28" t="n">
        <f>J333-I333</f>
        <v>0.12799999862909317</v>
      </c>
      <c r="L333" s="2" t="str">
        <v>NHẬP</v>
      </c>
      <c r="M333" s="2" t="str"/>
      <c r="N333" s="2" t="str">
        <v>KHAC</v>
      </c>
    </row>
    <row r="334" ht="25" customHeight="1">
      <c r="A334" s="2" t="str">
        <v>Q349</v>
      </c>
      <c r="B334" s="2" t="str">
        <v>KH058</v>
      </c>
      <c r="C334" s="2" t="str">
        <v>KH058</v>
      </c>
      <c r="D334" s="2" t="str">
        <v>S2-00346-BH</v>
      </c>
      <c r="E334" s="2" t="str">
        <v>BAN_HANG</v>
      </c>
      <c r="F334" s="2" t="str">
        <v>INP2103</v>
      </c>
      <c r="G334" s="2" t="str">
        <v>2026-04-28</v>
      </c>
      <c r="H334" s="2" t="str">
        <v>48639999.744</v>
      </c>
      <c r="I334" s="28" t="n">
        <v>48639999.744</v>
      </c>
      <c r="J334" s="7" t="n">
        <v>48639999</v>
      </c>
      <c r="K334" s="28" t="n">
        <f>J334-I334</f>
        <v>-0.7440000027418137</v>
      </c>
      <c r="L334" s="2" t="str">
        <v>NHẬP</v>
      </c>
      <c r="M334" s="2" t="str"/>
      <c r="N334" s="2" t="str">
        <v>KHAC</v>
      </c>
    </row>
    <row r="335" ht="25" customHeight="1">
      <c r="A335" s="2" t="str">
        <v>Q350</v>
      </c>
      <c r="B335" s="2" t="str">
        <v>KH058</v>
      </c>
      <c r="C335" s="2" t="str">
        <v>KH058</v>
      </c>
      <c r="D335" s="2" t="str">
        <v>S2-00346-BH</v>
      </c>
      <c r="E335" s="2" t="str">
        <v>BAN_HANG</v>
      </c>
      <c r="F335" s="2" t="str">
        <v>INP6201</v>
      </c>
      <c r="G335" s="2" t="str">
        <v>2026-04-28</v>
      </c>
      <c r="H335" s="2" t="str">
        <v>12599999.8416</v>
      </c>
      <c r="I335" s="28" t="n">
        <v>12599999.8416</v>
      </c>
      <c r="J335" s="7" t="n">
        <v>12600000</v>
      </c>
      <c r="K335" s="28" t="n">
        <f>J335-I335</f>
        <v>0.15839999914169312</v>
      </c>
      <c r="L335" s="2" t="str">
        <v>NHẬP</v>
      </c>
      <c r="M335" s="2" t="str"/>
      <c r="N335" s="2" t="str">
        <v>KHAC</v>
      </c>
    </row>
    <row r="336" ht="25" customHeight="1">
      <c r="A336" s="2" t="str">
        <v>Q351</v>
      </c>
      <c r="B336" s="2" t="str">
        <v>KH058</v>
      </c>
      <c r="C336" s="2" t="str">
        <v>KH058</v>
      </c>
      <c r="D336" s="2" t="str">
        <v>S2-00346-BH</v>
      </c>
      <c r="E336" s="2" t="str">
        <v>BAN_HANG</v>
      </c>
      <c r="F336" s="2" t="str">
        <v>INP6202</v>
      </c>
      <c r="G336" s="2" t="str">
        <v>2026-04-28</v>
      </c>
      <c r="H336" s="2" t="str">
        <v>42239999.232</v>
      </c>
      <c r="I336" s="28" t="n">
        <v>42239999.232</v>
      </c>
      <c r="J336" s="7" t="n">
        <v>42239999</v>
      </c>
      <c r="K336" s="28" t="n">
        <f>J336-I336</f>
        <v>-0.23200000077486038</v>
      </c>
      <c r="L336" s="2" t="str">
        <v>NHẬP</v>
      </c>
      <c r="M336" s="2" t="str"/>
      <c r="N336" s="2" t="str">
        <v>KHAC</v>
      </c>
    </row>
    <row r="337" ht="25" customHeight="1">
      <c r="A337" s="2" t="str">
        <v>Q352</v>
      </c>
      <c r="B337" s="2" t="str">
        <v>KH058</v>
      </c>
      <c r="C337" s="2" t="str">
        <v>KH058</v>
      </c>
      <c r="D337" s="2" t="str">
        <v>S2-00346-BH</v>
      </c>
      <c r="E337" s="2" t="str">
        <v>BAN_HANG</v>
      </c>
      <c r="F337" s="2" t="str">
        <v>INP6701</v>
      </c>
      <c r="G337" s="2" t="str">
        <v>2026-04-28</v>
      </c>
      <c r="H337" s="2" t="str">
        <v>77999999.76</v>
      </c>
      <c r="I337" s="28" t="n">
        <v>77999999.76</v>
      </c>
      <c r="J337" s="7" t="n">
        <v>78000000</v>
      </c>
      <c r="K337" s="28" t="n">
        <f>J337-I337</f>
        <v>0.23999999463558197</v>
      </c>
      <c r="L337" s="2" t="str">
        <v>NHẬP</v>
      </c>
      <c r="M337" s="2" t="str"/>
      <c r="N337" s="2" t="str">
        <v>KHAC</v>
      </c>
    </row>
    <row r="338" ht="25" customHeight="1">
      <c r="A338" s="2" t="str">
        <v>Q353</v>
      </c>
      <c r="B338" s="2" t="str">
        <v>KH058</v>
      </c>
      <c r="C338" s="2" t="str">
        <v>KH058</v>
      </c>
      <c r="D338" s="2" t="str">
        <v>S2-00353-BH</v>
      </c>
      <c r="E338" s="2" t="str">
        <v>BAN_HANG</v>
      </c>
      <c r="F338" s="2" t="str">
        <v>INP2104</v>
      </c>
      <c r="G338" s="2" t="str">
        <v>2026-04-28</v>
      </c>
      <c r="H338" s="2" t="str">
        <v>70839998.064</v>
      </c>
      <c r="I338" s="28" t="n">
        <v>70839998.064</v>
      </c>
      <c r="J338" s="7" t="n">
        <v>70839998</v>
      </c>
      <c r="K338" s="28" t="n">
        <f>J338-I338</f>
        <v>-0.06399999558925629</v>
      </c>
      <c r="L338" s="2" t="str">
        <v>NHẬP</v>
      </c>
      <c r="M338" s="2" t="str"/>
      <c r="N338" s="2" t="str">
        <v>KHAC</v>
      </c>
    </row>
    <row r="339" ht="25" customHeight="1">
      <c r="A339" s="2" t="str">
        <v>Q354</v>
      </c>
      <c r="B339" s="2" t="str">
        <v>KH058</v>
      </c>
      <c r="C339" s="2" t="str">
        <v>KH058</v>
      </c>
      <c r="D339" s="2" t="str">
        <v>S2-00354-BH</v>
      </c>
      <c r="E339" s="2" t="str">
        <v>BAN_HANG</v>
      </c>
      <c r="F339" s="2" t="str">
        <v>INP2104</v>
      </c>
      <c r="G339" s="2" t="str">
        <v>2026-05-19</v>
      </c>
      <c r="H339" s="2" t="str">
        <v>3219999.912</v>
      </c>
      <c r="I339" s="28" t="n">
        <v>3219999.912</v>
      </c>
      <c r="J339" s="7" t="n">
        <v>3220000</v>
      </c>
      <c r="K339" s="28" t="n">
        <f>J339-I339</f>
        <v>0.08799999998882413</v>
      </c>
      <c r="L339" s="2" t="str">
        <v>NHẬP</v>
      </c>
      <c r="M339" s="2" t="str"/>
      <c r="N339" s="2" t="str">
        <v>KHAC</v>
      </c>
    </row>
    <row r="340" ht="25" customHeight="1">
      <c r="A340" s="2" t="str">
        <v>T355</v>
      </c>
      <c r="B340" s="2" t="str">
        <v>KH058</v>
      </c>
      <c r="C340" s="2" t="str">
        <v>KH058</v>
      </c>
      <c r="D340" s="2" t="str">
        <v>S2-00355-GG</v>
      </c>
      <c r="E340" s="2" t="str">
        <v>GIAM_GIA</v>
      </c>
      <c r="F340" s="2" t="str"/>
      <c r="G340" s="2" t="str"/>
      <c r="H340" s="2" t="str">
        <v>15000943.658328</v>
      </c>
      <c r="I340" s="28" t="n">
        <v>15000943.658328</v>
      </c>
      <c r="J340" s="7" t="n">
        <v>15000944</v>
      </c>
      <c r="K340" s="28" t="n">
        <f>J340-I340</f>
        <v>0.34167199954390526</v>
      </c>
      <c r="L340" s="2" t="str">
        <v>NHẬP</v>
      </c>
      <c r="M340" s="2" t="str"/>
      <c r="N340" s="2" t="str">
        <v>KHAC</v>
      </c>
    </row>
    <row r="341" ht="25" customHeight="1">
      <c r="A341" s="2" t="str">
        <v>R356</v>
      </c>
      <c r="B341" s="2" t="str">
        <v>KH058</v>
      </c>
      <c r="C341" s="2" t="str">
        <v>KH058</v>
      </c>
      <c r="D341" s="2" t="str">
        <v>S2-00356-TT</v>
      </c>
      <c r="E341" s="2" t="str">
        <v>THU_TIEN</v>
      </c>
      <c r="F341" s="2" t="str"/>
      <c r="G341" s="2" t="str">
        <v>2026-05-11</v>
      </c>
      <c r="H341" s="2" t="str">
        <v>100000000</v>
      </c>
      <c r="I341" s="28" t="n">
        <v>100000000</v>
      </c>
      <c r="J341" s="7" t="n">
        <v>100000000</v>
      </c>
      <c r="K341" s="28" t="n">
        <f>J341-I341</f>
        <v>0</v>
      </c>
      <c r="L341" s="2" t="str">
        <v>NHẬP</v>
      </c>
      <c r="M341" s="2" t="str"/>
      <c r="N341" s="2" t="str">
        <v>KHAC</v>
      </c>
    </row>
    <row r="342" ht="25" customHeight="1">
      <c r="A342" s="2" t="str">
        <v>Q357</v>
      </c>
      <c r="B342" s="2" t="str">
        <v>KH058</v>
      </c>
      <c r="C342" s="2" t="str">
        <v>KH058</v>
      </c>
      <c r="D342" s="2" t="str">
        <v>S2-00357-BH</v>
      </c>
      <c r="E342" s="2" t="str">
        <v>BAN_HANG</v>
      </c>
      <c r="F342" s="2" t="str">
        <v>INP6401</v>
      </c>
      <c r="G342" s="2" t="str">
        <v>2026-05-06</v>
      </c>
      <c r="H342" s="2" t="str">
        <v>55000000.08</v>
      </c>
      <c r="I342" s="28" t="n">
        <v>55000000.08</v>
      </c>
      <c r="J342" s="7" t="n">
        <v>55000000</v>
      </c>
      <c r="K342" s="28" t="n">
        <f>J342-I342</f>
        <v>-0.07999999821186066</v>
      </c>
      <c r="L342" s="2" t="str">
        <v>NHẬP</v>
      </c>
      <c r="M342" s="2" t="str"/>
      <c r="N342" s="2" t="str">
        <v>QUAT</v>
      </c>
    </row>
    <row r="343" ht="25" customHeight="1">
      <c r="A343" s="2" t="str">
        <v>R358</v>
      </c>
      <c r="B343" s="2" t="str">
        <v>KH058</v>
      </c>
      <c r="C343" s="2" t="str">
        <v>KH058</v>
      </c>
      <c r="D343" s="2" t="str">
        <v>S2-00358-TT</v>
      </c>
      <c r="E343" s="2" t="str">
        <v>THU_TIEN</v>
      </c>
      <c r="F343" s="2" t="str"/>
      <c r="G343" s="2" t="str">
        <v>2026-06-17</v>
      </c>
      <c r="H343" s="2" t="str">
        <v>100000000</v>
      </c>
      <c r="I343" s="28" t="n">
        <v>100000000</v>
      </c>
      <c r="J343" s="7" t="n">
        <v>100000000</v>
      </c>
      <c r="K343" s="28" t="n">
        <f>J343-I343</f>
        <v>0</v>
      </c>
      <c r="L343" s="2" t="str">
        <v>NHẬP</v>
      </c>
      <c r="M343" s="2" t="str"/>
      <c r="N343" s="2" t="str">
        <v>KHAC</v>
      </c>
    </row>
    <row r="344" ht="25" customHeight="1">
      <c r="A344" s="2" t="str">
        <v>Q359</v>
      </c>
      <c r="B344" s="2" t="str">
        <v>KH058</v>
      </c>
      <c r="C344" s="2" t="str">
        <v>KH058</v>
      </c>
      <c r="D344" s="2" t="str">
        <v>S2-00359-BH</v>
      </c>
      <c r="E344" s="2" t="str">
        <v>BAN_HANG</v>
      </c>
      <c r="F344" s="2" t="str">
        <v>INP1401</v>
      </c>
      <c r="G344" s="2" t="str">
        <v>2026-06-23</v>
      </c>
      <c r="H344" s="2" t="str">
        <v>8899999.956</v>
      </c>
      <c r="I344" s="28" t="n">
        <v>8899999.956</v>
      </c>
      <c r="J344" s="7" t="n">
        <v>8900000</v>
      </c>
      <c r="K344" s="28" t="n">
        <f>J344-I344</f>
        <v>0.04399999976158142</v>
      </c>
      <c r="L344" s="2" t="str">
        <v>NHẬP</v>
      </c>
      <c r="M344" s="2" t="str"/>
      <c r="N344" s="2" t="str">
        <v>KHAC</v>
      </c>
    </row>
    <row r="345" ht="25" customHeight="1">
      <c r="A345" s="2" t="str">
        <v>Q360</v>
      </c>
      <c r="B345" s="2" t="str">
        <v>KH058</v>
      </c>
      <c r="C345" s="2" t="str">
        <v>KH058</v>
      </c>
      <c r="D345" s="2" t="str">
        <v>S2-00359-BH</v>
      </c>
      <c r="E345" s="2" t="str">
        <v>BAN_HANG</v>
      </c>
      <c r="F345" s="2" t="str">
        <v>INP1402</v>
      </c>
      <c r="G345" s="2" t="str">
        <v>2026-06-23</v>
      </c>
      <c r="H345" s="2" t="str">
        <v>10130010.768</v>
      </c>
      <c r="I345" s="28" t="n">
        <v>10130010.768</v>
      </c>
      <c r="J345" s="7" t="n">
        <v>10130011</v>
      </c>
      <c r="K345" s="28" t="n">
        <f>J345-I345</f>
        <v>0.23200000077486038</v>
      </c>
      <c r="L345" s="2" t="str">
        <v>NHẬP</v>
      </c>
      <c r="M345" s="2" t="str"/>
      <c r="N345" s="2" t="str">
        <v>KHAC</v>
      </c>
    </row>
    <row r="346" ht="25" customHeight="1">
      <c r="A346" s="2" t="str">
        <v>Q361</v>
      </c>
      <c r="B346" s="2" t="str">
        <v>KH058</v>
      </c>
      <c r="C346" s="2" t="str">
        <v>KH058</v>
      </c>
      <c r="D346" s="2" t="str">
        <v>S2-00361-BH</v>
      </c>
      <c r="E346" s="2" t="str">
        <v>BAN_HANG</v>
      </c>
      <c r="F346" s="2" t="str">
        <v>INP6402</v>
      </c>
      <c r="G346" s="2" t="str">
        <v>2026-06-23</v>
      </c>
      <c r="H346" s="2" t="str">
        <v>6199999.956</v>
      </c>
      <c r="I346" s="28" t="n">
        <v>6199999.956</v>
      </c>
      <c r="J346" s="7" t="n">
        <v>6200000</v>
      </c>
      <c r="K346" s="28" t="n">
        <f>J346-I346</f>
        <v>0.04399999976158142</v>
      </c>
      <c r="L346" s="2" t="str">
        <v>NHẬP</v>
      </c>
      <c r="M346" s="2" t="str"/>
      <c r="N346" s="2" t="str">
        <v>QUAT</v>
      </c>
    </row>
    <row r="347" ht="25" customHeight="1">
      <c r="A347" s="2" t="str">
        <v>Q362</v>
      </c>
      <c r="B347" s="2" t="str">
        <v>KH058</v>
      </c>
      <c r="C347" s="2" t="str">
        <v>KH058</v>
      </c>
      <c r="D347" s="2" t="str">
        <v>S2-00362-BH</v>
      </c>
      <c r="E347" s="2" t="str">
        <v>BAN_HANG</v>
      </c>
      <c r="F347" s="2" t="str">
        <v>INP6403</v>
      </c>
      <c r="G347" s="2" t="str">
        <v>2026-06-23</v>
      </c>
      <c r="H347" s="2" t="str">
        <v>74999999.52</v>
      </c>
      <c r="I347" s="28" t="n">
        <v>74999999.52</v>
      </c>
      <c r="J347" s="7" t="n">
        <v>75000000</v>
      </c>
      <c r="K347" s="28" t="n">
        <f>J347-I347</f>
        <v>0.48000000417232513</v>
      </c>
      <c r="L347" s="2" t="str">
        <v>NHẬP</v>
      </c>
      <c r="M347" s="2" t="str"/>
      <c r="N347" s="2" t="str">
        <v>QUAT</v>
      </c>
    </row>
    <row r="348" ht="25" customHeight="1">
      <c r="A348" s="2" t="str">
        <v>R363</v>
      </c>
      <c r="B348" s="2" t="str">
        <v>KH058</v>
      </c>
      <c r="C348" s="2" t="str">
        <v>KH058</v>
      </c>
      <c r="D348" s="2" t="str">
        <v>S2-00363-TT</v>
      </c>
      <c r="E348" s="2" t="str">
        <v>THU_TIEN</v>
      </c>
      <c r="F348" s="2" t="str"/>
      <c r="G348" s="2" t="str">
        <v>2026-07-30</v>
      </c>
      <c r="H348" s="2" t="str">
        <v>100000000</v>
      </c>
      <c r="I348" s="28" t="n">
        <v>100000000</v>
      </c>
      <c r="J348" s="7" t="n">
        <v>100000000</v>
      </c>
      <c r="K348" s="28" t="n">
        <f>J348-I348</f>
        <v>0</v>
      </c>
      <c r="L348" s="2" t="str">
        <v>NHẬP</v>
      </c>
      <c r="M348" s="2" t="str"/>
      <c r="N348" s="2" t="str">
        <v>KHAC</v>
      </c>
    </row>
    <row r="349" ht="25" customHeight="1">
      <c r="A349" s="2" t="str">
        <v>Q364</v>
      </c>
      <c r="B349" s="2" t="str">
        <v>KH058</v>
      </c>
      <c r="C349" s="2" t="str">
        <v>KH058</v>
      </c>
      <c r="D349" s="2" t="str">
        <v>S2-00364-BH</v>
      </c>
      <c r="E349" s="2" t="str">
        <v>BAN_HANG</v>
      </c>
      <c r="F349" s="2" t="str">
        <v>INP1001</v>
      </c>
      <c r="G349" s="2" t="str">
        <v>2026-07-30</v>
      </c>
      <c r="H349" s="2" t="str">
        <v>10379999.88</v>
      </c>
      <c r="I349" s="28" t="n">
        <v>10379999.88</v>
      </c>
      <c r="J349" s="7" t="n">
        <v>10380000</v>
      </c>
      <c r="K349" s="28" t="n">
        <f>J349-I349</f>
        <v>0.11999999918043613</v>
      </c>
      <c r="L349" s="2" t="str">
        <v>NHẬP</v>
      </c>
      <c r="M349" s="2" t="str"/>
      <c r="N349" s="2" t="str">
        <v>KHAC</v>
      </c>
    </row>
    <row r="350" ht="25" customHeight="1">
      <c r="A350" s="2" t="str">
        <v>Q365</v>
      </c>
      <c r="B350" s="2" t="str">
        <v>KH058</v>
      </c>
      <c r="C350" s="2" t="str">
        <v>KH058</v>
      </c>
      <c r="D350" s="2" t="str">
        <v>S2-00364-BH</v>
      </c>
      <c r="E350" s="2" t="str">
        <v>BAN_HANG</v>
      </c>
      <c r="F350" s="2" t="str">
        <v>INP1101</v>
      </c>
      <c r="G350" s="2" t="str">
        <v>2026-07-30</v>
      </c>
      <c r="H350" s="2" t="str">
        <v>10439999.928</v>
      </c>
      <c r="I350" s="28" t="n">
        <v>10439999.928</v>
      </c>
      <c r="J350" s="7" t="n">
        <v>10440000</v>
      </c>
      <c r="K350" s="28" t="n">
        <f>J350-I350</f>
        <v>0.07200000062584877</v>
      </c>
      <c r="L350" s="2" t="str">
        <v>NHẬP</v>
      </c>
      <c r="M350" s="2" t="str"/>
      <c r="N350" s="2" t="str">
        <v>KHAC</v>
      </c>
    </row>
    <row r="351" ht="25" customHeight="1">
      <c r="A351" s="2" t="str">
        <v>Q366</v>
      </c>
      <c r="B351" s="2" t="str">
        <v>KH058</v>
      </c>
      <c r="C351" s="2" t="str">
        <v>KH058</v>
      </c>
      <c r="D351" s="2" t="str">
        <v>S2-00364-BH</v>
      </c>
      <c r="E351" s="2" t="str">
        <v>BAN_HANG</v>
      </c>
      <c r="F351" s="2" t="str">
        <v>INP1003</v>
      </c>
      <c r="G351" s="2" t="str">
        <v>2026-07-30</v>
      </c>
      <c r="H351" s="2" t="str">
        <v>13999999.824</v>
      </c>
      <c r="I351" s="28" t="n">
        <v>13999999.824</v>
      </c>
      <c r="J351" s="7" t="n">
        <v>14000000</v>
      </c>
      <c r="K351" s="28" t="n">
        <f>J351-I351</f>
        <v>0.17600000090897083</v>
      </c>
      <c r="L351" s="2" t="str">
        <v>NHẬP</v>
      </c>
      <c r="M351" s="2" t="str"/>
      <c r="N351" s="2" t="str">
        <v>KHAC</v>
      </c>
    </row>
    <row r="352" ht="25" customHeight="1">
      <c r="A352" s="2" t="str">
        <v>Q367</v>
      </c>
      <c r="B352" s="2" t="str">
        <v>KH058</v>
      </c>
      <c r="C352" s="2" t="str">
        <v>KH058</v>
      </c>
      <c r="D352" s="2" t="str">
        <v>S2-00364-BH</v>
      </c>
      <c r="E352" s="2" t="str">
        <v>BAN_HANG</v>
      </c>
      <c r="F352" s="2" t="str">
        <v>INP6902</v>
      </c>
      <c r="G352" s="2" t="str">
        <v>2026-07-30</v>
      </c>
      <c r="H352" s="2" t="str">
        <v>8799999.948</v>
      </c>
      <c r="I352" s="28" t="n">
        <v>8799999.948</v>
      </c>
      <c r="J352" s="7" t="n">
        <v>8800000</v>
      </c>
      <c r="K352" s="28" t="n">
        <f>J352-I352</f>
        <v>0.05199999921023846</v>
      </c>
      <c r="L352" s="2" t="str">
        <v>NHẬP</v>
      </c>
      <c r="M352" s="2" t="str"/>
      <c r="N352" s="2" t="str">
        <v>KHAC</v>
      </c>
    </row>
    <row r="353" ht="25" customHeight="1">
      <c r="A353" s="2" t="str">
        <v>Q368</v>
      </c>
      <c r="B353" s="2" t="str">
        <v>KH058</v>
      </c>
      <c r="C353" s="2" t="str">
        <v>KH058</v>
      </c>
      <c r="D353" s="2" t="str">
        <v>S2-00368-BH</v>
      </c>
      <c r="E353" s="2" t="str">
        <v>BAN_HANG</v>
      </c>
      <c r="F353" s="2" t="str">
        <v>INP6005</v>
      </c>
      <c r="G353" s="2" t="str">
        <v>2026-07-30</v>
      </c>
      <c r="H353" s="2" t="str">
        <v>695999.9952</v>
      </c>
      <c r="I353" s="28" t="n">
        <v>695999.9952</v>
      </c>
      <c r="J353" s="7" t="n">
        <v>696000</v>
      </c>
      <c r="K353" s="28" t="n">
        <f>J353-I353</f>
        <v>0.004799999995157123</v>
      </c>
      <c r="L353" s="2" t="str">
        <v>NHẬP</v>
      </c>
      <c r="M353" s="2" t="str"/>
      <c r="N353" s="2" t="str">
        <v>KHAC</v>
      </c>
    </row>
    <row r="354" ht="25" customHeight="1">
      <c r="A354" s="2" t="str">
        <v>Q369</v>
      </c>
      <c r="B354" s="2" t="str">
        <v>KH058</v>
      </c>
      <c r="C354" s="2" t="str">
        <v>KH058</v>
      </c>
      <c r="D354" s="2" t="str">
        <v>S2-00368-BH</v>
      </c>
      <c r="E354" s="2" t="str">
        <v>BAN_HANG</v>
      </c>
      <c r="F354" s="2" t="str">
        <v>INP6007</v>
      </c>
      <c r="G354" s="2" t="str">
        <v>2026-07-30</v>
      </c>
      <c r="H354" s="2" t="str">
        <v>81600000.048</v>
      </c>
      <c r="I354" s="28" t="n">
        <v>81600000.048</v>
      </c>
      <c r="J354" s="7" t="n">
        <v>81600000</v>
      </c>
      <c r="K354" s="28" t="n">
        <f>J354-I354</f>
        <v>-0.047999992966651917</v>
      </c>
      <c r="L354" s="2" t="str">
        <v>NHẬP</v>
      </c>
      <c r="M354" s="2" t="str"/>
      <c r="N354" s="2" t="str">
        <v>KHAC</v>
      </c>
    </row>
    <row r="355" ht="25" customHeight="1">
      <c r="A355" s="2" t="str">
        <v>Q370</v>
      </c>
      <c r="B355" s="2" t="str">
        <v>KH058</v>
      </c>
      <c r="C355" s="2" t="str">
        <v>KH058</v>
      </c>
      <c r="D355" s="2" t="str">
        <v>S2-00368-BH</v>
      </c>
      <c r="E355" s="2" t="str">
        <v>BAN_HANG</v>
      </c>
      <c r="F355" s="2" t="str">
        <v>INP6009</v>
      </c>
      <c r="G355" s="2" t="str">
        <v>2026-07-30</v>
      </c>
      <c r="H355" s="2" t="str">
        <v>749999.9952</v>
      </c>
      <c r="I355" s="28" t="n">
        <v>749999.9952</v>
      </c>
      <c r="J355" s="7" t="n">
        <v>750000</v>
      </c>
      <c r="K355" s="28" t="n">
        <f>J355-I355</f>
        <v>0.004799999995157123</v>
      </c>
      <c r="L355" s="2" t="str">
        <v>NHẬP</v>
      </c>
      <c r="M355" s="2" t="str"/>
      <c r="N355" s="2" t="str">
        <v>KHAC</v>
      </c>
    </row>
    <row r="356" ht="25" customHeight="1">
      <c r="A356" s="2" t="str">
        <v>Q371</v>
      </c>
      <c r="B356" s="2" t="str">
        <v>KH058</v>
      </c>
      <c r="C356" s="2" t="str">
        <v>KH058</v>
      </c>
      <c r="D356" s="2" t="str">
        <v>S2-00368-BH</v>
      </c>
      <c r="E356" s="2" t="str">
        <v>BAN_HANG</v>
      </c>
      <c r="F356" s="2" t="str">
        <v>INP6011</v>
      </c>
      <c r="G356" s="2" t="str">
        <v>2026-07-30</v>
      </c>
      <c r="H356" s="2" t="str">
        <v>619999.9956</v>
      </c>
      <c r="I356" s="28" t="n">
        <v>619999.9956</v>
      </c>
      <c r="J356" s="7" t="n">
        <v>620000</v>
      </c>
      <c r="K356" s="28" t="n">
        <f>J356-I356</f>
        <v>0.004399999976158142</v>
      </c>
      <c r="L356" s="2" t="str">
        <v>NHẬP</v>
      </c>
      <c r="M356" s="2" t="str"/>
      <c r="N356" s="2" t="str">
        <v>KHAC</v>
      </c>
    </row>
    <row r="357" ht="25" customHeight="1">
      <c r="A357" s="2" t="str">
        <v>Q373</v>
      </c>
      <c r="B357" s="2" t="str">
        <v>KH074</v>
      </c>
      <c r="C357" s="2" t="str">
        <v>KH074</v>
      </c>
      <c r="D357" s="2" t="str">
        <v>S2-00373-BH</v>
      </c>
      <c r="E357" s="2" t="str">
        <v>BAN_HANG</v>
      </c>
      <c r="F357" s="2" t="str">
        <v>INP2111</v>
      </c>
      <c r="G357" s="2" t="str">
        <v>30/12/2025</v>
      </c>
      <c r="H357" s="2" t="str">
        <v>3000002.4</v>
      </c>
      <c r="I357" s="28" t="n">
        <v>3000002.4</v>
      </c>
      <c r="J357" s="7" t="n">
        <v>3000002</v>
      </c>
      <c r="K357" s="28" t="n">
        <f>J357-I357</f>
        <v>-0.39999999990686774</v>
      </c>
      <c r="L357" s="2" t="str">
        <v>NHẬP</v>
      </c>
      <c r="M357" s="2" t="str"/>
      <c r="N357" s="2" t="str">
        <v>KHAC</v>
      </c>
    </row>
    <row r="358" ht="25" customHeight="1">
      <c r="A358" s="2" t="str">
        <v>Q374</v>
      </c>
      <c r="B358" s="2" t="str">
        <v>KH074</v>
      </c>
      <c r="C358" s="2" t="str">
        <v>KH074</v>
      </c>
      <c r="D358" s="2" t="str">
        <v>S2-00373-BH</v>
      </c>
      <c r="E358" s="2" t="str">
        <v>BAN_HANG</v>
      </c>
      <c r="F358" s="2" t="str">
        <v>INP2202</v>
      </c>
      <c r="G358" s="2" t="str">
        <v>30/12/2025</v>
      </c>
      <c r="H358" s="2" t="str">
        <v>3647998.08</v>
      </c>
      <c r="I358" s="28" t="n">
        <v>3647998.08</v>
      </c>
      <c r="J358" s="7" t="n">
        <v>3647998</v>
      </c>
      <c r="K358" s="28" t="n">
        <f>J358-I358</f>
        <v>-0.0800000000745058</v>
      </c>
      <c r="L358" s="2" t="str">
        <v>NHẬP</v>
      </c>
      <c r="M358" s="2" t="str"/>
      <c r="N358" s="2" t="str">
        <v>KHAC</v>
      </c>
    </row>
    <row r="359" ht="25" customHeight="1">
      <c r="A359" s="2" t="str">
        <v>Q375</v>
      </c>
      <c r="B359" s="2" t="str">
        <v>KH074</v>
      </c>
      <c r="C359" s="2" t="str">
        <v>KH074</v>
      </c>
      <c r="D359" s="2" t="str">
        <v>S2-00373-BH</v>
      </c>
      <c r="E359" s="2" t="str">
        <v>BAN_HANG</v>
      </c>
      <c r="F359" s="2" t="str">
        <v>INP3201</v>
      </c>
      <c r="G359" s="2" t="str">
        <v>30/12/2025</v>
      </c>
      <c r="H359" s="2" t="str">
        <v>5039988.48</v>
      </c>
      <c r="I359" s="28" t="n">
        <v>5039988.48</v>
      </c>
      <c r="J359" s="7" t="n">
        <v>5039989</v>
      </c>
      <c r="K359" s="28" t="n">
        <f>J359-I359</f>
        <v>0.5199999995529652</v>
      </c>
      <c r="L359" s="2" t="str">
        <v>NHẬP</v>
      </c>
      <c r="M359" s="2" t="str"/>
      <c r="N359" s="2" t="str">
        <v>KHAC</v>
      </c>
    </row>
    <row r="360" ht="25" customHeight="1">
      <c r="A360" s="2" t="str">
        <v>Q376</v>
      </c>
      <c r="B360" s="2" t="str">
        <v>KH074</v>
      </c>
      <c r="C360" s="2" t="str">
        <v>KH074</v>
      </c>
      <c r="D360" s="2" t="str">
        <v>S2-00373-BH</v>
      </c>
      <c r="E360" s="2" t="str">
        <v>BAN_HANG</v>
      </c>
      <c r="F360" s="2" t="str">
        <v>INP1003</v>
      </c>
      <c r="G360" s="2" t="str">
        <v>30/12/2025</v>
      </c>
      <c r="H360" s="2" t="str">
        <v>4080002.4</v>
      </c>
      <c r="I360" s="28" t="n">
        <v>4080002.4</v>
      </c>
      <c r="J360" s="7" t="n">
        <v>4080002</v>
      </c>
      <c r="K360" s="28" t="n">
        <f>J360-I360</f>
        <v>-0.39999999990686774</v>
      </c>
      <c r="L360" s="2" t="str">
        <v>NHẬP</v>
      </c>
      <c r="M360" s="2" t="str"/>
      <c r="N360" s="2" t="str">
        <v>KHAC</v>
      </c>
    </row>
    <row r="361" ht="25" customHeight="1">
      <c r="A361" s="2" t="str">
        <v>Q377</v>
      </c>
      <c r="B361" s="2" t="str">
        <v>KH074</v>
      </c>
      <c r="C361" s="2" t="str">
        <v>KH074</v>
      </c>
      <c r="D361" s="2" t="str">
        <v>S2-00373-BH</v>
      </c>
      <c r="E361" s="2" t="str">
        <v>BAN_HANG</v>
      </c>
      <c r="F361" s="2" t="str">
        <v>INP1301</v>
      </c>
      <c r="G361" s="2" t="str">
        <v>30/12/2025</v>
      </c>
      <c r="H361" s="2" t="str">
        <v>850003.2</v>
      </c>
      <c r="I361" s="28" t="n">
        <v>850003.2</v>
      </c>
      <c r="J361" s="7" t="n">
        <v>850003</v>
      </c>
      <c r="K361" s="28" t="n">
        <f>J361-I361</f>
        <v>-0.19999999995343387</v>
      </c>
      <c r="L361" s="2" t="str">
        <v>NHẬP</v>
      </c>
      <c r="M361" s="2" t="str"/>
      <c r="N361" s="2" t="str">
        <v>KHAC</v>
      </c>
    </row>
    <row r="362" ht="25" customHeight="1">
      <c r="A362" s="2" t="str">
        <v>Q378</v>
      </c>
      <c r="B362" s="2" t="str">
        <v>KH074</v>
      </c>
      <c r="C362" s="2" t="str">
        <v>KH074</v>
      </c>
      <c r="D362" s="2" t="str">
        <v>S2-00373-BH</v>
      </c>
      <c r="E362" s="2" t="str">
        <v>BAN_HANG</v>
      </c>
      <c r="F362" s="2" t="str">
        <v>INP2101</v>
      </c>
      <c r="G362" s="2" t="str">
        <v>30/12/2025</v>
      </c>
      <c r="H362" s="2" t="str">
        <v>2529997.2</v>
      </c>
      <c r="I362" s="28" t="n">
        <v>2529997.2</v>
      </c>
      <c r="J362" s="7" t="n">
        <v>2529997</v>
      </c>
      <c r="K362" s="28" t="n">
        <f>J362-I362</f>
        <v>-0.20000000018626451</v>
      </c>
      <c r="L362" s="2" t="str">
        <v>NHẬP</v>
      </c>
      <c r="M362" s="2" t="str"/>
      <c r="N362" s="2" t="str">
        <v>KHAC</v>
      </c>
    </row>
    <row r="363" ht="25" customHeight="1">
      <c r="A363" s="2" t="str">
        <v>Q379</v>
      </c>
      <c r="B363" s="2" t="str">
        <v>KH074</v>
      </c>
      <c r="C363" s="2" t="str">
        <v>KH074</v>
      </c>
      <c r="D363" s="2" t="str">
        <v>S2-00373-BH</v>
      </c>
      <c r="E363" s="2" t="str">
        <v>BAN_HANG</v>
      </c>
      <c r="F363" s="2" t="str">
        <v>INP2102</v>
      </c>
      <c r="G363" s="2" t="str">
        <v>30/12/2025</v>
      </c>
      <c r="H363" s="2" t="str">
        <v>2769994.8</v>
      </c>
      <c r="I363" s="28" t="n">
        <v>2769994.8</v>
      </c>
      <c r="J363" s="7" t="n">
        <v>2769995</v>
      </c>
      <c r="K363" s="28" t="n">
        <f>J363-I363</f>
        <v>0.20000000018626451</v>
      </c>
      <c r="L363" s="2" t="str">
        <v>NHẬP</v>
      </c>
      <c r="M363" s="2" t="str"/>
      <c r="N363" s="2" t="str">
        <v>KHAC</v>
      </c>
    </row>
    <row r="364" ht="25" customHeight="1">
      <c r="A364" s="2" t="str">
        <v>Q380</v>
      </c>
      <c r="B364" s="2" t="str">
        <v>KH074</v>
      </c>
      <c r="C364" s="2" t="str">
        <v>KH074</v>
      </c>
      <c r="D364" s="2" t="str">
        <v>S2-00373-BH</v>
      </c>
      <c r="E364" s="2" t="str">
        <v>BAN_HANG</v>
      </c>
      <c r="F364" s="2" t="str">
        <v>INP2103</v>
      </c>
      <c r="G364" s="2" t="str">
        <v>30/12/2025</v>
      </c>
      <c r="H364" s="2" t="str">
        <v>3039994.8</v>
      </c>
      <c r="I364" s="28" t="n">
        <v>3039994.8</v>
      </c>
      <c r="J364" s="7" t="n">
        <v>3039995</v>
      </c>
      <c r="K364" s="28" t="n">
        <f>J364-I364</f>
        <v>0.20000000018626451</v>
      </c>
      <c r="L364" s="2" t="str">
        <v>NHẬP</v>
      </c>
      <c r="M364" s="2" t="str"/>
      <c r="N364" s="2" t="str">
        <v>KHAC</v>
      </c>
    </row>
    <row r="365" ht="25" customHeight="1">
      <c r="A365" s="2" t="str">
        <v>Q381</v>
      </c>
      <c r="B365" s="2" t="str">
        <v>KH074</v>
      </c>
      <c r="C365" s="2" t="str">
        <v>KH074</v>
      </c>
      <c r="D365" s="2" t="str">
        <v>S2-00373-BH</v>
      </c>
      <c r="E365" s="2" t="str">
        <v>BAN_HANG</v>
      </c>
      <c r="F365" s="2" t="str">
        <v>INP2105</v>
      </c>
      <c r="G365" s="2" t="str">
        <v>30/12/2025</v>
      </c>
      <c r="H365" s="2" t="str">
        <v>2460002.4</v>
      </c>
      <c r="I365" s="28" t="n">
        <v>2460002.4</v>
      </c>
      <c r="J365" s="7" t="n">
        <v>2460002</v>
      </c>
      <c r="K365" s="28" t="n">
        <f>J365-I365</f>
        <v>-0.39999999990686774</v>
      </c>
      <c r="L365" s="2" t="str">
        <v>NHẬP</v>
      </c>
      <c r="M365" s="2" t="str"/>
      <c r="N365" s="2" t="str">
        <v>KHAC</v>
      </c>
    </row>
    <row r="366" ht="25" customHeight="1">
      <c r="A366" s="2" t="str">
        <v>Q382</v>
      </c>
      <c r="B366" s="2" t="str">
        <v>KH074</v>
      </c>
      <c r="C366" s="2" t="str">
        <v>KH074</v>
      </c>
      <c r="D366" s="2" t="str">
        <v>S2-00373-BH</v>
      </c>
      <c r="E366" s="2" t="str">
        <v>BAN_HANG</v>
      </c>
      <c r="F366" s="2" t="str">
        <v>INP2106</v>
      </c>
      <c r="G366" s="2" t="str">
        <v>30/12/2025</v>
      </c>
      <c r="H366" s="2" t="str">
        <v>2730002.4</v>
      </c>
      <c r="I366" s="28" t="n">
        <v>2730002.4</v>
      </c>
      <c r="J366" s="7" t="n">
        <v>2730002</v>
      </c>
      <c r="K366" s="28" t="n">
        <f>J366-I366</f>
        <v>-0.39999999990686774</v>
      </c>
      <c r="L366" s="2" t="str">
        <v>NHẬP</v>
      </c>
      <c r="M366" s="2" t="str"/>
      <c r="N366" s="2" t="str">
        <v>KHAC</v>
      </c>
    </row>
    <row r="367" ht="25" customHeight="1">
      <c r="A367" s="2" t="str">
        <v>Q383</v>
      </c>
      <c r="B367" s="2" t="str">
        <v>KH074</v>
      </c>
      <c r="C367" s="2" t="str">
        <v>KH074</v>
      </c>
      <c r="D367" s="2" t="str">
        <v>S2-00373-BH</v>
      </c>
      <c r="E367" s="2" t="str">
        <v>BAN_HANG</v>
      </c>
      <c r="F367" s="2" t="str">
        <v>INP2108</v>
      </c>
      <c r="G367" s="2" t="str">
        <v>30/12/2025</v>
      </c>
      <c r="H367" s="2" t="str">
        <v>2769994.8</v>
      </c>
      <c r="I367" s="28" t="n">
        <v>2769994.8</v>
      </c>
      <c r="J367" s="7" t="n">
        <v>2769995</v>
      </c>
      <c r="K367" s="28" t="n">
        <f>J367-I367</f>
        <v>0.20000000018626451</v>
      </c>
      <c r="L367" s="2" t="str">
        <v>NHẬP</v>
      </c>
      <c r="M367" s="2" t="str"/>
      <c r="N367" s="2" t="str">
        <v>KHAC</v>
      </c>
    </row>
    <row r="368" ht="25" customHeight="1">
      <c r="A368" s="2" t="str">
        <v>Q384</v>
      </c>
      <c r="B368" s="2" t="str">
        <v>KH074</v>
      </c>
      <c r="C368" s="2" t="str">
        <v>KH074</v>
      </c>
      <c r="D368" s="2" t="str">
        <v>S2-00373-BH</v>
      </c>
      <c r="E368" s="2" t="str">
        <v>BAN_HANG</v>
      </c>
      <c r="F368" s="2" t="str">
        <v>INP2109</v>
      </c>
      <c r="G368" s="2" t="str">
        <v>30/12/2025</v>
      </c>
      <c r="H368" s="2" t="str">
        <v>2460002.4</v>
      </c>
      <c r="I368" s="28" t="n">
        <v>2460002.4</v>
      </c>
      <c r="J368" s="7" t="n">
        <v>2460002</v>
      </c>
      <c r="K368" s="28" t="n">
        <f>J368-I368</f>
        <v>-0.39999999990686774</v>
      </c>
      <c r="L368" s="2" t="str">
        <v>NHẬP</v>
      </c>
      <c r="M368" s="2" t="str"/>
      <c r="N368" s="2" t="str">
        <v>KHAC</v>
      </c>
    </row>
    <row r="369" ht="25" customHeight="1">
      <c r="A369" s="2" t="str">
        <v>Q385</v>
      </c>
      <c r="B369" s="2" t="str">
        <v>KH074</v>
      </c>
      <c r="C369" s="2" t="str">
        <v>KH074</v>
      </c>
      <c r="D369" s="2" t="str">
        <v>S2-00373-BH</v>
      </c>
      <c r="E369" s="2" t="str">
        <v>BAN_HANG</v>
      </c>
      <c r="F369" s="2" t="str">
        <v>INP2110</v>
      </c>
      <c r="G369" s="2" t="str">
        <v>30/12/2025</v>
      </c>
      <c r="H369" s="2" t="str">
        <v>2730002.4</v>
      </c>
      <c r="I369" s="28" t="n">
        <v>2730002.4</v>
      </c>
      <c r="J369" s="7" t="n">
        <v>2730002</v>
      </c>
      <c r="K369" s="28" t="n">
        <f>J369-I369</f>
        <v>-0.39999999990686774</v>
      </c>
      <c r="L369" s="2" t="str">
        <v>NHẬP</v>
      </c>
      <c r="M369" s="2" t="str"/>
      <c r="N369" s="2" t="str">
        <v>KHAC</v>
      </c>
    </row>
    <row r="370" ht="25" customHeight="1">
      <c r="A370" s="2" t="str">
        <v>Q386</v>
      </c>
      <c r="B370" s="2" t="str">
        <v>KH074</v>
      </c>
      <c r="C370" s="2" t="str">
        <v>KH074</v>
      </c>
      <c r="D370" s="2" t="str">
        <v>S2-00386-BH</v>
      </c>
      <c r="E370" s="2" t="str">
        <v>BAN_HANG</v>
      </c>
      <c r="F370" s="2" t="str">
        <v>INP6001</v>
      </c>
      <c r="G370" s="2" t="str">
        <v>30/12/2025</v>
      </c>
      <c r="H370" s="2" t="str">
        <v>2460000.24</v>
      </c>
      <c r="I370" s="28" t="n">
        <v>2460000.24</v>
      </c>
      <c r="J370" s="7" t="n">
        <v>2460000</v>
      </c>
      <c r="K370" s="28" t="n">
        <f>J370-I370</f>
        <v>-0.24000000022351742</v>
      </c>
      <c r="L370" s="2" t="str">
        <v>NHẬP</v>
      </c>
      <c r="M370" s="2" t="str"/>
      <c r="N370" s="2" t="str">
        <v>KHAC</v>
      </c>
    </row>
    <row r="371" ht="25" customHeight="1">
      <c r="A371" s="2" t="str">
        <v>Q387</v>
      </c>
      <c r="B371" s="2" t="str">
        <v>KH074</v>
      </c>
      <c r="C371" s="2" t="str">
        <v>KH074</v>
      </c>
      <c r="D371" s="2" t="str">
        <v>S2-00386-BH</v>
      </c>
      <c r="E371" s="2" t="str">
        <v>BAN_HANG</v>
      </c>
      <c r="F371" s="2" t="str">
        <v>INP6003</v>
      </c>
      <c r="G371" s="2" t="str">
        <v>30/12/2025</v>
      </c>
      <c r="H371" s="2" t="str">
        <v>1840000.32</v>
      </c>
      <c r="I371" s="28" t="n">
        <v>1840000.32</v>
      </c>
      <c r="J371" s="7" t="n">
        <v>1840000</v>
      </c>
      <c r="K371" s="28" t="n">
        <f>J371-I371</f>
        <v>-0.3200000000651926</v>
      </c>
      <c r="L371" s="2" t="str">
        <v>NHẬP</v>
      </c>
      <c r="M371" s="2" t="str"/>
      <c r="N371" s="2" t="str">
        <v>KHAC</v>
      </c>
    </row>
    <row r="372" ht="25" customHeight="1">
      <c r="A372" s="2" t="str">
        <v>Q388</v>
      </c>
      <c r="B372" s="2" t="str">
        <v>KH074</v>
      </c>
      <c r="C372" s="2" t="str">
        <v>KH074</v>
      </c>
      <c r="D372" s="2" t="str">
        <v>S2-00388-BH</v>
      </c>
      <c r="E372" s="2" t="str">
        <v>BAN_HANG</v>
      </c>
      <c r="F372" s="2" t="str">
        <v>INP6101</v>
      </c>
      <c r="G372" s="2" t="str">
        <v>30/12/2025</v>
      </c>
      <c r="H372" s="2" t="str">
        <v>7800001.92</v>
      </c>
      <c r="I372" s="28" t="n">
        <v>7800001.92</v>
      </c>
      <c r="J372" s="7" t="n">
        <v>7800002</v>
      </c>
      <c r="K372" s="28" t="n">
        <f>J372-I372</f>
        <v>0.0800000000745058</v>
      </c>
      <c r="L372" s="2" t="str">
        <v>NHẬP</v>
      </c>
      <c r="M372" s="2" t="str"/>
      <c r="N372" s="2" t="str">
        <v>KHAC</v>
      </c>
    </row>
    <row r="373" ht="25" customHeight="1">
      <c r="A373" s="2" t="str">
        <v>Q389</v>
      </c>
      <c r="B373" s="2" t="str">
        <v>KH074</v>
      </c>
      <c r="C373" s="2" t="str">
        <v>KH074</v>
      </c>
      <c r="D373" s="2" t="str">
        <v>S2-00388-BH</v>
      </c>
      <c r="E373" s="2" t="str">
        <v>BAN_HANG</v>
      </c>
      <c r="F373" s="2" t="str">
        <v>INP6201</v>
      </c>
      <c r="G373" s="2" t="str">
        <v>30/12/2025</v>
      </c>
      <c r="H373" s="2" t="str">
        <v>4199999.04</v>
      </c>
      <c r="I373" s="28" t="n">
        <v>4199999.04</v>
      </c>
      <c r="J373" s="7" t="n">
        <v>4199999</v>
      </c>
      <c r="K373" s="28" t="n">
        <f>J373-I373</f>
        <v>-0.0400000000372529</v>
      </c>
      <c r="L373" s="2" t="str">
        <v>NHẬP</v>
      </c>
      <c r="M373" s="2" t="str"/>
      <c r="N373" s="2" t="str">
        <v>KHAC</v>
      </c>
    </row>
    <row r="374" ht="25" customHeight="1">
      <c r="A374" s="2" t="str">
        <v>Q390</v>
      </c>
      <c r="B374" s="2" t="str">
        <v>KH074</v>
      </c>
      <c r="C374" s="2" t="str">
        <v>KH074</v>
      </c>
      <c r="D374" s="2" t="str">
        <v>S2-00388-BH</v>
      </c>
      <c r="E374" s="2" t="str">
        <v>BAN_HANG</v>
      </c>
      <c r="F374" s="2" t="str">
        <v>INP6202</v>
      </c>
      <c r="G374" s="2" t="str">
        <v>30/12/2025</v>
      </c>
      <c r="H374" s="2" t="str">
        <v>8448001.92</v>
      </c>
      <c r="I374" s="28" t="n">
        <v>8448001.92</v>
      </c>
      <c r="J374" s="7" t="n">
        <v>8448002</v>
      </c>
      <c r="K374" s="28" t="n">
        <f>J374-I374</f>
        <v>0.0800000000745058</v>
      </c>
      <c r="L374" s="2" t="str">
        <v>NHẬP</v>
      </c>
      <c r="M374" s="2" t="str"/>
      <c r="N374" s="2" t="str">
        <v>KHAC</v>
      </c>
    </row>
    <row r="375" ht="25" customHeight="1">
      <c r="A375" s="2" t="str">
        <v>S392</v>
      </c>
      <c r="B375" s="2" t="str">
        <v>KH074</v>
      </c>
      <c r="C375" s="2" t="str">
        <v>KH074</v>
      </c>
      <c r="D375" s="2" t="str">
        <v>S2-00392-VC</v>
      </c>
      <c r="E375" s="2" t="str">
        <v>PHI_VAN_CHUYEN</v>
      </c>
      <c r="F375" s="2" t="str"/>
      <c r="G375" s="2" t="str"/>
      <c r="H375" s="2" t="str">
        <v>1257119.784</v>
      </c>
      <c r="I375" s="28" t="n">
        <v>1257119.784</v>
      </c>
      <c r="J375" s="7" t="n">
        <v>1257120</v>
      </c>
      <c r="K375" s="28" t="n">
        <f>J375-I375</f>
        <v>0.21600000001490116</v>
      </c>
      <c r="L375" s="2" t="str">
        <v>NHẬP</v>
      </c>
      <c r="M375" s="2" t="str"/>
      <c r="N375" s="2" t="str">
        <v>KHAC</v>
      </c>
    </row>
    <row r="376" ht="25" customHeight="1">
      <c r="A376" s="2" t="str">
        <v>R393</v>
      </c>
      <c r="B376" s="2" t="str">
        <v>KH074</v>
      </c>
      <c r="C376" s="2" t="str">
        <v>KH074</v>
      </c>
      <c r="D376" s="2" t="str">
        <v>S2-00393-TT</v>
      </c>
      <c r="E376" s="2" t="str">
        <v>THU_TIEN</v>
      </c>
      <c r="F376" s="2" t="str"/>
      <c r="G376" s="2" t="str">
        <v>2026-02-01</v>
      </c>
      <c r="H376" s="2" t="str">
        <v>18656000</v>
      </c>
      <c r="I376" s="28" t="n">
        <v>18656000</v>
      </c>
      <c r="J376" s="7" t="n">
        <v>18656000</v>
      </c>
      <c r="K376" s="28" t="n">
        <f>J376-I376</f>
        <v>0</v>
      </c>
      <c r="L376" s="2" t="str">
        <v>NHẬP</v>
      </c>
      <c r="M376" s="2" t="str"/>
      <c r="N376" s="2" t="str">
        <v>KHAC</v>
      </c>
    </row>
    <row r="377" ht="25" customHeight="1">
      <c r="A377" s="2" t="str">
        <v>Q394</v>
      </c>
      <c r="B377" s="2" t="str">
        <v>KH074</v>
      </c>
      <c r="C377" s="2" t="str">
        <v>KH074</v>
      </c>
      <c r="D377" s="2" t="str">
        <v>S2-00394-BH</v>
      </c>
      <c r="E377" s="2" t="str">
        <v>BAN_HANG</v>
      </c>
      <c r="F377" s="2" t="str">
        <v>INP1203</v>
      </c>
      <c r="G377" s="2" t="str">
        <v>2026-03-02</v>
      </c>
      <c r="H377" s="2" t="str">
        <v>2127999.9888</v>
      </c>
      <c r="I377" s="28" t="n">
        <v>2127999.9888</v>
      </c>
      <c r="J377" s="7" t="n">
        <v>2128000</v>
      </c>
      <c r="K377" s="28" t="n">
        <f>J377-I377</f>
        <v>0.011200000066310167</v>
      </c>
      <c r="L377" s="2" t="str">
        <v>NHẬP</v>
      </c>
      <c r="M377" s="2" t="str"/>
      <c r="N377" s="2" t="str">
        <v>KHAC</v>
      </c>
    </row>
    <row r="378" ht="25" customHeight="1">
      <c r="A378" s="2" t="str">
        <v>Q395</v>
      </c>
      <c r="B378" s="2" t="str">
        <v>KH074</v>
      </c>
      <c r="C378" s="2" t="str">
        <v>KH074</v>
      </c>
      <c r="D378" s="2" t="str">
        <v>S2-00394-BH</v>
      </c>
      <c r="E378" s="2" t="str">
        <v>BAN_HANG</v>
      </c>
      <c r="F378" s="2" t="str">
        <v>INP1301</v>
      </c>
      <c r="G378" s="2" t="str">
        <v>2026-03-02</v>
      </c>
      <c r="H378" s="2" t="str">
        <v>849999.96</v>
      </c>
      <c r="I378" s="28" t="n">
        <v>849999.96</v>
      </c>
      <c r="J378" s="7" t="n">
        <v>850000</v>
      </c>
      <c r="K378" s="28" t="n">
        <f>J378-I378</f>
        <v>0.0400000000372529</v>
      </c>
      <c r="L378" s="2" t="str">
        <v>NHẬP</v>
      </c>
      <c r="M378" s="2" t="str"/>
      <c r="N378" s="2" t="str">
        <v>KHAC</v>
      </c>
    </row>
    <row r="379" ht="25" customHeight="1">
      <c r="A379" s="2" t="str">
        <v>Q396</v>
      </c>
      <c r="B379" s="2" t="str">
        <v>KH074</v>
      </c>
      <c r="C379" s="2" t="str">
        <v>KH074</v>
      </c>
      <c r="D379" s="2" t="str">
        <v>S2-00394-BH</v>
      </c>
      <c r="E379" s="2" t="str">
        <v>BAN_HANG</v>
      </c>
      <c r="F379" s="2" t="str">
        <v>INP2111</v>
      </c>
      <c r="G379" s="2" t="str">
        <v>2026-03-02</v>
      </c>
      <c r="H379" s="2" t="str">
        <v>2999999.916</v>
      </c>
      <c r="I379" s="28" t="n">
        <v>2999999.916</v>
      </c>
      <c r="J379" s="7" t="n">
        <v>3000000</v>
      </c>
      <c r="K379" s="28" t="n">
        <f>J379-I379</f>
        <v>0.08399999979883432</v>
      </c>
      <c r="L379" s="2" t="str">
        <v>NHẬP</v>
      </c>
      <c r="M379" s="2" t="str"/>
      <c r="N379" s="2" t="str">
        <v>KHAC</v>
      </c>
    </row>
    <row r="380" ht="25" customHeight="1">
      <c r="A380" s="2" t="str">
        <v>Q397</v>
      </c>
      <c r="B380" s="2" t="str">
        <v>KH074</v>
      </c>
      <c r="C380" s="2" t="str">
        <v>KH074</v>
      </c>
      <c r="D380" s="2" t="str">
        <v>S2-00394-BH</v>
      </c>
      <c r="E380" s="2" t="str">
        <v>BAN_HANG</v>
      </c>
      <c r="F380" s="2" t="str">
        <v>INP2202</v>
      </c>
      <c r="G380" s="2" t="str">
        <v>2026-03-02</v>
      </c>
      <c r="H380" s="2" t="str">
        <v>1823999.9904</v>
      </c>
      <c r="I380" s="28" t="n">
        <v>1823999.9904</v>
      </c>
      <c r="J380" s="7" t="n">
        <v>1824000</v>
      </c>
      <c r="K380" s="28" t="n">
        <f>J380-I380</f>
        <v>0.009599999990314245</v>
      </c>
      <c r="L380" s="2" t="str">
        <v>NHẬP</v>
      </c>
      <c r="M380" s="2" t="str"/>
      <c r="N380" s="2" t="str">
        <v>KHAC</v>
      </c>
    </row>
    <row r="381" ht="25" customHeight="1">
      <c r="A381" s="2" t="str">
        <v>Q398</v>
      </c>
      <c r="B381" s="2" t="str">
        <v>KH074</v>
      </c>
      <c r="C381" s="2" t="str">
        <v>KH074</v>
      </c>
      <c r="D381" s="2" t="str">
        <v>S2-00398-BH</v>
      </c>
      <c r="E381" s="2" t="str">
        <v>BAN_HANG</v>
      </c>
      <c r="F381" s="2" t="str">
        <v>INP6003</v>
      </c>
      <c r="G381" s="2" t="str">
        <v>2026-03-02</v>
      </c>
      <c r="H381" s="2" t="str">
        <v>3680000.64</v>
      </c>
      <c r="I381" s="28" t="n">
        <v>3680000.64</v>
      </c>
      <c r="J381" s="7" t="n">
        <v>3680001</v>
      </c>
      <c r="K381" s="28" t="n">
        <f>J381-I381</f>
        <v>0.35999999986961484</v>
      </c>
      <c r="L381" s="2" t="str">
        <v>NHẬP</v>
      </c>
      <c r="M381" s="2" t="str"/>
      <c r="N381" s="2" t="str">
        <v>KHAC</v>
      </c>
    </row>
    <row r="382" ht="25" customHeight="1">
      <c r="A382" s="2" t="str">
        <v>R399</v>
      </c>
      <c r="B382" s="2" t="str">
        <v>KH074</v>
      </c>
      <c r="C382" s="2" t="str">
        <v>KH074</v>
      </c>
      <c r="D382" s="2" t="str">
        <v>S2-00399-TT</v>
      </c>
      <c r="E382" s="2" t="str">
        <v>THU_TIEN</v>
      </c>
      <c r="F382" s="2" t="str"/>
      <c r="G382" s="2" t="str">
        <v>15/02/2026</v>
      </c>
      <c r="H382" s="2" t="str">
        <v>35233986</v>
      </c>
      <c r="I382" s="28" t="n">
        <v>35233986</v>
      </c>
      <c r="J382" s="7" t="n">
        <v>35233986</v>
      </c>
      <c r="K382" s="28" t="n">
        <f>J382-I382</f>
        <v>0</v>
      </c>
      <c r="L382" s="2" t="str">
        <v>NHẬP</v>
      </c>
      <c r="M382" s="2" t="str"/>
      <c r="N382" s="2" t="str">
        <v>KHAC</v>
      </c>
    </row>
    <row r="383" ht="25" customHeight="1">
      <c r="A383" s="2" t="str">
        <v>Q400</v>
      </c>
      <c r="B383" s="2" t="str">
        <v>KH074</v>
      </c>
      <c r="C383" s="2" t="str">
        <v>KH074</v>
      </c>
      <c r="D383" s="2" t="str">
        <v>S2-00400-BH</v>
      </c>
      <c r="E383" s="2" t="str">
        <v>BAN_HANG</v>
      </c>
      <c r="F383" s="2" t="str">
        <v>INP6201</v>
      </c>
      <c r="G383" s="2" t="str">
        <v>2026-03-02</v>
      </c>
      <c r="H383" s="2" t="str">
        <v>4199999.9472</v>
      </c>
      <c r="I383" s="28" t="n">
        <v>4199999.9472</v>
      </c>
      <c r="J383" s="7" t="n">
        <v>4200000</v>
      </c>
      <c r="K383" s="28" t="n">
        <f>J383-I383</f>
        <v>0.052799999713897705</v>
      </c>
      <c r="L383" s="2" t="str">
        <v>NHẬP</v>
      </c>
      <c r="M383" s="2" t="str"/>
      <c r="N383" s="2" t="str">
        <v>KHAC</v>
      </c>
    </row>
    <row r="384" ht="25" customHeight="1">
      <c r="A384" s="2" t="str">
        <v>R401</v>
      </c>
      <c r="B384" s="2" t="str">
        <v>KH074</v>
      </c>
      <c r="C384" s="2" t="str">
        <v>KH074</v>
      </c>
      <c r="D384" s="2" t="str">
        <v>S2-00401-TT</v>
      </c>
      <c r="E384" s="2" t="str">
        <v>THU_TIEN</v>
      </c>
      <c r="F384" s="2" t="str"/>
      <c r="G384" s="2" t="str"/>
      <c r="H384" s="2" t="str">
        <v>23390844</v>
      </c>
      <c r="I384" s="28" t="n">
        <v>23390844</v>
      </c>
      <c r="J384" s="7" t="n">
        <v>23390844</v>
      </c>
      <c r="K384" s="28" t="n">
        <f>J384-I384</f>
        <v>0</v>
      </c>
      <c r="L384" s="2" t="str">
        <v>NHẬP</v>
      </c>
      <c r="M384" s="2" t="str"/>
      <c r="N384" s="2" t="str">
        <v>KHAC</v>
      </c>
    </row>
    <row r="385" ht="25" customHeight="1">
      <c r="A385" s="2" t="str">
        <v>Q402</v>
      </c>
      <c r="B385" s="2" t="str">
        <v>KH074</v>
      </c>
      <c r="C385" s="2" t="str">
        <v>KH074</v>
      </c>
      <c r="D385" s="2" t="str">
        <v>S2-00402-TH</v>
      </c>
      <c r="E385" s="2" t="str">
        <v>TRA_HANG</v>
      </c>
      <c r="F385" s="2" t="str">
        <v>INP3201</v>
      </c>
      <c r="G385" s="2" t="str"/>
      <c r="H385" s="2" t="str">
        <v>3779991.36</v>
      </c>
      <c r="I385" s="28" t="n">
        <v>3779991.36</v>
      </c>
      <c r="J385" s="7" t="n">
        <v>3779991</v>
      </c>
      <c r="K385" s="28" t="n">
        <f>J385-I385</f>
        <v>-0.35999999986961484</v>
      </c>
      <c r="L385" s="2" t="str">
        <v>NHẬP</v>
      </c>
      <c r="M385" s="2" t="str"/>
      <c r="N385" s="2" t="str">
        <v>KHAC</v>
      </c>
    </row>
    <row r="386" ht="25" customHeight="1">
      <c r="A386" s="2" t="str">
        <v>Q403</v>
      </c>
      <c r="B386" s="2" t="str">
        <v>KH074</v>
      </c>
      <c r="C386" s="2" t="str">
        <v>KH074</v>
      </c>
      <c r="D386" s="2" t="str">
        <v>S2-00402-TH</v>
      </c>
      <c r="E386" s="2" t="str">
        <v>TRA_HANG</v>
      </c>
      <c r="F386" s="2" t="str">
        <v>INP2101</v>
      </c>
      <c r="G386" s="2" t="str"/>
      <c r="H386" s="2" t="str">
        <v>2529997.2</v>
      </c>
      <c r="I386" s="28" t="n">
        <v>2529997.2</v>
      </c>
      <c r="J386" s="7" t="n">
        <v>2529997</v>
      </c>
      <c r="K386" s="28" t="n">
        <f>J386-I386</f>
        <v>-0.20000000018626451</v>
      </c>
      <c r="L386" s="2" t="str">
        <v>NHẬP</v>
      </c>
      <c r="M386" s="2" t="str"/>
      <c r="N386" s="2" t="str">
        <v>KHAC</v>
      </c>
    </row>
    <row r="387" ht="25" customHeight="1">
      <c r="A387" s="2" t="str">
        <v>Q404</v>
      </c>
      <c r="B387" s="2" t="str">
        <v>KH074</v>
      </c>
      <c r="C387" s="2" t="str">
        <v>KH074</v>
      </c>
      <c r="D387" s="2" t="str">
        <v>S2-00402-TH</v>
      </c>
      <c r="E387" s="2" t="str">
        <v>TRA_HANG</v>
      </c>
      <c r="F387" s="2" t="str">
        <v>INP2102</v>
      </c>
      <c r="G387" s="2" t="str"/>
      <c r="H387" s="2" t="str">
        <v>2769994.8</v>
      </c>
      <c r="I387" s="28" t="n">
        <v>2769994.8</v>
      </c>
      <c r="J387" s="7" t="n">
        <v>2769995</v>
      </c>
      <c r="K387" s="28" t="n">
        <f>J387-I387</f>
        <v>0.20000000018626451</v>
      </c>
      <c r="L387" s="2" t="str">
        <v>NHẬP</v>
      </c>
      <c r="M387" s="2" t="str"/>
      <c r="N387" s="2" t="str">
        <v>KHAC</v>
      </c>
    </row>
    <row r="388" ht="25" customHeight="1">
      <c r="A388" s="2" t="str">
        <v>Q405</v>
      </c>
      <c r="B388" s="2" t="str">
        <v>KH074</v>
      </c>
      <c r="C388" s="2" t="str">
        <v>KH074</v>
      </c>
      <c r="D388" s="2" t="str">
        <v>S2-00402-TH</v>
      </c>
      <c r="E388" s="2" t="str">
        <v>TRA_HANG</v>
      </c>
      <c r="F388" s="2" t="str">
        <v>INP2105</v>
      </c>
      <c r="G388" s="2" t="str"/>
      <c r="H388" s="2" t="str">
        <v>2460002.4</v>
      </c>
      <c r="I388" s="28" t="n">
        <v>2460002.4</v>
      </c>
      <c r="J388" s="7" t="n">
        <v>2460002</v>
      </c>
      <c r="K388" s="28" t="n">
        <f>J388-I388</f>
        <v>-0.39999999990686774</v>
      </c>
      <c r="L388" s="2" t="str">
        <v>NHẬP</v>
      </c>
      <c r="M388" s="2" t="str"/>
      <c r="N388" s="2" t="str">
        <v>KHAC</v>
      </c>
    </row>
    <row r="389" ht="25" customHeight="1">
      <c r="A389" s="2" t="str">
        <v>Q406</v>
      </c>
      <c r="B389" s="2" t="str">
        <v>KH074</v>
      </c>
      <c r="C389" s="2" t="str">
        <v>KH074</v>
      </c>
      <c r="D389" s="2" t="str">
        <v>S2-00406-BH</v>
      </c>
      <c r="E389" s="2" t="str">
        <v>BAN_HANG</v>
      </c>
      <c r="F389" s="2" t="str">
        <v>INP2001</v>
      </c>
      <c r="G389" s="2" t="str">
        <v>2026-04-05</v>
      </c>
      <c r="H389" s="2" t="str">
        <v>2254000.0032</v>
      </c>
      <c r="I389" s="28" t="n">
        <v>2254000.0032</v>
      </c>
      <c r="J389" s="7" t="n">
        <v>2254000</v>
      </c>
      <c r="K389" s="28" t="n">
        <f>J389-I389</f>
        <v>-0.003200000151991844</v>
      </c>
      <c r="L389" s="2" t="str">
        <v>NHẬP</v>
      </c>
      <c r="M389" s="2" t="str"/>
      <c r="N389" s="2" t="str">
        <v>KHAC</v>
      </c>
    </row>
    <row r="390" ht="25" customHeight="1">
      <c r="A390" s="2" t="str">
        <v>Q407</v>
      </c>
      <c r="B390" s="2" t="str">
        <v>KH074</v>
      </c>
      <c r="C390" s="2" t="str">
        <v>KH074</v>
      </c>
      <c r="D390" s="2" t="str">
        <v>S2-00406-BH</v>
      </c>
      <c r="E390" s="2" t="str">
        <v>BAN_HANG</v>
      </c>
      <c r="F390" s="2" t="str">
        <v>INP2002</v>
      </c>
      <c r="G390" s="2" t="str">
        <v>2026-04-05</v>
      </c>
      <c r="H390" s="2" t="str">
        <v>1839999.996</v>
      </c>
      <c r="I390" s="28" t="n">
        <v>1839999.996</v>
      </c>
      <c r="J390" s="7" t="n">
        <v>1840000</v>
      </c>
      <c r="K390" s="28" t="n">
        <f>J390-I390</f>
        <v>0.003999999957159162</v>
      </c>
      <c r="L390" s="2" t="str">
        <v>NHẬP</v>
      </c>
      <c r="M390" s="2" t="str"/>
      <c r="N390" s="2" t="str">
        <v>KHAC</v>
      </c>
    </row>
    <row r="391" ht="25" customHeight="1">
      <c r="A391" s="2" t="str">
        <v>Q408</v>
      </c>
      <c r="B391" s="2" t="str">
        <v>KH074</v>
      </c>
      <c r="C391" s="2" t="str">
        <v>KH074</v>
      </c>
      <c r="D391" s="2" t="str">
        <v>S2-00406-BH</v>
      </c>
      <c r="E391" s="2" t="str">
        <v>BAN_HANG</v>
      </c>
      <c r="F391" s="2" t="str">
        <v>INP2106</v>
      </c>
      <c r="G391" s="2" t="str">
        <v>2026-04-05</v>
      </c>
      <c r="H391" s="2" t="str">
        <v>5460000.048</v>
      </c>
      <c r="I391" s="28" t="n">
        <v>5460000.048</v>
      </c>
      <c r="J391" s="7" t="n">
        <v>5460000</v>
      </c>
      <c r="K391" s="28" t="n">
        <f>J391-I391</f>
        <v>-0.04800000041723251</v>
      </c>
      <c r="L391" s="2" t="str">
        <v>NHẬP</v>
      </c>
      <c r="M391" s="2" t="str"/>
      <c r="N391" s="2" t="str">
        <v>KHAC</v>
      </c>
    </row>
    <row r="392" ht="25" customHeight="1">
      <c r="A392" s="2" t="str">
        <v>Q409</v>
      </c>
      <c r="B392" s="2" t="str">
        <v>KH074</v>
      </c>
      <c r="C392" s="2" t="str">
        <v>KH074</v>
      </c>
      <c r="D392" s="2" t="str">
        <v>S2-00406-BH</v>
      </c>
      <c r="E392" s="2" t="str">
        <v>BAN_HANG</v>
      </c>
      <c r="F392" s="2" t="str">
        <v>INP2110</v>
      </c>
      <c r="G392" s="2" t="str">
        <v>2026-04-05</v>
      </c>
      <c r="H392" s="2" t="str">
        <v>5460000.048</v>
      </c>
      <c r="I392" s="28" t="n">
        <v>5460000.048</v>
      </c>
      <c r="J392" s="7" t="n">
        <v>5460000</v>
      </c>
      <c r="K392" s="28" t="n">
        <f>J392-I392</f>
        <v>-0.04800000041723251</v>
      </c>
      <c r="L392" s="2" t="str">
        <v>NHẬP</v>
      </c>
      <c r="M392" s="2" t="str"/>
      <c r="N392" s="2" t="str">
        <v>KHAC</v>
      </c>
    </row>
    <row r="393" ht="25" customHeight="1">
      <c r="A393" s="2" t="str">
        <v>Q410</v>
      </c>
      <c r="B393" s="2" t="str">
        <v>KH074</v>
      </c>
      <c r="C393" s="2" t="str">
        <v>KH074</v>
      </c>
      <c r="D393" s="2" t="str">
        <v>S2-00406-BH</v>
      </c>
      <c r="E393" s="2" t="str">
        <v>BAN_HANG</v>
      </c>
      <c r="F393" s="2" t="str">
        <v>INP2111</v>
      </c>
      <c r="G393" s="2" t="str">
        <v>2026-04-05</v>
      </c>
      <c r="H393" s="2" t="str">
        <v>6000000.048</v>
      </c>
      <c r="I393" s="28" t="n">
        <v>6000000.048</v>
      </c>
      <c r="J393" s="7" t="n">
        <v>6000000</v>
      </c>
      <c r="K393" s="28" t="n">
        <f>J393-I393</f>
        <v>-0.04800000041723251</v>
      </c>
      <c r="L393" s="2" t="str">
        <v>NHẬP</v>
      </c>
      <c r="M393" s="2" t="str"/>
      <c r="N393" s="2" t="str">
        <v>KHAC</v>
      </c>
    </row>
    <row r="394" ht="25" customHeight="1">
      <c r="A394" s="2" t="str">
        <v>Q411</v>
      </c>
      <c r="B394" s="2" t="str">
        <v>KH074</v>
      </c>
      <c r="C394" s="2" t="str">
        <v>KH074</v>
      </c>
      <c r="D394" s="2" t="str">
        <v>S2-00406-BH</v>
      </c>
      <c r="E394" s="2" t="str">
        <v>BAN_HANG</v>
      </c>
      <c r="F394" s="2" t="str">
        <v>INP6001</v>
      </c>
      <c r="G394" s="2" t="str">
        <v>2026-04-05</v>
      </c>
      <c r="H394" s="2" t="str">
        <v>4920000.48</v>
      </c>
      <c r="I394" s="28" t="n">
        <v>4920000.48</v>
      </c>
      <c r="J394" s="7" t="n">
        <v>4920001</v>
      </c>
      <c r="K394" s="28" t="n">
        <f>J394-I394</f>
        <v>0.5199999995529652</v>
      </c>
      <c r="L394" s="2" t="str">
        <v>NHẬP</v>
      </c>
      <c r="M394" s="2" t="str"/>
      <c r="N394" s="2" t="str">
        <v>KHAC</v>
      </c>
    </row>
    <row r="395" ht="25" customHeight="1">
      <c r="A395" s="2" t="str">
        <v>Q412</v>
      </c>
      <c r="B395" s="2" t="str">
        <v>KH074</v>
      </c>
      <c r="C395" s="2" t="str">
        <v>KH074</v>
      </c>
      <c r="D395" s="2" t="str">
        <v>S2-00406-BH</v>
      </c>
      <c r="E395" s="2" t="str">
        <v>BAN_HANG</v>
      </c>
      <c r="F395" s="2" t="str">
        <v>INP6002</v>
      </c>
      <c r="G395" s="2" t="str">
        <v>2026-04-05</v>
      </c>
      <c r="H395" s="2" t="str">
        <v>4739999.9904</v>
      </c>
      <c r="I395" s="28" t="n">
        <v>4739999.9904</v>
      </c>
      <c r="J395" s="7" t="n">
        <v>4740000</v>
      </c>
      <c r="K395" s="28" t="n">
        <f>J395-I395</f>
        <v>0.009600000455975533</v>
      </c>
      <c r="L395" s="2" t="str">
        <v>NHẬP</v>
      </c>
      <c r="M395" s="2" t="str"/>
      <c r="N395" s="2" t="str">
        <v>KHAC</v>
      </c>
    </row>
    <row r="396" ht="25" customHeight="1">
      <c r="A396" s="2" t="str">
        <v>Q413</v>
      </c>
      <c r="B396" s="2" t="str">
        <v>KH074</v>
      </c>
      <c r="C396" s="2" t="str">
        <v>KH074</v>
      </c>
      <c r="D396" s="2" t="str">
        <v>S2-00406-BH</v>
      </c>
      <c r="E396" s="2" t="str">
        <v>BAN_HANG</v>
      </c>
      <c r="F396" s="2" t="str">
        <v>INP6202</v>
      </c>
      <c r="G396" s="2" t="str">
        <v>2026-04-05</v>
      </c>
      <c r="H396" s="2" t="str">
        <v>21120000.264</v>
      </c>
      <c r="I396" s="28" t="n">
        <v>21120000.264</v>
      </c>
      <c r="J396" s="7" t="n">
        <v>21120000</v>
      </c>
      <c r="K396" s="28" t="n">
        <f>J396-I396</f>
        <v>-0.2639999985694885</v>
      </c>
      <c r="L396" s="2" t="str">
        <v>NHẬP</v>
      </c>
      <c r="M396" s="2" t="str"/>
      <c r="N396" s="2" t="str">
        <v>KHAC</v>
      </c>
    </row>
    <row r="397" ht="25" customHeight="1">
      <c r="A397" s="2" t="str">
        <v>Q414</v>
      </c>
      <c r="B397" s="2" t="str">
        <v>KH074</v>
      </c>
      <c r="C397" s="2" t="str">
        <v>KH074</v>
      </c>
      <c r="D397" s="2" t="str">
        <v>S2-00406-BH</v>
      </c>
      <c r="E397" s="2" t="str">
        <v>BAN_HANG</v>
      </c>
      <c r="F397" s="2" t="str">
        <v>INP1301</v>
      </c>
      <c r="G397" s="2" t="str">
        <v>2026-04-05</v>
      </c>
      <c r="H397" s="2" t="str">
        <v>849999.96</v>
      </c>
      <c r="I397" s="28" t="n">
        <v>849999.96</v>
      </c>
      <c r="J397" s="7" t="n">
        <v>850000</v>
      </c>
      <c r="K397" s="28" t="n">
        <f>J397-I397</f>
        <v>0.0400000000372529</v>
      </c>
      <c r="L397" s="2" t="str">
        <v>NHẬP</v>
      </c>
      <c r="M397" s="2" t="str"/>
      <c r="N397" s="2" t="str">
        <v>KHAC</v>
      </c>
    </row>
    <row r="398" ht="25" customHeight="1">
      <c r="A398" s="2" t="str">
        <v>Q415</v>
      </c>
      <c r="B398" s="2" t="str">
        <v>KH074</v>
      </c>
      <c r="C398" s="2" t="str">
        <v>KH074</v>
      </c>
      <c r="D398" s="2" t="str">
        <v>S2-00406-BH</v>
      </c>
      <c r="E398" s="2" t="str">
        <v>BAN_HANG</v>
      </c>
      <c r="F398" s="2" t="str">
        <v>INP6701</v>
      </c>
      <c r="G398" s="2" t="str">
        <v>2026-04-05</v>
      </c>
      <c r="H398" s="2" t="str">
        <v>3119999.9904</v>
      </c>
      <c r="I398" s="28" t="n">
        <v>3119999.9904</v>
      </c>
      <c r="J398" s="7" t="n">
        <v>3120000</v>
      </c>
      <c r="K398" s="28" t="n">
        <f>J398-I398</f>
        <v>0.009599999990314245</v>
      </c>
      <c r="L398" s="2" t="str">
        <v>NHẬP</v>
      </c>
      <c r="M398" s="2" t="str"/>
      <c r="N398" s="2" t="str">
        <v>KHAC</v>
      </c>
    </row>
    <row r="399" ht="25" customHeight="1">
      <c r="A399" s="2" t="str">
        <v>Q416</v>
      </c>
      <c r="B399" s="2" t="str">
        <v>KH074</v>
      </c>
      <c r="C399" s="2" t="str">
        <v>KH074</v>
      </c>
      <c r="D399" s="2" t="str">
        <v>S2-00406-BH</v>
      </c>
      <c r="E399" s="2" t="str">
        <v>BAN_HANG</v>
      </c>
      <c r="F399" s="2" t="str">
        <v>INP2301</v>
      </c>
      <c r="G399" s="2" t="str">
        <v>2026-04-05</v>
      </c>
      <c r="H399" s="2" t="str">
        <v>8999999.856</v>
      </c>
      <c r="I399" s="28" t="n">
        <v>8999999.856</v>
      </c>
      <c r="J399" s="7" t="n">
        <v>9000000</v>
      </c>
      <c r="K399" s="28" t="n">
        <f>J399-I399</f>
        <v>0.1439999993890524</v>
      </c>
      <c r="L399" s="2" t="str">
        <v>NHẬP</v>
      </c>
      <c r="M399" s="2" t="str"/>
      <c r="N399" s="2" t="str">
        <v>KHAC</v>
      </c>
    </row>
    <row r="400" ht="25" customHeight="1">
      <c r="A400" s="2" t="str">
        <v>Q417</v>
      </c>
      <c r="B400" s="2" t="str">
        <v>KH074</v>
      </c>
      <c r="C400" s="2" t="str">
        <v>KH074</v>
      </c>
      <c r="D400" s="2" t="str">
        <v>S2-00406-BH</v>
      </c>
      <c r="E400" s="2" t="str">
        <v>BAN_HANG</v>
      </c>
      <c r="F400" s="2" t="str">
        <v>INP1003</v>
      </c>
      <c r="G400" s="2" t="str">
        <v>2026-04-05</v>
      </c>
      <c r="H400" s="2" t="str">
        <v>3849999.9516</v>
      </c>
      <c r="I400" s="28" t="n">
        <v>3849999.9516</v>
      </c>
      <c r="J400" s="7" t="n">
        <v>3850000</v>
      </c>
      <c r="K400" s="28" t="n">
        <f>J400-I400</f>
        <v>0.04840000020340085</v>
      </c>
      <c r="L400" s="2" t="str">
        <v>NHẬP</v>
      </c>
      <c r="M400" s="2" t="str"/>
      <c r="N400" s="2" t="str">
        <v>KHAC</v>
      </c>
    </row>
    <row r="401" ht="25" customHeight="1">
      <c r="A401" s="2" t="str">
        <v>Q418</v>
      </c>
      <c r="B401" s="2" t="str">
        <v>KH074</v>
      </c>
      <c r="C401" s="2" t="str">
        <v>KH074</v>
      </c>
      <c r="D401" s="2" t="str">
        <v>S2-00418-BH</v>
      </c>
      <c r="E401" s="2" t="str">
        <v>BAN_HANG</v>
      </c>
      <c r="F401" s="2" t="str">
        <v>INP2107</v>
      </c>
      <c r="G401" s="2" t="str">
        <v>2026-04-05</v>
      </c>
      <c r="H401" s="2" t="str">
        <v>5800000.032</v>
      </c>
      <c r="I401" s="28" t="n">
        <v>5800000.032</v>
      </c>
      <c r="J401" s="7" t="n">
        <v>5800000</v>
      </c>
      <c r="K401" s="28" t="n">
        <f>J401-I401</f>
        <v>-0.03199999965727329</v>
      </c>
      <c r="L401" s="2" t="str">
        <v>NHẬP</v>
      </c>
      <c r="M401" s="2" t="str"/>
      <c r="N401" s="2" t="str">
        <v>KHAC</v>
      </c>
    </row>
    <row r="402" ht="25" customHeight="1">
      <c r="A402" s="2" t="str">
        <v>Q419</v>
      </c>
      <c r="B402" s="2" t="str">
        <v>KH074</v>
      </c>
      <c r="C402" s="2" t="str">
        <v>KH074</v>
      </c>
      <c r="D402" s="2" t="str">
        <v>S2-00419-BH</v>
      </c>
      <c r="E402" s="2" t="str">
        <v>BAN_HANG</v>
      </c>
      <c r="F402" s="2" t="str">
        <v>INP2107</v>
      </c>
      <c r="G402" s="2" t="str">
        <v>2026-02-06</v>
      </c>
      <c r="H402" s="2" t="str">
        <v>5800000.032</v>
      </c>
      <c r="I402" s="28" t="n">
        <v>5800000.032</v>
      </c>
      <c r="J402" s="7" t="n">
        <v>5800000</v>
      </c>
      <c r="K402" s="28" t="n">
        <f>J402-I402</f>
        <v>-0.03199999965727329</v>
      </c>
      <c r="L402" s="2" t="str">
        <v>NHẬP</v>
      </c>
      <c r="M402" s="2" t="str"/>
      <c r="N402" s="2" t="str">
        <v>KHAC</v>
      </c>
    </row>
    <row r="403" ht="25" customHeight="1">
      <c r="A403" s="2" t="str">
        <v>R420</v>
      </c>
      <c r="B403" s="2" t="str">
        <v>KH074</v>
      </c>
      <c r="C403" s="2" t="str">
        <v>KH074</v>
      </c>
      <c r="D403" s="2" t="str">
        <v>S2-00420-TT</v>
      </c>
      <c r="E403" s="2" t="str">
        <v>THU_TIEN</v>
      </c>
      <c r="F403" s="2" t="str"/>
      <c r="G403" s="2" t="str"/>
      <c r="H403" s="2" t="str">
        <v>68674055</v>
      </c>
      <c r="I403" s="28" t="n">
        <v>68674055</v>
      </c>
      <c r="J403" s="7" t="n">
        <v>68674055</v>
      </c>
      <c r="K403" s="28" t="n">
        <f>J403-I403</f>
        <v>0</v>
      </c>
      <c r="L403" s="2" t="str">
        <v>NHẬP</v>
      </c>
      <c r="M403" s="2" t="str"/>
      <c r="N403" s="2" t="str">
        <v>KHAC</v>
      </c>
    </row>
    <row r="404" ht="25" customHeight="1">
      <c r="A404" s="2" t="str">
        <v>Q421</v>
      </c>
      <c r="B404" s="2" t="str">
        <v>KH074</v>
      </c>
      <c r="C404" s="2" t="str">
        <v>KH074</v>
      </c>
      <c r="D404" s="2" t="str">
        <v>S2-00421-BH</v>
      </c>
      <c r="E404" s="2" t="str">
        <v>BAN_HANG</v>
      </c>
      <c r="F404" s="2" t="str">
        <v>INP2301</v>
      </c>
      <c r="G404" s="2" t="str">
        <v>2026-06-10</v>
      </c>
      <c r="H404" s="2" t="str">
        <v>8999999.856</v>
      </c>
      <c r="I404" s="28" t="n">
        <v>8999999.856</v>
      </c>
      <c r="J404" s="7" t="n">
        <v>9000000</v>
      </c>
      <c r="K404" s="28" t="n">
        <f>J404-I404</f>
        <v>0.1439999993890524</v>
      </c>
      <c r="L404" s="2" t="str">
        <v>NHẬP</v>
      </c>
      <c r="M404" s="2" t="str"/>
      <c r="N404" s="2" t="str">
        <v>KHAC</v>
      </c>
    </row>
    <row r="405" ht="25" customHeight="1">
      <c r="A405" s="2" t="str">
        <v>Q422</v>
      </c>
      <c r="B405" s="2" t="str">
        <v>KH074</v>
      </c>
      <c r="C405" s="2" t="str">
        <v>KH074</v>
      </c>
      <c r="D405" s="2" t="str">
        <v>S2-00421-BH</v>
      </c>
      <c r="E405" s="2" t="str">
        <v>BAN_HANG</v>
      </c>
      <c r="F405" s="2" t="str">
        <v>INP6701</v>
      </c>
      <c r="G405" s="2" t="str">
        <v>2026-06-10</v>
      </c>
      <c r="H405" s="2" t="str">
        <v>9359999.9712</v>
      </c>
      <c r="I405" s="28" t="n">
        <v>9359999.9712</v>
      </c>
      <c r="J405" s="7" t="n">
        <v>9360000</v>
      </c>
      <c r="K405" s="28" t="n">
        <f>J405-I405</f>
        <v>0.02879999950528145</v>
      </c>
      <c r="L405" s="2" t="str">
        <v>NHẬP</v>
      </c>
      <c r="M405" s="2" t="str"/>
      <c r="N405" s="2" t="str">
        <v>KHAC</v>
      </c>
    </row>
    <row r="406" ht="25" customHeight="1">
      <c r="A406" s="2" t="str">
        <v>Q423</v>
      </c>
      <c r="B406" s="2" t="str">
        <v>KH074</v>
      </c>
      <c r="C406" s="2" t="str">
        <v>KH074</v>
      </c>
      <c r="D406" s="2" t="str">
        <v>S2-00423-BH</v>
      </c>
      <c r="E406" s="2" t="str">
        <v>BAN_HANG</v>
      </c>
      <c r="F406" s="2" t="str">
        <v>INP6401</v>
      </c>
      <c r="G406" s="2" t="str">
        <v>2026-06-10</v>
      </c>
      <c r="H406" s="2" t="str">
        <v>16500000.024</v>
      </c>
      <c r="I406" s="28" t="n">
        <v>16500000.024</v>
      </c>
      <c r="J406" s="7" t="n">
        <v>16500000</v>
      </c>
      <c r="K406" s="28" t="n">
        <f>J406-I406</f>
        <v>-0.024000000208616257</v>
      </c>
      <c r="L406" s="2" t="str">
        <v>NHẬP</v>
      </c>
      <c r="M406" s="2" t="str"/>
      <c r="N406" s="2" t="str">
        <v>QUAT</v>
      </c>
    </row>
    <row r="407" ht="25" customHeight="1">
      <c r="A407" s="2" t="str">
        <v>Q424</v>
      </c>
      <c r="B407" s="2" t="str">
        <v>KH074</v>
      </c>
      <c r="C407" s="2" t="str">
        <v>KH074</v>
      </c>
      <c r="D407" s="2" t="str">
        <v>S2-00424-BH</v>
      </c>
      <c r="E407" s="2" t="str">
        <v>BAN_HANG</v>
      </c>
      <c r="F407" s="2" t="str">
        <v>INP6902</v>
      </c>
      <c r="G407" s="2" t="str">
        <v>18/6/2026</v>
      </c>
      <c r="H407" s="2" t="str">
        <v>17599999.896</v>
      </c>
      <c r="I407" s="28" t="n">
        <v>17599999.896</v>
      </c>
      <c r="J407" s="7" t="n">
        <v>17600000</v>
      </c>
      <c r="K407" s="28" t="n">
        <f>J407-I407</f>
        <v>0.10399999842047691</v>
      </c>
      <c r="L407" s="2" t="str">
        <v>NHẬP</v>
      </c>
      <c r="M407" s="2" t="str"/>
      <c r="N407" s="2" t="str">
        <v>KHAC</v>
      </c>
    </row>
    <row r="408" ht="25" customHeight="1">
      <c r="A408" s="2" t="str">
        <v>Q425</v>
      </c>
      <c r="B408" s="2" t="str">
        <v>KH074</v>
      </c>
      <c r="C408" s="2" t="str">
        <v>KH074</v>
      </c>
      <c r="D408" s="2" t="str">
        <v>S2-00424-BH</v>
      </c>
      <c r="E408" s="2" t="str">
        <v>BAN_HANG</v>
      </c>
      <c r="F408" s="2" t="str">
        <v>INP6903</v>
      </c>
      <c r="G408" s="2" t="str">
        <v>18/6/2026</v>
      </c>
      <c r="H408" s="2" t="str">
        <v>1960000.0056</v>
      </c>
      <c r="I408" s="28" t="n">
        <v>1960000.0056</v>
      </c>
      <c r="J408" s="7" t="n">
        <v>1960000</v>
      </c>
      <c r="K408" s="28" t="n">
        <f>J408-I408</f>
        <v>-0.005600000033155084</v>
      </c>
      <c r="L408" s="2" t="str">
        <v>NHẬP</v>
      </c>
      <c r="M408" s="2" t="str"/>
      <c r="N408" s="2" t="str">
        <v>KHAC</v>
      </c>
    </row>
    <row r="409" ht="25" customHeight="1">
      <c r="A409" s="2" t="str">
        <v>S426</v>
      </c>
      <c r="B409" s="2" t="str">
        <v>KH074</v>
      </c>
      <c r="C409" s="2" t="str">
        <v>KH074</v>
      </c>
      <c r="D409" s="2" t="str">
        <v>S2-00426-VC</v>
      </c>
      <c r="E409" s="2" t="str">
        <v>PHI_VAN_CHUYEN</v>
      </c>
      <c r="F409" s="2" t="str"/>
      <c r="G409" s="2" t="str">
        <v>18/06/2026</v>
      </c>
      <c r="H409" s="2" t="str">
        <v>220000</v>
      </c>
      <c r="I409" s="28" t="n">
        <v>220000</v>
      </c>
      <c r="J409" s="7" t="n">
        <v>220000</v>
      </c>
      <c r="K409" s="28" t="n">
        <f>J409-I409</f>
        <v>0</v>
      </c>
      <c r="L409" s="2" t="str">
        <v>NHẬP</v>
      </c>
      <c r="M409" s="2" t="str"/>
      <c r="N409" s="2" t="str">
        <v>KHAC</v>
      </c>
    </row>
    <row r="410" ht="25" customHeight="1">
      <c r="A410" s="2" t="str">
        <v>Q427</v>
      </c>
      <c r="B410" s="2" t="str">
        <v>KH074</v>
      </c>
      <c r="C410" s="2" t="str">
        <v>KH074</v>
      </c>
      <c r="D410" s="2" t="str">
        <v>S2-00427-BH</v>
      </c>
      <c r="E410" s="2" t="str">
        <v>BAN_HANG</v>
      </c>
      <c r="F410" s="2" t="str">
        <v>INP6902</v>
      </c>
      <c r="G410" s="2" t="str">
        <v>2026-07-07</v>
      </c>
      <c r="H410" s="2" t="str">
        <v>26399999.844</v>
      </c>
      <c r="I410" s="28" t="n">
        <v>26399999.844</v>
      </c>
      <c r="J410" s="7" t="n">
        <v>26400000</v>
      </c>
      <c r="K410" s="28" t="n">
        <f>J410-I410</f>
        <v>0.15599999949336052</v>
      </c>
      <c r="L410" s="2" t="str">
        <v>NHẬP</v>
      </c>
      <c r="M410" s="2" t="str"/>
      <c r="N410" s="2" t="str">
        <v>KHAC</v>
      </c>
    </row>
    <row r="411" ht="25" customHeight="1">
      <c r="A411" s="2" t="str">
        <v>Q428</v>
      </c>
      <c r="B411" s="2" t="str">
        <v>KH074</v>
      </c>
      <c r="C411" s="2" t="str">
        <v>KH074</v>
      </c>
      <c r="D411" s="2" t="str">
        <v>S2-00428-BH</v>
      </c>
      <c r="E411" s="2" t="str">
        <v>BAN_HANG</v>
      </c>
      <c r="F411" s="2" t="str">
        <v>INP6403</v>
      </c>
      <c r="G411" s="2" t="str">
        <v>2026-07-07</v>
      </c>
      <c r="H411" s="2" t="str">
        <v>1499999.9904</v>
      </c>
      <c r="I411" s="28" t="n">
        <v>1499999.9904</v>
      </c>
      <c r="J411" s="7" t="n">
        <v>1500000</v>
      </c>
      <c r="K411" s="28" t="n">
        <f>J411-I411</f>
        <v>0.009599999990314245</v>
      </c>
      <c r="L411" s="2" t="str">
        <v>NHẬP</v>
      </c>
      <c r="M411" s="2" t="str"/>
      <c r="N411" s="2" t="str">
        <v>QUAT</v>
      </c>
    </row>
    <row r="412" ht="25" customHeight="1">
      <c r="A412" s="2" t="str">
        <v>S429</v>
      </c>
      <c r="B412" s="2" t="str">
        <v>KH074</v>
      </c>
      <c r="C412" s="2" t="str">
        <v>KH074</v>
      </c>
      <c r="D412" s="2" t="str">
        <v>S2-00429-VC</v>
      </c>
      <c r="E412" s="2" t="str">
        <v>PHI_VAN_CHUYEN</v>
      </c>
      <c r="F412" s="2" t="str"/>
      <c r="G412" s="2" t="str">
        <v>2026-08-07</v>
      </c>
      <c r="H412" s="2" t="str">
        <v>425000</v>
      </c>
      <c r="I412" s="28" t="n">
        <v>425000</v>
      </c>
      <c r="J412" s="7" t="n">
        <v>425000</v>
      </c>
      <c r="K412" s="28" t="n">
        <f>J412-I412</f>
        <v>0</v>
      </c>
      <c r="L412" s="2" t="str">
        <v>NHẬP</v>
      </c>
      <c r="M412" s="2" t="str"/>
      <c r="N412" s="2" t="str">
        <v>KHAC</v>
      </c>
    </row>
    <row r="413" ht="25" customHeight="1">
      <c r="A413" s="2" t="str">
        <v>Q430</v>
      </c>
      <c r="B413" s="2" t="str">
        <v>KH068</v>
      </c>
      <c r="C413" s="2" t="str">
        <v>KH00005</v>
      </c>
      <c r="D413" s="2" t="str">
        <v>S2-00430-BH</v>
      </c>
      <c r="E413" s="2" t="str">
        <v>BAN_HANG</v>
      </c>
      <c r="F413" s="2" t="str">
        <v>INP1003</v>
      </c>
      <c r="G413" s="2" t="str">
        <v>2026-01-14</v>
      </c>
      <c r="H413" s="2" t="str">
        <v>19040000.3136</v>
      </c>
      <c r="I413" s="28" t="n">
        <v>19040000.3136</v>
      </c>
      <c r="J413" s="7" t="n">
        <v>19040000</v>
      </c>
      <c r="K413" s="28" t="n">
        <f>J413-I413</f>
        <v>-0.31359999999403954</v>
      </c>
      <c r="L413" s="2" t="str">
        <v>NHẬP</v>
      </c>
      <c r="M413" s="2" t="str"/>
      <c r="N413" s="2" t="str">
        <v>KHAC</v>
      </c>
    </row>
    <row r="414" ht="25" customHeight="1">
      <c r="A414" s="2" t="str">
        <v>Q431</v>
      </c>
      <c r="B414" s="2" t="str">
        <v>KH068</v>
      </c>
      <c r="C414" s="2" t="str">
        <v>KH00005</v>
      </c>
      <c r="D414" s="2" t="str">
        <v>S2-00430-BH</v>
      </c>
      <c r="E414" s="2" t="str">
        <v>BAN_HANG</v>
      </c>
      <c r="F414" s="2" t="str">
        <v>INP2301</v>
      </c>
      <c r="G414" s="2" t="str">
        <v>2026-01-14</v>
      </c>
      <c r="H414" s="2" t="str">
        <v>8999999.64</v>
      </c>
      <c r="I414" s="28" t="n">
        <v>8999999.64</v>
      </c>
      <c r="J414" s="7" t="n">
        <v>8999999</v>
      </c>
      <c r="K414" s="28" t="n">
        <f>J414-I414</f>
        <v>-0.6400000005960464</v>
      </c>
      <c r="L414" s="2" t="str">
        <v>NHẬP</v>
      </c>
      <c r="M414" s="2" t="str"/>
      <c r="N414" s="2" t="str">
        <v>KHAC</v>
      </c>
    </row>
    <row r="415" ht="25" customHeight="1">
      <c r="A415" s="2" t="str">
        <v>Q432</v>
      </c>
      <c r="B415" s="2" t="str">
        <v>KH068</v>
      </c>
      <c r="C415" s="2" t="str">
        <v>KH00005</v>
      </c>
      <c r="D415" s="2" t="str">
        <v>S2-00430-BH</v>
      </c>
      <c r="E415" s="2" t="str">
        <v>BAN_HANG</v>
      </c>
      <c r="F415" s="2" t="str">
        <v>INP1401</v>
      </c>
      <c r="G415" s="2" t="str">
        <v>2026-01-14</v>
      </c>
      <c r="H415" s="2" t="str">
        <v>17799999.48</v>
      </c>
      <c r="I415" s="28" t="n">
        <v>17799999.48</v>
      </c>
      <c r="J415" s="7" t="n">
        <v>17799999</v>
      </c>
      <c r="K415" s="28" t="n">
        <f>J415-I415</f>
        <v>-0.48000000044703484</v>
      </c>
      <c r="L415" s="2" t="str">
        <v>NHẬP</v>
      </c>
      <c r="M415" s="2" t="str"/>
      <c r="N415" s="2" t="str">
        <v>KHAC</v>
      </c>
    </row>
    <row r="416" ht="25" customHeight="1">
      <c r="A416" s="2" t="str">
        <v>Q433</v>
      </c>
      <c r="B416" s="2" t="str">
        <v>KH068</v>
      </c>
      <c r="C416" s="2" t="str">
        <v>KH00005</v>
      </c>
      <c r="D416" s="2" t="str">
        <v>S2-00430-BH</v>
      </c>
      <c r="E416" s="2" t="str">
        <v>BAN_HANG</v>
      </c>
      <c r="F416" s="2" t="str">
        <v>INP1402</v>
      </c>
      <c r="G416" s="2" t="str">
        <v>2026-01-14</v>
      </c>
      <c r="H416" s="2" t="str">
        <v>20259999.72</v>
      </c>
      <c r="I416" s="28" t="n">
        <v>20259999.72</v>
      </c>
      <c r="J416" s="7" t="n">
        <v>20259999</v>
      </c>
      <c r="K416" s="28" t="n">
        <f>J416-I416</f>
        <v>-0.7199999988079071</v>
      </c>
      <c r="L416" s="2" t="str">
        <v>NHẬP</v>
      </c>
      <c r="M416" s="2" t="str"/>
      <c r="N416" s="2" t="str">
        <v>KHAC</v>
      </c>
    </row>
    <row r="417" ht="25" customHeight="1">
      <c r="A417" s="2" t="str">
        <v>Q434</v>
      </c>
      <c r="B417" s="2" t="str">
        <v>KH068</v>
      </c>
      <c r="C417" s="2" t="str">
        <v>KH00005</v>
      </c>
      <c r="D417" s="2" t="str">
        <v>S2-00430-BH</v>
      </c>
      <c r="E417" s="2" t="str">
        <v>BAN_HANG</v>
      </c>
      <c r="F417" s="2" t="str">
        <v>INP2003</v>
      </c>
      <c r="G417" s="2" t="str">
        <v>2026-01-14</v>
      </c>
      <c r="H417" s="2" t="str">
        <v>38400000.156</v>
      </c>
      <c r="I417" s="28" t="n">
        <v>38400000.156</v>
      </c>
      <c r="J417" s="7" t="n">
        <v>38400000</v>
      </c>
      <c r="K417" s="28" t="n">
        <f>J417-I417</f>
        <v>-0.15600000321865082</v>
      </c>
      <c r="L417" s="2" t="str">
        <v>NHẬP</v>
      </c>
      <c r="M417" s="2" t="str"/>
      <c r="N417" s="2" t="str">
        <v>KHAC</v>
      </c>
    </row>
    <row r="418" ht="25" customHeight="1">
      <c r="A418" s="2" t="str">
        <v>Q435</v>
      </c>
      <c r="B418" s="2" t="str">
        <v>KH068</v>
      </c>
      <c r="C418" s="2" t="str">
        <v>KH00005</v>
      </c>
      <c r="D418" s="2" t="str">
        <v>S2-00430-BH</v>
      </c>
      <c r="E418" s="2" t="str">
        <v>BAN_HANG</v>
      </c>
      <c r="F418" s="2" t="str">
        <v>INP2108</v>
      </c>
      <c r="G418" s="2" t="str">
        <v>2026-01-14</v>
      </c>
      <c r="H418" s="2" t="str">
        <v>2430000</v>
      </c>
      <c r="I418" s="28" t="n">
        <v>2430000</v>
      </c>
      <c r="J418" s="7" t="n">
        <v>2430000</v>
      </c>
      <c r="K418" s="28" t="n">
        <f>J418-I418</f>
        <v>0</v>
      </c>
      <c r="L418" s="2" t="str">
        <v>NHẬP</v>
      </c>
      <c r="M418" s="2" t="str"/>
      <c r="N418" s="2" t="str">
        <v>KHAC</v>
      </c>
    </row>
    <row r="419" ht="25" customHeight="1">
      <c r="A419" s="2" t="str">
        <v>Q436</v>
      </c>
      <c r="B419" s="2" t="str">
        <v>KH068</v>
      </c>
      <c r="C419" s="2" t="str">
        <v>KH00005</v>
      </c>
      <c r="D419" s="2" t="str">
        <v>S2-00430-BH</v>
      </c>
      <c r="E419" s="2" t="str">
        <v>BAN_HANG</v>
      </c>
      <c r="F419" s="2" t="str">
        <v>INP2109</v>
      </c>
      <c r="G419" s="2" t="str">
        <v>2026-01-14</v>
      </c>
      <c r="H419" s="2" t="str">
        <v>2669999.976</v>
      </c>
      <c r="I419" s="28" t="n">
        <v>2669999.976</v>
      </c>
      <c r="J419" s="7" t="n">
        <v>2670000</v>
      </c>
      <c r="K419" s="28" t="n">
        <f>J419-I419</f>
        <v>0.024000000208616257</v>
      </c>
      <c r="L419" s="2" t="str">
        <v>NHẬP</v>
      </c>
      <c r="M419" s="2" t="str"/>
      <c r="N419" s="2" t="str">
        <v>KHAC</v>
      </c>
    </row>
    <row r="420" ht="25" customHeight="1">
      <c r="A420" s="2" t="str">
        <v>Q437</v>
      </c>
      <c r="B420" s="2" t="str">
        <v>KH068</v>
      </c>
      <c r="C420" s="2" t="str">
        <v>KH00005</v>
      </c>
      <c r="D420" s="2" t="str">
        <v>S2-00430-BH</v>
      </c>
      <c r="E420" s="2" t="str">
        <v>BAN_HANG</v>
      </c>
      <c r="F420" s="2" t="str">
        <v>INP2110</v>
      </c>
      <c r="G420" s="2" t="str">
        <v>2026-01-14</v>
      </c>
      <c r="H420" s="2" t="str">
        <v>2900000.016</v>
      </c>
      <c r="I420" s="28" t="n">
        <v>2900000.016</v>
      </c>
      <c r="J420" s="7" t="n">
        <v>2900000</v>
      </c>
      <c r="K420" s="28" t="n">
        <f>J420-I420</f>
        <v>-0.015999999828636646</v>
      </c>
      <c r="L420" s="2" t="str">
        <v>NHẬP</v>
      </c>
      <c r="M420" s="2" t="str"/>
      <c r="N420" s="2" t="str">
        <v>KHAC</v>
      </c>
    </row>
    <row r="421" ht="25" customHeight="1">
      <c r="A421" s="2" t="str">
        <v>Q438</v>
      </c>
      <c r="B421" s="2" t="str">
        <v>KH068</v>
      </c>
      <c r="C421" s="2" t="str">
        <v>KH00005</v>
      </c>
      <c r="D421" s="2" t="str">
        <v>S2-00430-BH</v>
      </c>
      <c r="E421" s="2" t="str">
        <v>BAN_HANG</v>
      </c>
      <c r="F421" s="2" t="str">
        <v>INP2111</v>
      </c>
      <c r="G421" s="2" t="str">
        <v>2026-01-14</v>
      </c>
      <c r="H421" s="2" t="str">
        <v>3120000.012</v>
      </c>
      <c r="I421" s="28" t="n">
        <v>3120000.012</v>
      </c>
      <c r="J421" s="7" t="n">
        <v>3120000</v>
      </c>
      <c r="K421" s="28" t="n">
        <f>J421-I421</f>
        <v>-0.012000000104308128</v>
      </c>
      <c r="L421" s="2" t="str">
        <v>NHẬP</v>
      </c>
      <c r="M421" s="2" t="str"/>
      <c r="N421" s="2" t="str">
        <v>KHAC</v>
      </c>
    </row>
    <row r="422" ht="25" customHeight="1">
      <c r="A422" s="2" t="str">
        <v>Q439</v>
      </c>
      <c r="B422" s="2" t="str">
        <v>KH068</v>
      </c>
      <c r="C422" s="2" t="str">
        <v>KH00005</v>
      </c>
      <c r="D422" s="2" t="str">
        <v>S2-00430-BH</v>
      </c>
      <c r="E422" s="2" t="str">
        <v>BAN_HANG</v>
      </c>
      <c r="F422" s="2" t="str">
        <v>INP2202</v>
      </c>
      <c r="G422" s="2" t="str">
        <v>2026-01-14</v>
      </c>
      <c r="H422" s="2" t="str">
        <v>9120000.6</v>
      </c>
      <c r="I422" s="28" t="n">
        <v>9120000.6</v>
      </c>
      <c r="J422" s="7" t="n">
        <v>9120000</v>
      </c>
      <c r="K422" s="28" t="n">
        <f>J422-I422</f>
        <v>-0.599999999627471</v>
      </c>
      <c r="L422" s="2" t="str">
        <v>NHẬP</v>
      </c>
      <c r="M422" s="2" t="str"/>
      <c r="N422" s="2" t="str">
        <v>KHAC</v>
      </c>
    </row>
    <row r="423" ht="25" customHeight="1">
      <c r="A423" s="2" t="str">
        <v>Q440</v>
      </c>
      <c r="B423" s="2" t="str">
        <v>KH068</v>
      </c>
      <c r="C423" s="2" t="str">
        <v>KH00005</v>
      </c>
      <c r="D423" s="2" t="str">
        <v>S2-00430-BH</v>
      </c>
      <c r="E423" s="2" t="str">
        <v>BAN_HANG</v>
      </c>
      <c r="F423" s="2" t="str">
        <v>INP6601</v>
      </c>
      <c r="G423" s="2" t="str">
        <v>2026-01-14</v>
      </c>
      <c r="H423" s="2" t="str">
        <v>7800000.3</v>
      </c>
      <c r="I423" s="28" t="n">
        <v>7800000.3</v>
      </c>
      <c r="J423" s="7" t="n">
        <v>7800000</v>
      </c>
      <c r="K423" s="28" t="n">
        <f>J423-I423</f>
        <v>-0.2999999998137355</v>
      </c>
      <c r="L423" s="2" t="str">
        <v>NHẬP</v>
      </c>
      <c r="M423" s="2" t="str"/>
      <c r="N423" s="2" t="str">
        <v>KHAC</v>
      </c>
    </row>
    <row r="424" ht="25" customHeight="1">
      <c r="A424" s="2" t="str">
        <v>Q441</v>
      </c>
      <c r="B424" s="2" t="str">
        <v>KH068</v>
      </c>
      <c r="C424" s="2" t="str">
        <v>KH00005</v>
      </c>
      <c r="D424" s="2" t="str">
        <v>S2-00430-BH</v>
      </c>
      <c r="E424" s="2" t="str">
        <v>BAN_HANG</v>
      </c>
      <c r="F424" s="2" t="str">
        <v>INP6602</v>
      </c>
      <c r="G424" s="2" t="str">
        <v>2026-01-14</v>
      </c>
      <c r="H424" s="2" t="str">
        <v>8819999.28</v>
      </c>
      <c r="I424" s="28" t="n">
        <v>8819999.28</v>
      </c>
      <c r="J424" s="7" t="n">
        <v>8819999</v>
      </c>
      <c r="K424" s="28" t="n">
        <f>J424-I424</f>
        <v>-0.27999999932944775</v>
      </c>
      <c r="L424" s="2" t="str">
        <v>NHẬP</v>
      </c>
      <c r="M424" s="2" t="str"/>
      <c r="N424" s="2" t="str">
        <v>KHAC</v>
      </c>
    </row>
    <row r="425" ht="25" customHeight="1">
      <c r="A425" s="2" t="str">
        <v>Q442</v>
      </c>
      <c r="B425" s="2" t="str">
        <v>KH068</v>
      </c>
      <c r="C425" s="2" t="str">
        <v>KH00005</v>
      </c>
      <c r="D425" s="2" t="str">
        <v>S2-00442-BH</v>
      </c>
      <c r="E425" s="2" t="str">
        <v>BAN_HANG</v>
      </c>
      <c r="F425" s="2" t="str">
        <v>INP6701</v>
      </c>
      <c r="G425" s="2" t="str">
        <v>2026-01-14</v>
      </c>
      <c r="H425" s="2" t="str">
        <v>15599999.952</v>
      </c>
      <c r="I425" s="28" t="n">
        <v>15599999.952</v>
      </c>
      <c r="J425" s="7" t="n">
        <v>15600000</v>
      </c>
      <c r="K425" s="28" t="n">
        <f>J425-I425</f>
        <v>0.04800000041723251</v>
      </c>
      <c r="L425" s="2" t="str">
        <v>NHẬP</v>
      </c>
      <c r="M425" s="2" t="str"/>
      <c r="N425" s="2" t="str">
        <v>KHAC</v>
      </c>
    </row>
    <row r="426" ht="25" customHeight="1">
      <c r="A426" s="2" t="str">
        <v>R443</v>
      </c>
      <c r="B426" s="2" t="str">
        <v>KH068</v>
      </c>
      <c r="C426" s="2" t="str">
        <v>KH00005</v>
      </c>
      <c r="D426" s="2" t="str">
        <v>S2-00443-TT</v>
      </c>
      <c r="E426" s="2" t="str">
        <v>THU_TIEN</v>
      </c>
      <c r="F426" s="2" t="str"/>
      <c r="G426" s="2" t="str">
        <v>2026-01-26</v>
      </c>
      <c r="H426" s="2" t="str">
        <v>70680000</v>
      </c>
      <c r="I426" s="28" t="n">
        <v>70680000</v>
      </c>
      <c r="J426" s="7" t="n">
        <v>70680000</v>
      </c>
      <c r="K426" s="28" t="n">
        <f>J426-I426</f>
        <v>0</v>
      </c>
      <c r="L426" s="2" t="str">
        <v>NHẬP</v>
      </c>
      <c r="M426" s="2" t="str"/>
      <c r="N426" s="2" t="str">
        <v>KHAC</v>
      </c>
    </row>
    <row r="427" ht="25" customHeight="1">
      <c r="A427" s="2" t="str">
        <v>Q444</v>
      </c>
      <c r="B427" s="2" t="str">
        <v>KH068</v>
      </c>
      <c r="C427" s="2" t="str">
        <v>KH00005</v>
      </c>
      <c r="D427" s="2" t="str">
        <v>S2-00444-BH</v>
      </c>
      <c r="E427" s="2" t="str">
        <v>BAN_HANG</v>
      </c>
      <c r="F427" s="2" t="str">
        <v>INP6003</v>
      </c>
      <c r="G427" s="2" t="str">
        <v>2026-01-27</v>
      </c>
      <c r="H427" s="2" t="str">
        <v>36799999.92</v>
      </c>
      <c r="I427" s="28" t="n">
        <v>36799999.92</v>
      </c>
      <c r="J427" s="7" t="n">
        <v>36800000</v>
      </c>
      <c r="K427" s="28" t="n">
        <f>J427-I427</f>
        <v>0.07999999821186066</v>
      </c>
      <c r="L427" s="2" t="str">
        <v>NHẬP</v>
      </c>
      <c r="M427" s="2" t="str"/>
      <c r="N427" s="2" t="str">
        <v>KHAC</v>
      </c>
    </row>
    <row r="428" ht="25" customHeight="1">
      <c r="A428" s="2" t="str">
        <v>Q445</v>
      </c>
      <c r="B428" s="2" t="str">
        <v>KH068</v>
      </c>
      <c r="C428" s="2" t="str">
        <v>KH00005</v>
      </c>
      <c r="D428" s="2" t="str">
        <v>S2-00445-BH</v>
      </c>
      <c r="E428" s="2" t="str">
        <v>BAN_HANG</v>
      </c>
      <c r="F428" s="2" t="str">
        <v>INP6002</v>
      </c>
      <c r="G428" s="2" t="str">
        <v>2026-01-27</v>
      </c>
      <c r="H428" s="2" t="str">
        <v>9479999.9808</v>
      </c>
      <c r="I428" s="28" t="n">
        <v>9479999.9808</v>
      </c>
      <c r="J428" s="7" t="n">
        <v>9480000</v>
      </c>
      <c r="K428" s="28" t="n">
        <f>J428-I428</f>
        <v>0.019200000911951065</v>
      </c>
      <c r="L428" s="2" t="str">
        <v>NHẬP</v>
      </c>
      <c r="M428" s="2" t="str"/>
      <c r="N428" s="2" t="str">
        <v>KHAC</v>
      </c>
    </row>
    <row r="429" ht="25" customHeight="1">
      <c r="A429" s="2" t="str">
        <v>Q446</v>
      </c>
      <c r="B429" s="2" t="str">
        <v>KH068</v>
      </c>
      <c r="C429" s="2" t="str">
        <v>KH00005</v>
      </c>
      <c r="D429" s="2" t="str">
        <v>S2-00444-BH</v>
      </c>
      <c r="E429" s="2" t="str">
        <v>BAN_HANG</v>
      </c>
      <c r="F429" s="2" t="str">
        <v>INP6001</v>
      </c>
      <c r="G429" s="2" t="str">
        <v>2026-01-27</v>
      </c>
      <c r="H429" s="2" t="str">
        <v>24600000.024</v>
      </c>
      <c r="I429" s="28" t="n">
        <v>24600000.024</v>
      </c>
      <c r="J429" s="7" t="n">
        <v>24600000</v>
      </c>
      <c r="K429" s="28" t="n">
        <f>J429-I429</f>
        <v>-0.024000000208616257</v>
      </c>
      <c r="L429" s="2" t="str">
        <v>NHẬP</v>
      </c>
      <c r="M429" s="2" t="str"/>
      <c r="N429" s="2" t="str">
        <v>KHAC</v>
      </c>
    </row>
    <row r="430" ht="25" customHeight="1">
      <c r="A430" s="2" t="str">
        <v>Q447</v>
      </c>
      <c r="B430" s="2" t="str">
        <v>KH068</v>
      </c>
      <c r="C430" s="2" t="str">
        <v>KH00005</v>
      </c>
      <c r="D430" s="2" t="str">
        <v>S2-00444-BH</v>
      </c>
      <c r="E430" s="2" t="str">
        <v>BAN_HANG</v>
      </c>
      <c r="F430" s="2" t="str">
        <v>INP6602</v>
      </c>
      <c r="G430" s="2" t="str">
        <v>2026-01-27</v>
      </c>
      <c r="H430" s="2" t="str">
        <v>29399999.976</v>
      </c>
      <c r="I430" s="28" t="n">
        <v>29399999.976</v>
      </c>
      <c r="J430" s="7" t="n">
        <v>29400000</v>
      </c>
      <c r="K430" s="28" t="n">
        <f>J430-I430</f>
        <v>0.024000000208616257</v>
      </c>
      <c r="L430" s="2" t="str">
        <v>NHẬP</v>
      </c>
      <c r="M430" s="2" t="str"/>
      <c r="N430" s="2" t="str">
        <v>KHAC</v>
      </c>
    </row>
    <row r="431" ht="25" customHeight="1">
      <c r="A431" s="2" t="str">
        <v>Q448</v>
      </c>
      <c r="B431" s="2" t="str">
        <v>KH068</v>
      </c>
      <c r="C431" s="2" t="str">
        <v>KH00005</v>
      </c>
      <c r="D431" s="2" t="str">
        <v>S2-00444-BH</v>
      </c>
      <c r="E431" s="2" t="str">
        <v>BAN_HANG</v>
      </c>
      <c r="F431" s="2" t="str">
        <v>INP2301</v>
      </c>
      <c r="G431" s="2" t="str">
        <v>2026-01-27</v>
      </c>
      <c r="H431" s="2" t="str">
        <v>45000000.36</v>
      </c>
      <c r="I431" s="28" t="n">
        <v>45000000.36</v>
      </c>
      <c r="J431" s="7" t="n">
        <v>45000000</v>
      </c>
      <c r="K431" s="28" t="n">
        <f>J431-I431</f>
        <v>-0.35999999940395355</v>
      </c>
      <c r="L431" s="2" t="str">
        <v>NHẬP</v>
      </c>
      <c r="M431" s="2" t="str"/>
      <c r="N431" s="2" t="str">
        <v>KHAC</v>
      </c>
    </row>
    <row r="432" ht="25" customHeight="1">
      <c r="A432" s="2" t="str">
        <v>Q449</v>
      </c>
      <c r="B432" s="2" t="str">
        <v>KH068</v>
      </c>
      <c r="C432" s="2" t="str">
        <v>KH00005</v>
      </c>
      <c r="D432" s="2" t="str">
        <v>S2-00449-BH</v>
      </c>
      <c r="E432" s="2" t="str">
        <v>BAN_HANG</v>
      </c>
      <c r="F432" s="2" t="str">
        <v>INP6802</v>
      </c>
      <c r="G432" s="2" t="str">
        <v>2026-01-27</v>
      </c>
      <c r="H432" s="2" t="str">
        <v>19059999.84</v>
      </c>
      <c r="I432" s="28" t="n">
        <v>19059999.84</v>
      </c>
      <c r="J432" s="7" t="n">
        <v>19060000</v>
      </c>
      <c r="K432" s="28" t="n">
        <f>J432-I432</f>
        <v>0.1600000001490116</v>
      </c>
      <c r="L432" s="2" t="str">
        <v>NHẬP</v>
      </c>
      <c r="M432" s="2" t="str"/>
      <c r="N432" s="2" t="str">
        <v>KHAC</v>
      </c>
    </row>
    <row r="433" ht="25" customHeight="1">
      <c r="A433" s="2" t="str">
        <v>R450</v>
      </c>
      <c r="B433" s="2" t="str">
        <v>KH068</v>
      </c>
      <c r="C433" s="2" t="str">
        <v>KH00005</v>
      </c>
      <c r="D433" s="2" t="str">
        <v>S2-00450-TT</v>
      </c>
      <c r="E433" s="2" t="str">
        <v>THU_TIEN</v>
      </c>
      <c r="F433" s="2" t="str"/>
      <c r="G433" s="2" t="str">
        <v>2026-02-10</v>
      </c>
      <c r="H433" s="2" t="str">
        <v>70680000</v>
      </c>
      <c r="I433" s="28" t="n">
        <v>70680000</v>
      </c>
      <c r="J433" s="7" t="n">
        <v>70680000</v>
      </c>
      <c r="K433" s="28" t="n">
        <f>J433-I433</f>
        <v>0</v>
      </c>
      <c r="L433" s="2" t="str">
        <v>NHẬP</v>
      </c>
      <c r="M433" s="2" t="str"/>
      <c r="N433" s="2" t="str">
        <v>KHAC</v>
      </c>
    </row>
    <row r="434" ht="25" customHeight="1">
      <c r="A434" s="2" t="str">
        <v>Q451</v>
      </c>
      <c r="B434" s="2" t="str">
        <v>KH068</v>
      </c>
      <c r="C434" s="2" t="str">
        <v>KH00005</v>
      </c>
      <c r="D434" s="2" t="str">
        <v>S2-00451-BH</v>
      </c>
      <c r="E434" s="2" t="str">
        <v>BAN_HANG</v>
      </c>
      <c r="F434" s="2" t="str">
        <v>INP1001</v>
      </c>
      <c r="G434" s="2" t="str">
        <v>2026-02-10</v>
      </c>
      <c r="H434" s="2" t="str">
        <v>15569999.82</v>
      </c>
      <c r="I434" s="28" t="n">
        <v>15569999.82</v>
      </c>
      <c r="J434" s="7" t="n">
        <v>15570000</v>
      </c>
      <c r="K434" s="28" t="n">
        <f>J434-I434</f>
        <v>0.17999999970197678</v>
      </c>
      <c r="L434" s="2" t="str">
        <v>NHẬP</v>
      </c>
      <c r="M434" s="2" t="str"/>
      <c r="N434" s="2" t="str">
        <v>KHAC</v>
      </c>
    </row>
    <row r="435" ht="25" customHeight="1">
      <c r="A435" s="2" t="str">
        <v>Q452</v>
      </c>
      <c r="B435" s="2" t="str">
        <v>KH068</v>
      </c>
      <c r="C435" s="2" t="str">
        <v>KH00005</v>
      </c>
      <c r="D435" s="2" t="str">
        <v>S2-00451-BH</v>
      </c>
      <c r="E435" s="2" t="str">
        <v>BAN_HANG</v>
      </c>
      <c r="F435" s="2" t="str">
        <v>INP1002</v>
      </c>
      <c r="G435" s="2" t="str">
        <v>2026-02-10</v>
      </c>
      <c r="H435" s="2" t="str">
        <v>13979999.952</v>
      </c>
      <c r="I435" s="28" t="n">
        <v>13979999.952</v>
      </c>
      <c r="J435" s="7" t="n">
        <v>13980000</v>
      </c>
      <c r="K435" s="28" t="n">
        <f>J435-I435</f>
        <v>0.04800000041723251</v>
      </c>
      <c r="L435" s="2" t="str">
        <v>NHẬP</v>
      </c>
      <c r="M435" s="2" t="str"/>
      <c r="N435" s="2" t="str">
        <v>KHAC</v>
      </c>
    </row>
    <row r="436" ht="25" customHeight="1">
      <c r="A436" s="2" t="str">
        <v>Q453</v>
      </c>
      <c r="B436" s="2" t="str">
        <v>KH068</v>
      </c>
      <c r="C436" s="2" t="str">
        <v>KH00005</v>
      </c>
      <c r="D436" s="2" t="str">
        <v>S2-00451-BH</v>
      </c>
      <c r="E436" s="2" t="str">
        <v>BAN_HANG</v>
      </c>
      <c r="F436" s="2" t="str">
        <v>INP1003</v>
      </c>
      <c r="G436" s="2" t="str">
        <v>2026-02-10</v>
      </c>
      <c r="H436" s="2" t="str">
        <v>18199999.7712</v>
      </c>
      <c r="I436" s="28" t="n">
        <v>18199999.7712</v>
      </c>
      <c r="J436" s="7" t="n">
        <v>18200000</v>
      </c>
      <c r="K436" s="28" t="n">
        <f>J436-I436</f>
        <v>0.2287999987602234</v>
      </c>
      <c r="L436" s="2" t="str">
        <v>NHẬP</v>
      </c>
      <c r="M436" s="2" t="str"/>
      <c r="N436" s="2" t="str">
        <v>KHAC</v>
      </c>
    </row>
    <row r="437" ht="25" customHeight="1">
      <c r="A437" s="2" t="str">
        <v>Q454</v>
      </c>
      <c r="B437" s="2" t="str">
        <v>KH068</v>
      </c>
      <c r="C437" s="2" t="str">
        <v>KH00005</v>
      </c>
      <c r="D437" s="2" t="str">
        <v>S2-00451-BH</v>
      </c>
      <c r="E437" s="2" t="str">
        <v>BAN_HANG</v>
      </c>
      <c r="F437" s="2" t="str">
        <v>INP1101</v>
      </c>
      <c r="G437" s="2" t="str">
        <v>2026-02-10</v>
      </c>
      <c r="H437" s="2" t="str">
        <v>15659999.892</v>
      </c>
      <c r="I437" s="28" t="n">
        <v>15659999.892</v>
      </c>
      <c r="J437" s="7" t="n">
        <v>15660000</v>
      </c>
      <c r="K437" s="28" t="n">
        <f>J437-I437</f>
        <v>0.107999999076128</v>
      </c>
      <c r="L437" s="2" t="str">
        <v>NHẬP</v>
      </c>
      <c r="M437" s="2" t="str"/>
      <c r="N437" s="2" t="str">
        <v>KHAC</v>
      </c>
    </row>
    <row r="438" ht="25" customHeight="1">
      <c r="A438" s="2" t="str">
        <v>Q455</v>
      </c>
      <c r="B438" s="2" t="str">
        <v>KH068</v>
      </c>
      <c r="C438" s="2" t="str">
        <v>KH00005</v>
      </c>
      <c r="D438" s="2" t="str">
        <v>S2-00451-BH</v>
      </c>
      <c r="E438" s="2" t="str">
        <v>BAN_HANG</v>
      </c>
      <c r="F438" s="2" t="str">
        <v>INP6501</v>
      </c>
      <c r="G438" s="2" t="str">
        <v>2026-02-10</v>
      </c>
      <c r="H438" s="2" t="str">
        <v>36599999.904</v>
      </c>
      <c r="I438" s="28" t="n">
        <v>36599999.904</v>
      </c>
      <c r="J438" s="7" t="n">
        <v>36600000</v>
      </c>
      <c r="K438" s="28" t="n">
        <f>J438-I438</f>
        <v>0.09600000083446503</v>
      </c>
      <c r="L438" s="2" t="str">
        <v>NHẬP</v>
      </c>
      <c r="M438" s="2" t="str"/>
      <c r="N438" s="2" t="str">
        <v>KHAC</v>
      </c>
    </row>
    <row r="439" ht="25" customHeight="1">
      <c r="A439" s="2" t="str">
        <v>Q456</v>
      </c>
      <c r="B439" s="2" t="str">
        <v>KH068</v>
      </c>
      <c r="C439" s="2" t="str">
        <v>KH00005</v>
      </c>
      <c r="D439" s="2" t="str">
        <v>S2-00456-BH</v>
      </c>
      <c r="E439" s="2" t="str">
        <v>BAN_HANG</v>
      </c>
      <c r="F439" s="2" t="str">
        <v>INP6001</v>
      </c>
      <c r="G439" s="2" t="str">
        <v>2026-03-16</v>
      </c>
      <c r="H439" s="2" t="str">
        <v>12300000.012</v>
      </c>
      <c r="I439" s="28" t="n">
        <v>12300000.012</v>
      </c>
      <c r="J439" s="7" t="n">
        <v>12300000</v>
      </c>
      <c r="K439" s="28" t="n">
        <f>J439-I439</f>
        <v>-0.012000000104308128</v>
      </c>
      <c r="L439" s="2" t="str">
        <v>NHẬP</v>
      </c>
      <c r="M439" s="2" t="str"/>
      <c r="N439" s="2" t="str">
        <v>KHAC</v>
      </c>
    </row>
    <row r="440" ht="25" customHeight="1">
      <c r="A440" s="2" t="str">
        <v>Q457</v>
      </c>
      <c r="B440" s="2" t="str">
        <v>KH068</v>
      </c>
      <c r="C440" s="2" t="str">
        <v>KH00005</v>
      </c>
      <c r="D440" s="2" t="str">
        <v>S2-00457-BH</v>
      </c>
      <c r="E440" s="2" t="str">
        <v>BAN_HANG</v>
      </c>
      <c r="F440" s="2" t="str">
        <v>INP6002</v>
      </c>
      <c r="G440" s="2" t="str">
        <v>2026-03-16</v>
      </c>
      <c r="H440" s="2" t="str">
        <v>35549999.928</v>
      </c>
      <c r="I440" s="28" t="n">
        <v>35549999.928</v>
      </c>
      <c r="J440" s="7" t="n">
        <v>35550000</v>
      </c>
      <c r="K440" s="28" t="n">
        <f>J440-I440</f>
        <v>0.07199999690055847</v>
      </c>
      <c r="L440" s="2" t="str">
        <v>NHẬP</v>
      </c>
      <c r="M440" s="2" t="str"/>
      <c r="N440" s="2" t="str">
        <v>KHAC</v>
      </c>
    </row>
    <row r="441" ht="25" customHeight="1">
      <c r="A441" s="2" t="str">
        <v>R458</v>
      </c>
      <c r="B441" s="2" t="str">
        <v>KH068</v>
      </c>
      <c r="C441" s="2" t="str">
        <v>KH00005</v>
      </c>
      <c r="D441" s="2" t="str">
        <v>S2-00458-TT</v>
      </c>
      <c r="E441" s="2" t="str">
        <v>THU_TIEN</v>
      </c>
      <c r="F441" s="2" t="str"/>
      <c r="G441" s="2" t="str">
        <v>2026-04-10</v>
      </c>
      <c r="H441" s="2" t="str">
        <v>48000000</v>
      </c>
      <c r="I441" s="28" t="n">
        <v>48000000</v>
      </c>
      <c r="J441" s="7" t="n">
        <v>48000000</v>
      </c>
      <c r="K441" s="28" t="n">
        <f>J441-I441</f>
        <v>0</v>
      </c>
      <c r="L441" s="2" t="str">
        <v>NHẬP</v>
      </c>
      <c r="M441" s="2" t="str"/>
      <c r="N441" s="2" t="str">
        <v>KHAC</v>
      </c>
    </row>
    <row r="442" ht="25" customHeight="1">
      <c r="A442" s="2" t="str">
        <v>Q459</v>
      </c>
      <c r="B442" s="2" t="str">
        <v>KH068</v>
      </c>
      <c r="C442" s="2" t="str">
        <v>KH00005</v>
      </c>
      <c r="D442" s="2" t="str">
        <v>S2-00459-BH</v>
      </c>
      <c r="E442" s="2" t="str">
        <v>BAN_HANG</v>
      </c>
      <c r="F442" s="2" t="str">
        <v>INP1401</v>
      </c>
      <c r="G442" s="2" t="str">
        <v>2026-04-28</v>
      </c>
      <c r="H442" s="2" t="str">
        <v>14239999.584</v>
      </c>
      <c r="I442" s="28" t="n">
        <v>14239999.584</v>
      </c>
      <c r="J442" s="7" t="n">
        <v>14239999</v>
      </c>
      <c r="K442" s="28" t="n">
        <f>J442-I442</f>
        <v>-0.5840000007301569</v>
      </c>
      <c r="L442" s="2" t="str">
        <v>NHẬP</v>
      </c>
      <c r="M442" s="2" t="str"/>
      <c r="N442" s="2" t="str">
        <v>KHAC</v>
      </c>
    </row>
    <row r="443" ht="25" customHeight="1">
      <c r="A443" s="2" t="str">
        <v>Q460</v>
      </c>
      <c r="B443" s="2" t="str">
        <v>KH068</v>
      </c>
      <c r="C443" s="2" t="str">
        <v>KH00005</v>
      </c>
      <c r="D443" s="2" t="str">
        <v>S2-00459-BH</v>
      </c>
      <c r="E443" s="2" t="str">
        <v>BAN_HANG</v>
      </c>
      <c r="F443" s="2" t="str">
        <v>INP1402</v>
      </c>
      <c r="G443" s="2" t="str">
        <v>2026-04-28</v>
      </c>
      <c r="H443" s="2" t="str">
        <v>16207999.776</v>
      </c>
      <c r="I443" s="28" t="n">
        <v>16207999.776</v>
      </c>
      <c r="J443" s="7" t="n">
        <v>16208000</v>
      </c>
      <c r="K443" s="28" t="n">
        <f>J443-I443</f>
        <v>0.2239999994635582</v>
      </c>
      <c r="L443" s="2" t="str">
        <v>NHẬP</v>
      </c>
      <c r="M443" s="2" t="str"/>
      <c r="N443" s="2" t="str">
        <v>KHAC</v>
      </c>
    </row>
    <row r="444" ht="25" customHeight="1">
      <c r="A444" s="2" t="str">
        <v>Q461</v>
      </c>
      <c r="B444" s="2" t="str">
        <v>KH068</v>
      </c>
      <c r="C444" s="2" t="str">
        <v>KH00005</v>
      </c>
      <c r="D444" s="2" t="str">
        <v>S2-00459-BH</v>
      </c>
      <c r="E444" s="2" t="str">
        <v>BAN_HANG</v>
      </c>
      <c r="F444" s="2" t="str">
        <v>INP2002</v>
      </c>
      <c r="G444" s="2" t="str">
        <v>2026-04-28</v>
      </c>
      <c r="H444" s="2" t="str">
        <v>14719999.968</v>
      </c>
      <c r="I444" s="28" t="n">
        <v>14719999.968</v>
      </c>
      <c r="J444" s="7" t="n">
        <v>14720000</v>
      </c>
      <c r="K444" s="28" t="n">
        <f>J444-I444</f>
        <v>0.03199999965727329</v>
      </c>
      <c r="L444" s="2" t="str">
        <v>NHẬP</v>
      </c>
      <c r="M444" s="2" t="str"/>
      <c r="N444" s="2" t="str">
        <v>KHAC</v>
      </c>
    </row>
    <row r="445" ht="25" customHeight="1">
      <c r="A445" s="2" t="str">
        <v>Q462</v>
      </c>
      <c r="B445" s="2" t="str">
        <v>KH068</v>
      </c>
      <c r="C445" s="2" t="str">
        <v>KH00005</v>
      </c>
      <c r="D445" s="2" t="str">
        <v>S2-00462-TH</v>
      </c>
      <c r="E445" s="2" t="str">
        <v>TRA_HANG</v>
      </c>
      <c r="F445" s="2" t="str">
        <v>INP6802</v>
      </c>
      <c r="G445" s="2" t="str">
        <v>2026-05-20</v>
      </c>
      <c r="H445" s="2" t="str">
        <v>19059999.84</v>
      </c>
      <c r="I445" s="28" t="n">
        <v>19059999.84</v>
      </c>
      <c r="J445" s="7" t="n">
        <v>19060000</v>
      </c>
      <c r="K445" s="28" t="n">
        <f>J445-I445</f>
        <v>0.1600000001490116</v>
      </c>
      <c r="L445" s="2" t="str">
        <v>NHẬP</v>
      </c>
      <c r="M445" s="2" t="str"/>
      <c r="N445" s="2" t="str">
        <v>KHAC</v>
      </c>
    </row>
    <row r="446" ht="25" customHeight="1">
      <c r="A446" s="2" t="str">
        <v>Q463</v>
      </c>
      <c r="B446" s="2" t="str">
        <v>KH068</v>
      </c>
      <c r="C446" s="2" t="str">
        <v>KH00005</v>
      </c>
      <c r="D446" s="2" t="str">
        <v>S2-00462-TH</v>
      </c>
      <c r="E446" s="2" t="str">
        <v>TRA_HANG</v>
      </c>
      <c r="F446" s="2" t="str">
        <v>INP6501</v>
      </c>
      <c r="G446" s="2" t="str">
        <v>2026-05-20</v>
      </c>
      <c r="H446" s="2" t="str">
        <v>33854999.9112</v>
      </c>
      <c r="I446" s="28" t="n">
        <v>33854999.9112</v>
      </c>
      <c r="J446" s="7" t="n">
        <v>33855000</v>
      </c>
      <c r="K446" s="28" t="n">
        <f>J446-I446</f>
        <v>0.08879999816417694</v>
      </c>
      <c r="L446" s="2" t="str">
        <v>NHẬP</v>
      </c>
      <c r="M446" s="2" t="str"/>
      <c r="N446" s="2" t="str">
        <v>KHAC</v>
      </c>
    </row>
    <row r="447" ht="25" customHeight="1">
      <c r="A447" s="2" t="str">
        <v>Q464</v>
      </c>
      <c r="B447" s="2" t="str">
        <v>KH068</v>
      </c>
      <c r="C447" s="2" t="str">
        <v>KH00005</v>
      </c>
      <c r="D447" s="2" t="str">
        <v>S2-00464-BH</v>
      </c>
      <c r="E447" s="2" t="str">
        <v>BAN_HANG</v>
      </c>
      <c r="F447" s="2" t="str">
        <v>INP6001</v>
      </c>
      <c r="G447" s="2" t="str">
        <v>2026-05-20</v>
      </c>
      <c r="H447" s="2" t="str">
        <v>61499999.52</v>
      </c>
      <c r="I447" s="28" t="n">
        <v>61499999.52</v>
      </c>
      <c r="J447" s="7" t="n">
        <v>61499999</v>
      </c>
      <c r="K447" s="28" t="n">
        <f>J447-I447</f>
        <v>-0.5200000032782555</v>
      </c>
      <c r="L447" s="2" t="str">
        <v>NHẬP</v>
      </c>
      <c r="M447" s="2" t="str"/>
      <c r="N447" s="2" t="str">
        <v>KHAC</v>
      </c>
    </row>
    <row r="448" ht="25" customHeight="1">
      <c r="A448" s="2" t="str">
        <v>Q465</v>
      </c>
      <c r="B448" s="2" t="str">
        <v>KH068</v>
      </c>
      <c r="C448" s="2" t="str">
        <v>KH00005</v>
      </c>
      <c r="D448" s="2" t="str">
        <v>S2-00464-BH</v>
      </c>
      <c r="E448" s="2" t="str">
        <v>BAN_HANG</v>
      </c>
      <c r="F448" s="2" t="str">
        <v>INP6003</v>
      </c>
      <c r="G448" s="2" t="str">
        <v>2026-05-20</v>
      </c>
      <c r="H448" s="2" t="str">
        <v>18399999.96</v>
      </c>
      <c r="I448" s="28" t="n">
        <v>18399999.96</v>
      </c>
      <c r="J448" s="7" t="n">
        <v>18400000</v>
      </c>
      <c r="K448" s="28" t="n">
        <f>J448-I448</f>
        <v>0.03999999910593033</v>
      </c>
      <c r="L448" s="2" t="str">
        <v>NHẬP</v>
      </c>
      <c r="M448" s="2" t="str"/>
      <c r="N448" s="2" t="str">
        <v>KHAC</v>
      </c>
    </row>
    <row r="449" ht="25" customHeight="1">
      <c r="A449" s="2" t="str">
        <v>Q466</v>
      </c>
      <c r="B449" s="2" t="str">
        <v>KH068</v>
      </c>
      <c r="C449" s="2" t="str">
        <v>KH00005</v>
      </c>
      <c r="D449" s="2" t="str">
        <v>S2-00464-BH</v>
      </c>
      <c r="E449" s="2" t="str">
        <v>BAN_HANG</v>
      </c>
      <c r="F449" s="2" t="str">
        <v>INP6102</v>
      </c>
      <c r="G449" s="2" t="str">
        <v>2026-05-20</v>
      </c>
      <c r="H449" s="2" t="str">
        <v>20259999.936</v>
      </c>
      <c r="I449" s="28" t="n">
        <v>20259999.936</v>
      </c>
      <c r="J449" s="7" t="n">
        <v>20260000</v>
      </c>
      <c r="K449" s="28" t="n">
        <f>J449-I449</f>
        <v>0.06399999931454659</v>
      </c>
      <c r="L449" s="2" t="str">
        <v>NHẬP</v>
      </c>
      <c r="M449" s="2" t="str"/>
      <c r="N449" s="2" t="str">
        <v>KHAC</v>
      </c>
    </row>
    <row r="450" ht="25" customHeight="1">
      <c r="A450" s="2" t="str">
        <v>Q467</v>
      </c>
      <c r="B450" s="2" t="str">
        <v>KH068</v>
      </c>
      <c r="C450" s="2" t="str">
        <v>KH00005</v>
      </c>
      <c r="D450" s="2" t="str">
        <v>S2-00464-BH</v>
      </c>
      <c r="E450" s="2" t="str">
        <v>BAN_HANG</v>
      </c>
      <c r="F450" s="2" t="str">
        <v>INP6104</v>
      </c>
      <c r="G450" s="2" t="str">
        <v>2026-05-20</v>
      </c>
      <c r="H450" s="2" t="str">
        <v>21759999.84</v>
      </c>
      <c r="I450" s="28" t="n">
        <v>21759999.84</v>
      </c>
      <c r="J450" s="7" t="n">
        <v>21760000</v>
      </c>
      <c r="K450" s="28" t="n">
        <f>J450-I450</f>
        <v>0.1600000001490116</v>
      </c>
      <c r="L450" s="2" t="str">
        <v>NHẬP</v>
      </c>
      <c r="M450" s="2" t="str"/>
      <c r="N450" s="2" t="str">
        <v>KHAC</v>
      </c>
    </row>
    <row r="451" ht="25" customHeight="1">
      <c r="A451" s="2" t="str">
        <v>Q468</v>
      </c>
      <c r="B451" s="2" t="str">
        <v>KH068</v>
      </c>
      <c r="C451" s="2" t="str">
        <v>KH00005</v>
      </c>
      <c r="D451" s="2" t="str">
        <v>S2-00464-BH</v>
      </c>
      <c r="E451" s="2" t="str">
        <v>BAN_HANG</v>
      </c>
      <c r="F451" s="2" t="str">
        <v>INP2002</v>
      </c>
      <c r="G451" s="2" t="str">
        <v>2026-05-20</v>
      </c>
      <c r="H451" s="2" t="str">
        <v>18399999.96</v>
      </c>
      <c r="I451" s="28" t="n">
        <v>18399999.96</v>
      </c>
      <c r="J451" s="7" t="n">
        <v>18400000</v>
      </c>
      <c r="K451" s="28" t="n">
        <f>J451-I451</f>
        <v>0.03999999910593033</v>
      </c>
      <c r="L451" s="2" t="str">
        <v>NHẬP</v>
      </c>
      <c r="M451" s="2" t="str"/>
      <c r="N451" s="2" t="str">
        <v>KHAC</v>
      </c>
    </row>
    <row r="452" ht="25" customHeight="1">
      <c r="A452" s="2" t="str">
        <v>Q469</v>
      </c>
      <c r="B452" s="2" t="str">
        <v>KH068</v>
      </c>
      <c r="C452" s="2" t="str">
        <v>KH00005</v>
      </c>
      <c r="D452" s="2" t="str">
        <v>S2-00464-BH</v>
      </c>
      <c r="E452" s="2" t="str">
        <v>BAN_HANG</v>
      </c>
      <c r="F452" s="2" t="str">
        <v>INP6701</v>
      </c>
      <c r="G452" s="2" t="str">
        <v>2026-05-20</v>
      </c>
      <c r="H452" s="2" t="str">
        <v>31199999.904</v>
      </c>
      <c r="I452" s="28" t="n">
        <v>31199999.904</v>
      </c>
      <c r="J452" s="7" t="n">
        <v>31200000</v>
      </c>
      <c r="K452" s="28" t="n">
        <f>J452-I452</f>
        <v>0.09600000083446503</v>
      </c>
      <c r="L452" s="2" t="str">
        <v>NHẬP</v>
      </c>
      <c r="M452" s="2" t="str"/>
      <c r="N452" s="2" t="str">
        <v>KHAC</v>
      </c>
    </row>
    <row r="453" ht="25" customHeight="1">
      <c r="A453" s="2" t="str">
        <v>Q471</v>
      </c>
      <c r="B453" s="2" t="str">
        <v>KH068</v>
      </c>
      <c r="C453" s="2" t="str">
        <v>KH00005</v>
      </c>
      <c r="D453" s="2" t="str">
        <v>S2-00464-BH</v>
      </c>
      <c r="E453" s="2" t="str">
        <v>BAN_HANG</v>
      </c>
      <c r="F453" s="2" t="str">
        <v>INP2002</v>
      </c>
      <c r="G453" s="2" t="str">
        <v>2026-05-20</v>
      </c>
      <c r="H453" s="2" t="str">
        <v>27599999.94</v>
      </c>
      <c r="I453" s="28" t="n">
        <v>27599999.94</v>
      </c>
      <c r="J453" s="7" t="n">
        <v>27600000</v>
      </c>
      <c r="K453" s="28" t="n">
        <f>J453-I453</f>
        <v>0.05999999865889549</v>
      </c>
      <c r="L453" s="2" t="str">
        <v>NHẬP</v>
      </c>
      <c r="M453" s="2" t="str"/>
      <c r="N453" s="2" t="str">
        <v>KHAC</v>
      </c>
    </row>
    <row r="454" ht="25" customHeight="1">
      <c r="A454" s="2" t="str">
        <v>R472</v>
      </c>
      <c r="B454" s="2" t="str">
        <v>KH068</v>
      </c>
      <c r="C454" s="2" t="str">
        <v>KH00005</v>
      </c>
      <c r="D454" s="2" t="str">
        <v>S2-00472-TT</v>
      </c>
      <c r="E454" s="2" t="str">
        <v>THU_TIEN</v>
      </c>
      <c r="F454" s="2" t="str"/>
      <c r="G454" s="2" t="str">
        <v>2026-06-03</v>
      </c>
      <c r="H454" s="2" t="str">
        <v>50000000</v>
      </c>
      <c r="I454" s="28" t="n">
        <v>50000000</v>
      </c>
      <c r="J454" s="7" t="n">
        <v>50000000</v>
      </c>
      <c r="K454" s="28" t="n">
        <f>J454-I454</f>
        <v>0</v>
      </c>
      <c r="L454" s="2" t="str">
        <v>NHẬP</v>
      </c>
      <c r="M454" s="2" t="str"/>
      <c r="N454" s="2" t="str">
        <v>KHAC</v>
      </c>
    </row>
    <row r="455" ht="25" customHeight="1">
      <c r="A455" s="2" t="str">
        <v>S473</v>
      </c>
      <c r="B455" s="2" t="str">
        <v>KH068</v>
      </c>
      <c r="C455" s="2" t="str">
        <v>KH00005</v>
      </c>
      <c r="D455" s="2" t="str">
        <v>S2-00473-VC</v>
      </c>
      <c r="E455" s="2" t="str">
        <v>PHI_VAN_CHUYEN</v>
      </c>
      <c r="F455" s="2" t="str"/>
      <c r="G455" s="2" t="str"/>
      <c r="H455" s="2" t="str">
        <v>2986799.9859</v>
      </c>
      <c r="I455" s="28" t="n">
        <v>2986799.9859</v>
      </c>
      <c r="J455" s="7" t="n">
        <v>2986800</v>
      </c>
      <c r="K455" s="28" t="n">
        <f>J455-I455</f>
        <v>0.01409999979659915</v>
      </c>
      <c r="L455" s="2" t="str">
        <v>NHẬP</v>
      </c>
      <c r="M455" s="2" t="str"/>
      <c r="N455" s="2" t="str">
        <v>KHAC</v>
      </c>
    </row>
    <row r="456" ht="25" customHeight="1">
      <c r="A456" s="2" t="str">
        <v>Q474</v>
      </c>
      <c r="B456" s="2" t="str">
        <v>KH068</v>
      </c>
      <c r="C456" s="2" t="str">
        <v>KH00005</v>
      </c>
      <c r="D456" s="2" t="str">
        <v>S2-00474-BH</v>
      </c>
      <c r="E456" s="2" t="str">
        <v>BAN_HANG</v>
      </c>
      <c r="F456" s="2" t="str">
        <v>INP6401</v>
      </c>
      <c r="G456" s="2" t="str">
        <v>2026-06-06</v>
      </c>
      <c r="H456" s="2" t="str">
        <v>72050000.1048</v>
      </c>
      <c r="I456" s="28" t="n">
        <v>72050000.1048</v>
      </c>
      <c r="J456" s="7" t="n">
        <v>72050000</v>
      </c>
      <c r="K456" s="28" t="n">
        <f>J456-I456</f>
        <v>-0.10480000078678131</v>
      </c>
      <c r="L456" s="2" t="str">
        <v>NHẬP</v>
      </c>
      <c r="M456" s="2" t="str"/>
      <c r="N456" s="2" t="str">
        <v>QUAT</v>
      </c>
    </row>
    <row r="457" ht="25" customHeight="1">
      <c r="A457" s="2" t="str">
        <v>Q475</v>
      </c>
      <c r="B457" s="2" t="str">
        <v>KH068</v>
      </c>
      <c r="C457" s="2" t="str">
        <v>KH00005</v>
      </c>
      <c r="D457" s="2" t="str">
        <v>S2-00475-BH</v>
      </c>
      <c r="E457" s="2" t="str">
        <v>BAN_HANG</v>
      </c>
      <c r="F457" s="2" t="str">
        <v>INP6902</v>
      </c>
      <c r="G457" s="2" t="str">
        <v>2026-06-17</v>
      </c>
      <c r="H457" s="2" t="str">
        <v>13199999.922</v>
      </c>
      <c r="I457" s="28" t="n">
        <v>13199999.922</v>
      </c>
      <c r="J457" s="7" t="n">
        <v>13200000</v>
      </c>
      <c r="K457" s="28" t="n">
        <f>J457-I457</f>
        <v>0.07799999974668026</v>
      </c>
      <c r="L457" s="2" t="str">
        <v>NHẬP</v>
      </c>
      <c r="M457" s="2" t="str"/>
      <c r="N457" s="2" t="str">
        <v>KHAC</v>
      </c>
    </row>
    <row r="458" ht="25" customHeight="1">
      <c r="A458" s="2" t="str">
        <v>Q476</v>
      </c>
      <c r="B458" s="2" t="str">
        <v>KH068</v>
      </c>
      <c r="C458" s="2" t="str">
        <v>KH00005</v>
      </c>
      <c r="D458" s="2" t="str">
        <v>S2-00475-BH</v>
      </c>
      <c r="E458" s="2" t="str">
        <v>BAN_HANG</v>
      </c>
      <c r="F458" s="2" t="str">
        <v>INP6903</v>
      </c>
      <c r="G458" s="2" t="str">
        <v>2026-06-17</v>
      </c>
      <c r="H458" s="2" t="str">
        <v>14700000.042</v>
      </c>
      <c r="I458" s="28" t="n">
        <v>14700000.042</v>
      </c>
      <c r="J458" s="7" t="n">
        <v>14700000</v>
      </c>
      <c r="K458" s="28" t="n">
        <f>J458-I458</f>
        <v>-0.041999999433755875</v>
      </c>
      <c r="L458" s="2" t="str">
        <v>NHẬP</v>
      </c>
      <c r="M458" s="2" t="str"/>
      <c r="N458" s="2" t="str">
        <v>KHAC</v>
      </c>
    </row>
    <row r="459" ht="25" customHeight="1">
      <c r="A459" s="2" t="str">
        <v>Q477</v>
      </c>
      <c r="B459" s="2" t="str">
        <v>KH068</v>
      </c>
      <c r="C459" s="2" t="str">
        <v>KH00005</v>
      </c>
      <c r="D459" s="2" t="str">
        <v>S2-00477-BH</v>
      </c>
      <c r="E459" s="2" t="str">
        <v>BAN_HANG</v>
      </c>
      <c r="F459" s="2" t="str">
        <v>INP6902</v>
      </c>
      <c r="G459" s="2" t="str">
        <v>2026-06-17</v>
      </c>
      <c r="H459" s="2" t="str">
        <v>13199999.922</v>
      </c>
      <c r="I459" s="28" t="n">
        <v>13199999.922</v>
      </c>
      <c r="J459" s="7" t="n">
        <v>13200000</v>
      </c>
      <c r="K459" s="28" t="n">
        <f>J459-I459</f>
        <v>0.07799999974668026</v>
      </c>
      <c r="L459" s="2" t="str">
        <v>NHẬP</v>
      </c>
      <c r="M459" s="2" t="str"/>
      <c r="N459" s="2" t="str">
        <v>KHAC</v>
      </c>
    </row>
    <row r="460" ht="25" customHeight="1">
      <c r="A460" s="2" t="str">
        <v>Q478</v>
      </c>
      <c r="B460" s="2" t="str">
        <v>KH068</v>
      </c>
      <c r="C460" s="2" t="str">
        <v>KH00005</v>
      </c>
      <c r="D460" s="2" t="str">
        <v>S2-00477-BH</v>
      </c>
      <c r="E460" s="2" t="str">
        <v>BAN_HANG</v>
      </c>
      <c r="F460" s="2" t="str">
        <v>INP6903</v>
      </c>
      <c r="G460" s="2" t="str">
        <v>2026-06-17</v>
      </c>
      <c r="H460" s="2" t="str">
        <v>14700000.042</v>
      </c>
      <c r="I460" s="28" t="n">
        <v>14700000.042</v>
      </c>
      <c r="J460" s="7" t="n">
        <v>14700000</v>
      </c>
      <c r="K460" s="28" t="n">
        <f>J460-I460</f>
        <v>-0.041999999433755875</v>
      </c>
      <c r="L460" s="2" t="str">
        <v>NHẬP</v>
      </c>
      <c r="M460" s="2" t="str"/>
      <c r="N460" s="2" t="str">
        <v>KHAC</v>
      </c>
    </row>
    <row r="461" ht="25" customHeight="1">
      <c r="A461" s="2" t="str">
        <v>Q479</v>
      </c>
      <c r="B461" s="2" t="str">
        <v>KH068</v>
      </c>
      <c r="C461" s="2" t="str">
        <v>KH00005</v>
      </c>
      <c r="D461" s="2" t="str">
        <v>S2-00477-BH</v>
      </c>
      <c r="E461" s="2" t="str">
        <v>BAN_HANG</v>
      </c>
      <c r="F461" s="2" t="str">
        <v>INP6701</v>
      </c>
      <c r="G461" s="2" t="str">
        <v>2026-06-17</v>
      </c>
      <c r="H461" s="2" t="str">
        <v>31199999.904</v>
      </c>
      <c r="I461" s="28" t="n">
        <v>31199999.904</v>
      </c>
      <c r="J461" s="7" t="n">
        <v>31200000</v>
      </c>
      <c r="K461" s="28" t="n">
        <f>J461-I461</f>
        <v>0.09600000083446503</v>
      </c>
      <c r="L461" s="2" t="str">
        <v>NHẬP</v>
      </c>
      <c r="M461" s="2" t="str"/>
      <c r="N461" s="2" t="str">
        <v>KHAC</v>
      </c>
    </row>
    <row r="462" ht="25" customHeight="1">
      <c r="A462" s="2" t="str">
        <v>Q480</v>
      </c>
      <c r="B462" s="2" t="str">
        <v>KH068</v>
      </c>
      <c r="C462" s="2" t="str">
        <v>KH00005</v>
      </c>
      <c r="D462" s="2" t="str">
        <v>S2-00480-BH</v>
      </c>
      <c r="E462" s="2" t="str">
        <v>BAN_HANG</v>
      </c>
      <c r="F462" s="2" t="str">
        <v>INP6402</v>
      </c>
      <c r="G462" s="2" t="str">
        <v>2026-06-23</v>
      </c>
      <c r="H462" s="2" t="str">
        <v>12399999.912</v>
      </c>
      <c r="I462" s="28" t="n">
        <v>12399999.912</v>
      </c>
      <c r="J462" s="7" t="n">
        <v>12400000</v>
      </c>
      <c r="K462" s="28" t="n">
        <f>J462-I462</f>
        <v>0.08799999952316284</v>
      </c>
      <c r="L462" s="2" t="str">
        <v>NHẬP</v>
      </c>
      <c r="M462" s="2" t="str"/>
      <c r="N462" s="2" t="str">
        <v>QUAT</v>
      </c>
    </row>
    <row r="463" ht="25" customHeight="1">
      <c r="A463" s="2" t="str">
        <v>Q481</v>
      </c>
      <c r="B463" s="2" t="str">
        <v>KH068</v>
      </c>
      <c r="C463" s="2" t="str">
        <v>KH00005</v>
      </c>
      <c r="D463" s="2" t="str">
        <v>S2-00480-BH</v>
      </c>
      <c r="E463" s="2" t="str">
        <v>BAN_HANG</v>
      </c>
      <c r="F463" s="2" t="str">
        <v>INP6403</v>
      </c>
      <c r="G463" s="2" t="str">
        <v>2026-06-23</v>
      </c>
      <c r="H463" s="2" t="str">
        <v>37499999.76</v>
      </c>
      <c r="I463" s="28" t="n">
        <v>37499999.76</v>
      </c>
      <c r="J463" s="7" t="n">
        <v>37500000</v>
      </c>
      <c r="K463" s="28" t="n">
        <f>J463-I463</f>
        <v>0.24000000208616257</v>
      </c>
      <c r="L463" s="2" t="str">
        <v>NHẬP</v>
      </c>
      <c r="M463" s="2" t="str"/>
      <c r="N463" s="2" t="str">
        <v>QUAT</v>
      </c>
    </row>
    <row r="464" ht="25" customHeight="1">
      <c r="A464" s="2" t="str">
        <v>Q482</v>
      </c>
      <c r="B464" s="2" t="str">
        <v>KH068</v>
      </c>
      <c r="C464" s="2" t="str">
        <v>KH00005</v>
      </c>
      <c r="D464" s="2" t="str">
        <v>S2-00482-BH</v>
      </c>
      <c r="E464" s="2" t="str">
        <v>BAN_HANG</v>
      </c>
      <c r="F464" s="2" t="str">
        <v>INP6407</v>
      </c>
      <c r="G464" s="2" t="str">
        <v>2026-06-27</v>
      </c>
      <c r="H464" s="2" t="str">
        <v>8999999.9424</v>
      </c>
      <c r="I464" s="28" t="n">
        <v>8999999.9424</v>
      </c>
      <c r="J464" s="7" t="n">
        <v>9000000</v>
      </c>
      <c r="K464" s="28" t="n">
        <f>J464-I464</f>
        <v>0.057600000873208046</v>
      </c>
      <c r="L464" s="2" t="str">
        <v>NHẬP</v>
      </c>
      <c r="M464" s="2" t="str"/>
      <c r="N464" s="2" t="str">
        <v>QUAT</v>
      </c>
    </row>
    <row r="465" ht="25" customHeight="1">
      <c r="A465" s="2" t="str">
        <v>Q483</v>
      </c>
      <c r="B465" s="2" t="str">
        <v>KH068</v>
      </c>
      <c r="C465" s="2" t="str">
        <v>KH00005</v>
      </c>
      <c r="D465" s="2" t="str">
        <v>S2-00482-BH</v>
      </c>
      <c r="E465" s="2" t="str">
        <v>BAN_HANG</v>
      </c>
      <c r="F465" s="2" t="str">
        <v>INP6408</v>
      </c>
      <c r="G465" s="2" t="str">
        <v>2026-06-27</v>
      </c>
      <c r="H465" s="2" t="str">
        <v>10000000.8</v>
      </c>
      <c r="I465" s="28" t="n">
        <v>10000000.8</v>
      </c>
      <c r="J465" s="7" t="n">
        <v>10000001</v>
      </c>
      <c r="K465" s="28" t="n">
        <f>J465-I465</f>
        <v>0.19999999925494194</v>
      </c>
      <c r="L465" s="2" t="str">
        <v>NHẬP</v>
      </c>
      <c r="M465" s="2" t="str"/>
      <c r="N465" s="2" t="str">
        <v>QUAT</v>
      </c>
    </row>
    <row r="466" ht="25" customHeight="1">
      <c r="A466" s="2" t="str">
        <v>Q484</v>
      </c>
      <c r="B466" s="2" t="str">
        <v>KH068</v>
      </c>
      <c r="C466" s="2" t="str">
        <v>KH00005</v>
      </c>
      <c r="D466" s="2" t="str">
        <v>S2-00482-BH</v>
      </c>
      <c r="E466" s="2" t="str">
        <v>BAN_HANG</v>
      </c>
      <c r="F466" s="2" t="str">
        <v>INP6410</v>
      </c>
      <c r="G466" s="2" t="str">
        <v>2026-06-27</v>
      </c>
      <c r="H466" s="2" t="str">
        <v>14999999.904</v>
      </c>
      <c r="I466" s="28" t="n">
        <v>14999999.904</v>
      </c>
      <c r="J466" s="7" t="n">
        <v>15000000</v>
      </c>
      <c r="K466" s="28" t="n">
        <f>J466-I466</f>
        <v>0.09600000083446503</v>
      </c>
      <c r="L466" s="2" t="str">
        <v>NHẬP</v>
      </c>
      <c r="M466" s="2" t="str"/>
      <c r="N466" s="2" t="str">
        <v>QUAT</v>
      </c>
    </row>
    <row r="467" ht="25" customHeight="1">
      <c r="A467" s="2" t="str">
        <v>Q485</v>
      </c>
      <c r="B467" s="2" t="str">
        <v>KH068</v>
      </c>
      <c r="C467" s="2" t="str">
        <v>KH00005</v>
      </c>
      <c r="D467" s="2" t="str">
        <v>S2-00482-BH</v>
      </c>
      <c r="E467" s="2" t="str">
        <v>BAN_HANG</v>
      </c>
      <c r="F467" s="2" t="str">
        <v>INP6411</v>
      </c>
      <c r="G467" s="2" t="str">
        <v>2026-06-27</v>
      </c>
      <c r="H467" s="2" t="str">
        <v>18399999.744</v>
      </c>
      <c r="I467" s="28" t="n">
        <v>18399999.744</v>
      </c>
      <c r="J467" s="7" t="n">
        <v>18399999</v>
      </c>
      <c r="K467" s="28" t="n">
        <f>J467-I467</f>
        <v>-0.7439999990165234</v>
      </c>
      <c r="L467" s="2" t="str">
        <v>NHẬP</v>
      </c>
      <c r="M467" s="2" t="str"/>
      <c r="N467" s="2" t="str">
        <v>QUAT</v>
      </c>
    </row>
    <row r="468" ht="25" customHeight="1">
      <c r="A468" s="2" t="str">
        <v>Q486</v>
      </c>
      <c r="B468" s="2" t="str">
        <v>KH068</v>
      </c>
      <c r="C468" s="2" t="str">
        <v>KH00005</v>
      </c>
      <c r="D468" s="2" t="str">
        <v>S2-00482-BH</v>
      </c>
      <c r="E468" s="2" t="str">
        <v>BAN_HANG</v>
      </c>
      <c r="F468" s="2" t="str">
        <v>INP6409</v>
      </c>
      <c r="G468" s="2" t="str">
        <v>2026-06-27</v>
      </c>
      <c r="H468" s="2" t="str">
        <v>13199999.76</v>
      </c>
      <c r="I468" s="28" t="n">
        <v>13199999.76</v>
      </c>
      <c r="J468" s="7" t="n">
        <v>13200000</v>
      </c>
      <c r="K468" s="28" t="n">
        <f>J468-I468</f>
        <v>0.24000000022351742</v>
      </c>
      <c r="L468" s="2" t="str">
        <v>NHẬP</v>
      </c>
      <c r="M468" s="2" t="str"/>
      <c r="N468" s="2" t="str">
        <v>QUAT</v>
      </c>
    </row>
    <row r="469" ht="25" customHeight="1">
      <c r="A469" s="2" t="str">
        <v>Q487</v>
      </c>
      <c r="B469" s="2" t="str">
        <v>KH068</v>
      </c>
      <c r="C469" s="2" t="str">
        <v>KH00005</v>
      </c>
      <c r="D469" s="2" t="str">
        <v>S2-00482-BH</v>
      </c>
      <c r="E469" s="2" t="str">
        <v>BAN_HANG</v>
      </c>
      <c r="F469" s="2" t="str">
        <v>INP7901</v>
      </c>
      <c r="G469" s="2" t="str">
        <v>2026-06-27</v>
      </c>
      <c r="H469" s="2" t="str">
        <v>5999999.616</v>
      </c>
      <c r="I469" s="28" t="n">
        <v>5999999.616</v>
      </c>
      <c r="J469" s="7" t="n">
        <v>6000000</v>
      </c>
      <c r="K469" s="28" t="n">
        <f>J469-I469</f>
        <v>0.3839999996125698</v>
      </c>
      <c r="L469" s="2" t="str">
        <v>NHẬP</v>
      </c>
      <c r="M469" s="2" t="str"/>
      <c r="N469" s="2" t="str">
        <v>VOT_MUOI</v>
      </c>
    </row>
    <row r="470" ht="25" customHeight="1">
      <c r="A470" s="2" t="str">
        <v>Q488</v>
      </c>
      <c r="B470" s="2" t="str">
        <v>KH068</v>
      </c>
      <c r="C470" s="2" t="str">
        <v>KH00005</v>
      </c>
      <c r="D470" s="2" t="str">
        <v>S2-00482-BH</v>
      </c>
      <c r="E470" s="2" t="str">
        <v>BAN_HANG</v>
      </c>
      <c r="F470" s="2" t="str">
        <v>INP7902</v>
      </c>
      <c r="G470" s="2" t="str">
        <v>2026-06-27</v>
      </c>
      <c r="H470" s="2" t="str">
        <v>8399999.808</v>
      </c>
      <c r="I470" s="28" t="n">
        <v>8399999.808</v>
      </c>
      <c r="J470" s="7" t="n">
        <v>8400000</v>
      </c>
      <c r="K470" s="28" t="n">
        <f>J470-I470</f>
        <v>0.1919999998062849</v>
      </c>
      <c r="L470" s="2" t="str">
        <v>NHẬP</v>
      </c>
      <c r="M470" s="2" t="str"/>
      <c r="N470" s="2" t="str">
        <v>VOT_MUOI</v>
      </c>
    </row>
    <row r="471" ht="25" customHeight="1">
      <c r="A471" s="2" t="str">
        <v>R489</v>
      </c>
      <c r="B471" s="2" t="str">
        <v>KH068</v>
      </c>
      <c r="C471" s="2" t="str">
        <v>KH00005</v>
      </c>
      <c r="D471" s="2" t="str">
        <v>S2-00489-TT</v>
      </c>
      <c r="E471" s="2" t="str">
        <v>THU_TIEN</v>
      </c>
      <c r="F471" s="2" t="str"/>
      <c r="G471" s="2" t="str">
        <v>2026-07-18</v>
      </c>
      <c r="H471" s="2" t="str">
        <v>50000000</v>
      </c>
      <c r="I471" s="28" t="n">
        <v>50000000</v>
      </c>
      <c r="J471" s="7" t="n">
        <v>50000000</v>
      </c>
      <c r="K471" s="28" t="n">
        <f>J471-I471</f>
        <v>0</v>
      </c>
      <c r="L471" s="2" t="str">
        <v>NHẬP</v>
      </c>
      <c r="M471" s="2" t="str"/>
      <c r="N471" s="2" t="str">
        <v>KHAC</v>
      </c>
    </row>
    <row r="472" ht="25" customHeight="1">
      <c r="A472" s="2" t="str">
        <v>Q490</v>
      </c>
      <c r="B472" s="2" t="str">
        <v>KH068</v>
      </c>
      <c r="C472" s="2" t="str">
        <v>KH00005</v>
      </c>
      <c r="D472" s="2" t="str">
        <v>S2-00490-BH</v>
      </c>
      <c r="E472" s="2" t="str">
        <v>BAN_HANG</v>
      </c>
      <c r="F472" s="2" t="str">
        <v>INP6901</v>
      </c>
      <c r="G472" s="2" t="str">
        <v>2026-07-20</v>
      </c>
      <c r="H472" s="2" t="str">
        <v>37199999.952</v>
      </c>
      <c r="I472" s="28" t="n">
        <v>37199999.952</v>
      </c>
      <c r="J472" s="7" t="n">
        <v>37200000</v>
      </c>
      <c r="K472" s="28" t="n">
        <f>J472-I472</f>
        <v>0.04800000041723251</v>
      </c>
      <c r="L472" s="2" t="str">
        <v>NHẬP</v>
      </c>
      <c r="M472" s="2" t="str"/>
      <c r="N472" s="2" t="str">
        <v>KHAC</v>
      </c>
    </row>
    <row r="473" ht="25" customHeight="1">
      <c r="A473" s="2" t="str">
        <v>Q491</v>
      </c>
      <c r="B473" s="2" t="str">
        <v>KH068</v>
      </c>
      <c r="C473" s="2" t="str">
        <v>KH00005</v>
      </c>
      <c r="D473" s="2" t="str">
        <v>S2-00490-BH</v>
      </c>
      <c r="E473" s="2" t="str">
        <v>BAN_HANG</v>
      </c>
      <c r="F473" s="2" t="str">
        <v>INP6105</v>
      </c>
      <c r="G473" s="2" t="str">
        <v>2026-07-20</v>
      </c>
      <c r="H473" s="2" t="str">
        <v>13140000.0792</v>
      </c>
      <c r="I473" s="28" t="n">
        <v>13140000.0792</v>
      </c>
      <c r="J473" s="7" t="n">
        <v>13140000</v>
      </c>
      <c r="K473" s="28" t="n">
        <f>J473-I473</f>
        <v>-0.07919999957084656</v>
      </c>
      <c r="L473" s="2" t="str">
        <v>NHẬP</v>
      </c>
      <c r="M473" s="2" t="str"/>
      <c r="N473" s="2" t="str">
        <v>KHAC</v>
      </c>
    </row>
    <row r="474" ht="25" customHeight="1">
      <c r="A474" s="2" t="str">
        <v>R493</v>
      </c>
      <c r="B474" s="2" t="str">
        <v>KH068</v>
      </c>
      <c r="C474" s="2" t="str">
        <v>KH00005</v>
      </c>
      <c r="D474" s="2" t="str">
        <v>S2-00493-TT</v>
      </c>
      <c r="E474" s="2" t="str">
        <v>THU_TIEN</v>
      </c>
      <c r="F474" s="2" t="str"/>
      <c r="G474" s="2" t="str">
        <v>2026-07-31</v>
      </c>
      <c r="H474" s="2" t="str">
        <v>50000000</v>
      </c>
      <c r="I474" s="28" t="n">
        <v>50000000</v>
      </c>
      <c r="J474" s="7" t="n">
        <v>50000000</v>
      </c>
      <c r="K474" s="28" t="n">
        <f>J474-I474</f>
        <v>0</v>
      </c>
      <c r="L474" s="2" t="str">
        <v>NHẬP</v>
      </c>
      <c r="M474" s="2" t="str"/>
      <c r="N474" s="2" t="str">
        <v>KHAC</v>
      </c>
    </row>
    <row r="475" ht="25" customHeight="1">
      <c r="A475" s="2" t="str">
        <v>Q494</v>
      </c>
      <c r="B475" s="2" t="str">
        <v>KH024</v>
      </c>
      <c r="C475" s="2" t="str">
        <v>KH024</v>
      </c>
      <c r="D475" s="2" t="str">
        <v>S2-00494-BH</v>
      </c>
      <c r="E475" s="2" t="str">
        <v>BAN_HANG</v>
      </c>
      <c r="F475" s="2" t="str">
        <v>INP1001</v>
      </c>
      <c r="G475" s="2" t="str">
        <v>2026-02-02</v>
      </c>
      <c r="H475" s="2" t="str">
        <v>3114000.0288</v>
      </c>
      <c r="I475" s="28" t="n">
        <v>3114000.0288</v>
      </c>
      <c r="J475" s="7" t="n">
        <v>3114000</v>
      </c>
      <c r="K475" s="28" t="n">
        <f>J475-I475</f>
        <v>-0.028799999970942736</v>
      </c>
      <c r="L475" s="2" t="str">
        <v>NHẬP</v>
      </c>
      <c r="M475" s="2" t="str"/>
      <c r="N475" s="2" t="str">
        <v>KHAC</v>
      </c>
    </row>
    <row r="476" ht="25" customHeight="1">
      <c r="A476" s="2" t="str">
        <v>Q495</v>
      </c>
      <c r="B476" s="2" t="str">
        <v>KH024</v>
      </c>
      <c r="C476" s="2" t="str">
        <v>KH024</v>
      </c>
      <c r="D476" s="2" t="str">
        <v>S2-00494-BH</v>
      </c>
      <c r="E476" s="2" t="str">
        <v>BAN_HANG</v>
      </c>
      <c r="F476" s="2" t="str">
        <v>INP1301</v>
      </c>
      <c r="G476" s="2" t="str">
        <v>2026-02-02</v>
      </c>
      <c r="H476" s="2" t="str">
        <v>849999.96</v>
      </c>
      <c r="I476" s="28" t="n">
        <v>849999.96</v>
      </c>
      <c r="J476" s="7" t="n">
        <v>850000</v>
      </c>
      <c r="K476" s="28" t="n">
        <f>J476-I476</f>
        <v>0.0400000000372529</v>
      </c>
      <c r="L476" s="2" t="str">
        <v>NHẬP</v>
      </c>
      <c r="M476" s="2" t="str"/>
      <c r="N476" s="2" t="str">
        <v>KHAC</v>
      </c>
    </row>
    <row r="477" ht="25" customHeight="1">
      <c r="A477" s="2" t="str">
        <v>Q496</v>
      </c>
      <c r="B477" s="2" t="str">
        <v>KH024</v>
      </c>
      <c r="C477" s="2" t="str">
        <v>KH024</v>
      </c>
      <c r="D477" s="2" t="str">
        <v>S2-00494-BH</v>
      </c>
      <c r="E477" s="2" t="str">
        <v>BAN_HANG</v>
      </c>
      <c r="F477" s="2" t="str">
        <v>INP1401</v>
      </c>
      <c r="G477" s="2" t="str">
        <v>2026-02-02</v>
      </c>
      <c r="H477" s="2" t="str">
        <v>1779999.9912</v>
      </c>
      <c r="I477" s="28" t="n">
        <v>1779999.9912</v>
      </c>
      <c r="J477" s="7" t="n">
        <v>1780000</v>
      </c>
      <c r="K477" s="28" t="n">
        <f>J477-I477</f>
        <v>0.008799999952316284</v>
      </c>
      <c r="L477" s="2" t="str">
        <v>NHẬP</v>
      </c>
      <c r="M477" s="2" t="str"/>
      <c r="N477" s="2" t="str">
        <v>KHAC</v>
      </c>
    </row>
    <row r="478" ht="25" customHeight="1">
      <c r="A478" s="2" t="str">
        <v>Q497</v>
      </c>
      <c r="B478" s="2" t="str">
        <v>KH024</v>
      </c>
      <c r="C478" s="2" t="str">
        <v>KH024</v>
      </c>
      <c r="D478" s="2" t="str">
        <v>S2-00494-BH</v>
      </c>
      <c r="E478" s="2" t="str">
        <v>BAN_HANG</v>
      </c>
      <c r="F478" s="2" t="str">
        <v>INP1402</v>
      </c>
      <c r="G478" s="2" t="str">
        <v>2026-02-02</v>
      </c>
      <c r="H478" s="2" t="str">
        <v>2025999.9936</v>
      </c>
      <c r="I478" s="28" t="n">
        <v>2025999.9936</v>
      </c>
      <c r="J478" s="7" t="n">
        <v>2026000</v>
      </c>
      <c r="K478" s="28" t="n">
        <f>J478-I478</f>
        <v>0.006400000071153045</v>
      </c>
      <c r="L478" s="2" t="str">
        <v>NHẬP</v>
      </c>
      <c r="M478" s="2" t="str"/>
      <c r="N478" s="2" t="str">
        <v>KHAC</v>
      </c>
    </row>
    <row r="479" ht="25" customHeight="1">
      <c r="A479" s="2" t="str">
        <v>Q498</v>
      </c>
      <c r="B479" s="2" t="str">
        <v>KH024</v>
      </c>
      <c r="C479" s="2" t="str">
        <v>KH024</v>
      </c>
      <c r="D479" s="2" t="str">
        <v>S2-00494-BH</v>
      </c>
      <c r="E479" s="2" t="str">
        <v>BAN_HANG</v>
      </c>
      <c r="F479" s="2" t="str">
        <v>INP1501</v>
      </c>
      <c r="G479" s="2" t="str">
        <v>2026-02-02</v>
      </c>
      <c r="H479" s="2" t="str">
        <v>479999.9952</v>
      </c>
      <c r="I479" s="28" t="n">
        <v>479999.9952</v>
      </c>
      <c r="J479" s="7" t="n">
        <v>480000</v>
      </c>
      <c r="K479" s="28" t="n">
        <f>J479-I479</f>
        <v>0.004799999995157123</v>
      </c>
      <c r="L479" s="2" t="str">
        <v>NHẬP</v>
      </c>
      <c r="M479" s="2" t="str"/>
      <c r="N479" s="2" t="str">
        <v>KHAC</v>
      </c>
    </row>
    <row r="480" ht="25" customHeight="1">
      <c r="A480" s="2" t="str">
        <v>Q499</v>
      </c>
      <c r="B480" s="2" t="str">
        <v>KH024</v>
      </c>
      <c r="C480" s="2" t="str">
        <v>KH024</v>
      </c>
      <c r="D480" s="2" t="str">
        <v>S2-00494-BH</v>
      </c>
      <c r="E480" s="2" t="str">
        <v>BAN_HANG</v>
      </c>
      <c r="F480" s="2" t="str">
        <v>INP1502</v>
      </c>
      <c r="G480" s="2" t="str">
        <v>2026-02-02</v>
      </c>
      <c r="H480" s="2" t="str">
        <v>519999.9984</v>
      </c>
      <c r="I480" s="28" t="n">
        <v>519999.9984</v>
      </c>
      <c r="J480" s="7" t="n">
        <v>520000</v>
      </c>
      <c r="K480" s="28" t="n">
        <f>J480-I480</f>
        <v>0.0016000000177882612</v>
      </c>
      <c r="L480" s="2" t="str">
        <v>NHẬP</v>
      </c>
      <c r="M480" s="2" t="str"/>
      <c r="N480" s="2" t="str">
        <v>KHAC</v>
      </c>
    </row>
    <row r="481" ht="25" customHeight="1">
      <c r="A481" s="2" t="str">
        <v>Q500</v>
      </c>
      <c r="B481" s="2" t="str">
        <v>KH024</v>
      </c>
      <c r="C481" s="2" t="str">
        <v>KH024</v>
      </c>
      <c r="D481" s="2" t="str">
        <v>S2-00494-BH</v>
      </c>
      <c r="E481" s="2" t="str">
        <v>BAN_HANG</v>
      </c>
      <c r="F481" s="2" t="str">
        <v>INP1503</v>
      </c>
      <c r="G481" s="2" t="str">
        <v>2026-02-02</v>
      </c>
      <c r="H481" s="2" t="str">
        <v>560000.0016</v>
      </c>
      <c r="I481" s="28" t="n">
        <v>560000.0016</v>
      </c>
      <c r="J481" s="7" t="n">
        <v>560000</v>
      </c>
      <c r="K481" s="28" t="n">
        <f>J481-I481</f>
        <v>-0.0015999999595806003</v>
      </c>
      <c r="L481" s="2" t="str">
        <v>NHẬP</v>
      </c>
      <c r="M481" s="2" t="str"/>
      <c r="N481" s="2" t="str">
        <v>KHAC</v>
      </c>
    </row>
    <row r="482" ht="25" customHeight="1">
      <c r="A482" s="2" t="str">
        <v>Q501</v>
      </c>
      <c r="B482" s="2" t="str">
        <v>KH024</v>
      </c>
      <c r="C482" s="2" t="str">
        <v>KH024</v>
      </c>
      <c r="D482" s="2" t="str">
        <v>S2-00494-BH</v>
      </c>
      <c r="E482" s="2" t="str">
        <v>BAN_HANG</v>
      </c>
      <c r="F482" s="2" t="str">
        <v>INP2103</v>
      </c>
      <c r="G482" s="2" t="str">
        <v>2026-02-02</v>
      </c>
      <c r="H482" s="2" t="str">
        <v>3039999.984</v>
      </c>
      <c r="I482" s="28" t="n">
        <v>3039999.984</v>
      </c>
      <c r="J482" s="7" t="n">
        <v>3040000</v>
      </c>
      <c r="K482" s="28" t="n">
        <f>J482-I482</f>
        <v>0.015999999828636646</v>
      </c>
      <c r="L482" s="2" t="str">
        <v>NHẬP</v>
      </c>
      <c r="M482" s="2" t="str"/>
      <c r="N482" s="2" t="str">
        <v>KHAC</v>
      </c>
    </row>
    <row r="483" ht="25" customHeight="1">
      <c r="A483" s="2" t="str">
        <v>Q502</v>
      </c>
      <c r="B483" s="2" t="str">
        <v>KH024</v>
      </c>
      <c r="C483" s="2" t="str">
        <v>KH024</v>
      </c>
      <c r="D483" s="2" t="str">
        <v>S2-00494-BH</v>
      </c>
      <c r="E483" s="2" t="str">
        <v>BAN_HANG</v>
      </c>
      <c r="F483" s="2" t="str">
        <v>INP2110</v>
      </c>
      <c r="G483" s="2" t="str">
        <v>2026-02-02</v>
      </c>
      <c r="H483" s="2" t="str">
        <v>2800000.008</v>
      </c>
      <c r="I483" s="28" t="n">
        <v>2800000.008</v>
      </c>
      <c r="J483" s="7" t="n">
        <v>2800000</v>
      </c>
      <c r="K483" s="28" t="n">
        <f>J483-I483</f>
        <v>-0.007999999914318323</v>
      </c>
      <c r="L483" s="2" t="str">
        <v>NHẬP</v>
      </c>
      <c r="M483" s="2" t="str"/>
      <c r="N483" s="2" t="str">
        <v>KHAC</v>
      </c>
    </row>
    <row r="484" ht="25" customHeight="1">
      <c r="A484" s="2" t="str">
        <v>Q503</v>
      </c>
      <c r="B484" s="2" t="str">
        <v>KH024</v>
      </c>
      <c r="C484" s="2" t="str">
        <v>KH024</v>
      </c>
      <c r="D484" s="2" t="str">
        <v>S2-00494-BH</v>
      </c>
      <c r="E484" s="2" t="str">
        <v>BAN_HANG</v>
      </c>
      <c r="F484" s="2" t="str">
        <v>INP2111</v>
      </c>
      <c r="G484" s="2" t="str">
        <v>2026-02-02</v>
      </c>
      <c r="H484" s="2" t="str">
        <v>3000000.024</v>
      </c>
      <c r="I484" s="28" t="n">
        <v>3000000.024</v>
      </c>
      <c r="J484" s="7" t="n">
        <v>3000000</v>
      </c>
      <c r="K484" s="28" t="n">
        <f>J484-I484</f>
        <v>-0.024000000208616257</v>
      </c>
      <c r="L484" s="2" t="str">
        <v>NHẬP</v>
      </c>
      <c r="M484" s="2" t="str"/>
      <c r="N484" s="2" t="str">
        <v>KHAC</v>
      </c>
    </row>
    <row r="485" ht="25" customHeight="1">
      <c r="A485" s="2" t="str">
        <v>Q504</v>
      </c>
      <c r="B485" s="2" t="str">
        <v>KH024</v>
      </c>
      <c r="C485" s="2" t="str">
        <v>KH024</v>
      </c>
      <c r="D485" s="2" t="str">
        <v>S2-00494-BH</v>
      </c>
      <c r="E485" s="2" t="str">
        <v>BAN_HANG</v>
      </c>
      <c r="F485" s="2" t="str">
        <v>INP2202</v>
      </c>
      <c r="G485" s="2" t="str">
        <v>2026-02-02</v>
      </c>
      <c r="H485" s="2" t="str">
        <v>3647999.9808</v>
      </c>
      <c r="I485" s="28" t="n">
        <v>3647999.9808</v>
      </c>
      <c r="J485" s="7" t="n">
        <v>3648000</v>
      </c>
      <c r="K485" s="28" t="n">
        <f>J485-I485</f>
        <v>0.01919999998062849</v>
      </c>
      <c r="L485" s="2" t="str">
        <v>NHẬP</v>
      </c>
      <c r="M485" s="2" t="str"/>
      <c r="N485" s="2" t="str">
        <v>KHAC</v>
      </c>
    </row>
    <row r="486" ht="25" customHeight="1">
      <c r="A486" s="2" t="str">
        <v>Q505</v>
      </c>
      <c r="B486" s="2" t="str">
        <v>KH024</v>
      </c>
      <c r="C486" s="2" t="str">
        <v>KH024</v>
      </c>
      <c r="D486" s="2" t="str">
        <v>S2-00505-BH</v>
      </c>
      <c r="E486" s="2" t="str">
        <v>BAN_HANG</v>
      </c>
      <c r="F486" s="2" t="str">
        <v>INP6001</v>
      </c>
      <c r="G486" s="2" t="str">
        <v>2026-02-02</v>
      </c>
      <c r="H486" s="2" t="str">
        <v>4920000.0048</v>
      </c>
      <c r="I486" s="28" t="n">
        <v>4920000.0048</v>
      </c>
      <c r="J486" s="7" t="n">
        <v>4920000</v>
      </c>
      <c r="K486" s="28" t="n">
        <f>J486-I486</f>
        <v>-0.004800000227987766</v>
      </c>
      <c r="L486" s="2" t="str">
        <v>NHẬP</v>
      </c>
      <c r="M486" s="2" t="str"/>
      <c r="N486" s="2" t="str">
        <v>KHAC</v>
      </c>
    </row>
    <row r="487" ht="25" customHeight="1">
      <c r="A487" s="2" t="str">
        <v>Q506</v>
      </c>
      <c r="B487" s="2" t="str">
        <v>KH024</v>
      </c>
      <c r="C487" s="2" t="str">
        <v>KH024</v>
      </c>
      <c r="D487" s="2" t="str">
        <v>S2-00506-BH</v>
      </c>
      <c r="E487" s="2" t="str">
        <v>BAN_HANG</v>
      </c>
      <c r="F487" s="2" t="str">
        <v>INP6002</v>
      </c>
      <c r="G487" s="2" t="str">
        <v>2026-02-02</v>
      </c>
      <c r="H487" s="2" t="str">
        <v>4739999.9904</v>
      </c>
      <c r="I487" s="28" t="n">
        <v>4739999.9904</v>
      </c>
      <c r="J487" s="7" t="n">
        <v>4740000</v>
      </c>
      <c r="K487" s="28" t="n">
        <f>J487-I487</f>
        <v>0.009600000455975533</v>
      </c>
      <c r="L487" s="2" t="str">
        <v>NHẬP</v>
      </c>
      <c r="M487" s="2" t="str"/>
      <c r="N487" s="2" t="str">
        <v>KHAC</v>
      </c>
    </row>
    <row r="488" ht="25" customHeight="1">
      <c r="A488" s="2" t="str">
        <v>Q507</v>
      </c>
      <c r="B488" s="2" t="str">
        <v>KH024</v>
      </c>
      <c r="C488" s="2" t="str">
        <v>KH024</v>
      </c>
      <c r="D488" s="2" t="str">
        <v>S2-00507-BH</v>
      </c>
      <c r="E488" s="2" t="str">
        <v>BAN_HANG</v>
      </c>
      <c r="F488" s="2" t="str">
        <v>INP6003</v>
      </c>
      <c r="G488" s="2" t="str">
        <v>2026-02-02</v>
      </c>
      <c r="H488" s="2" t="str">
        <v>3679999.992</v>
      </c>
      <c r="I488" s="28" t="n">
        <v>3679999.992</v>
      </c>
      <c r="J488" s="7" t="n">
        <v>3680000</v>
      </c>
      <c r="K488" s="28" t="n">
        <f>J488-I488</f>
        <v>0.007999999914318323</v>
      </c>
      <c r="L488" s="2" t="str">
        <v>NHẬP</v>
      </c>
      <c r="M488" s="2" t="str"/>
      <c r="N488" s="2" t="str">
        <v>KHAC</v>
      </c>
    </row>
    <row r="489" ht="25" customHeight="1">
      <c r="A489" s="2" t="str">
        <v>Q508</v>
      </c>
      <c r="B489" s="2" t="str">
        <v>KH024</v>
      </c>
      <c r="C489" s="2" t="str">
        <v>KH024</v>
      </c>
      <c r="D489" s="2" t="str">
        <v>S2-00508-BH</v>
      </c>
      <c r="E489" s="2" t="str">
        <v>BAN_HANG</v>
      </c>
      <c r="F489" s="2" t="str">
        <v>INP6204</v>
      </c>
      <c r="G489" s="2" t="str">
        <v>2026-02-02</v>
      </c>
      <c r="H489" s="2" t="str">
        <v>3684000.0096</v>
      </c>
      <c r="I489" s="28" t="n">
        <v>3684000.0096</v>
      </c>
      <c r="J489" s="7" t="n">
        <v>3684000</v>
      </c>
      <c r="K489" s="28" t="n">
        <f>J489-I489</f>
        <v>-0.009599999990314245</v>
      </c>
      <c r="L489" s="2" t="str">
        <v>NHẬP</v>
      </c>
      <c r="M489" s="2" t="str"/>
      <c r="N489" s="2" t="str">
        <v>KHAC</v>
      </c>
    </row>
    <row r="490" ht="25" customHeight="1">
      <c r="A490" s="2" t="str">
        <v>Q509</v>
      </c>
      <c r="B490" s="2" t="str">
        <v>KH024</v>
      </c>
      <c r="C490" s="2" t="str">
        <v>KH024</v>
      </c>
      <c r="D490" s="2" t="str">
        <v>S2-00508-BH</v>
      </c>
      <c r="E490" s="2" t="str">
        <v>BAN_HANG</v>
      </c>
      <c r="F490" s="2" t="str">
        <v>INP6202</v>
      </c>
      <c r="G490" s="2" t="str">
        <v>2026-02-02</v>
      </c>
      <c r="H490" s="2" t="str">
        <v>4224000.0528</v>
      </c>
      <c r="I490" s="28" t="n">
        <v>4224000.0528</v>
      </c>
      <c r="J490" s="7" t="n">
        <v>4224000</v>
      </c>
      <c r="K490" s="28" t="n">
        <f>J490-I490</f>
        <v>-0.052799999713897705</v>
      </c>
      <c r="L490" s="2" t="str">
        <v>NHẬP</v>
      </c>
      <c r="M490" s="2" t="str"/>
      <c r="N490" s="2" t="str">
        <v>KHAC</v>
      </c>
    </row>
    <row r="491" ht="25" customHeight="1">
      <c r="A491" s="2" t="str">
        <v>Q510</v>
      </c>
      <c r="B491" s="2" t="str">
        <v>KH024</v>
      </c>
      <c r="C491" s="2" t="str">
        <v>KH024</v>
      </c>
      <c r="D491" s="2" t="str">
        <v>S2-00510-BH</v>
      </c>
      <c r="E491" s="2" t="str">
        <v>BAN_HANG</v>
      </c>
      <c r="F491" s="2" t="str">
        <v>INP6101</v>
      </c>
      <c r="G491" s="2" t="str">
        <v>2026-02-02</v>
      </c>
      <c r="H491" s="2" t="str">
        <v>3899999.988</v>
      </c>
      <c r="I491" s="28" t="n">
        <v>3899999.988</v>
      </c>
      <c r="J491" s="7" t="n">
        <v>3900000</v>
      </c>
      <c r="K491" s="28" t="n">
        <f>J491-I491</f>
        <v>0.012000000104308128</v>
      </c>
      <c r="L491" s="2" t="str">
        <v>NHẬP</v>
      </c>
      <c r="M491" s="2" t="str"/>
      <c r="N491" s="2" t="str">
        <v>KHAC</v>
      </c>
    </row>
    <row r="492" ht="25" customHeight="1">
      <c r="A492" s="2" t="str">
        <v>R512</v>
      </c>
      <c r="B492" s="2" t="str">
        <v>KH024</v>
      </c>
      <c r="C492" s="2" t="str">
        <v>KH024</v>
      </c>
      <c r="D492" s="2" t="str">
        <v>S2-00512-TT</v>
      </c>
      <c r="E492" s="2" t="str">
        <v>THU_TIEN</v>
      </c>
      <c r="F492" s="2" t="str"/>
      <c r="G492" s="2" t="str">
        <v>2026-02-06</v>
      </c>
      <c r="H492" s="2" t="str">
        <v>25178000</v>
      </c>
      <c r="I492" s="28" t="n">
        <v>25178000</v>
      </c>
      <c r="J492" s="7" t="n">
        <v>25178000</v>
      </c>
      <c r="K492" s="28" t="n">
        <f>J492-I492</f>
        <v>0</v>
      </c>
      <c r="L492" s="2" t="str">
        <v>NHẬP</v>
      </c>
      <c r="M492" s="2" t="str"/>
      <c r="N492" s="2" t="str">
        <v>KHAC</v>
      </c>
    </row>
    <row r="493" ht="25" customHeight="1">
      <c r="A493" s="2" t="str">
        <v>Q513</v>
      </c>
      <c r="B493" s="2" t="str">
        <v>KH024</v>
      </c>
      <c r="C493" s="2" t="str">
        <v>KH024</v>
      </c>
      <c r="D493" s="2" t="str">
        <v>S2-00513-BH</v>
      </c>
      <c r="E493" s="2" t="str">
        <v>BAN_HANG</v>
      </c>
      <c r="F493" s="2" t="str">
        <v>INP1402</v>
      </c>
      <c r="G493" s="2" t="str">
        <v>2026-02-09</v>
      </c>
      <c r="H493" s="2" t="str">
        <v>6077999.9808</v>
      </c>
      <c r="I493" s="28" t="n">
        <v>6077999.9808</v>
      </c>
      <c r="J493" s="7" t="n">
        <v>6078000</v>
      </c>
      <c r="K493" s="28" t="n">
        <f>J493-I493</f>
        <v>0.01919999998062849</v>
      </c>
      <c r="L493" s="2" t="str">
        <v>NHẬP</v>
      </c>
      <c r="M493" s="2" t="str"/>
      <c r="N493" s="2" t="str">
        <v>KHAC</v>
      </c>
    </row>
    <row r="494" ht="25" customHeight="1">
      <c r="A494" s="2" t="str">
        <v>Q514</v>
      </c>
      <c r="B494" s="2" t="str">
        <v>KH024</v>
      </c>
      <c r="C494" s="2" t="str">
        <v>KH024</v>
      </c>
      <c r="D494" s="2" t="str">
        <v>S2-00513-BH</v>
      </c>
      <c r="E494" s="2" t="str">
        <v>BAN_HANG</v>
      </c>
      <c r="F494" s="2" t="str">
        <v>INP1501</v>
      </c>
      <c r="G494" s="2" t="str">
        <v>2026-02-09</v>
      </c>
      <c r="H494" s="2" t="str">
        <v>1439999.9856</v>
      </c>
      <c r="I494" s="28" t="n">
        <v>1439999.9856</v>
      </c>
      <c r="J494" s="7" t="n">
        <v>1440000</v>
      </c>
      <c r="K494" s="28" t="n">
        <f>J494-I494</f>
        <v>0.014399999985471368</v>
      </c>
      <c r="L494" s="2" t="str">
        <v>NHẬP</v>
      </c>
      <c r="M494" s="2" t="str"/>
      <c r="N494" s="2" t="str">
        <v>KHAC</v>
      </c>
    </row>
    <row r="495" ht="25" customHeight="1">
      <c r="A495" s="2" t="str">
        <v>Q515</v>
      </c>
      <c r="B495" s="2" t="str">
        <v>KH024</v>
      </c>
      <c r="C495" s="2" t="str">
        <v>KH024</v>
      </c>
      <c r="D495" s="2" t="str">
        <v>S2-00513-BH</v>
      </c>
      <c r="E495" s="2" t="str">
        <v>BAN_HANG</v>
      </c>
      <c r="F495" s="2" t="str">
        <v>INP1502</v>
      </c>
      <c r="G495" s="2" t="str">
        <v>2026-02-09</v>
      </c>
      <c r="H495" s="2" t="str">
        <v>1559999.9952</v>
      </c>
      <c r="I495" s="28" t="n">
        <v>1559999.9952</v>
      </c>
      <c r="J495" s="7" t="n">
        <v>1560000</v>
      </c>
      <c r="K495" s="28" t="n">
        <f>J495-I495</f>
        <v>0.004799999995157123</v>
      </c>
      <c r="L495" s="2" t="str">
        <v>NHẬP</v>
      </c>
      <c r="M495" s="2" t="str"/>
      <c r="N495" s="2" t="str">
        <v>KHAC</v>
      </c>
    </row>
    <row r="496" ht="25" customHeight="1">
      <c r="A496" s="2" t="str">
        <v>Q516</v>
      </c>
      <c r="B496" s="2" t="str">
        <v>KH024</v>
      </c>
      <c r="C496" s="2" t="str">
        <v>KH024</v>
      </c>
      <c r="D496" s="2" t="str">
        <v>S2-00513-BH</v>
      </c>
      <c r="E496" s="2" t="str">
        <v>BAN_HANG</v>
      </c>
      <c r="F496" s="2" t="str">
        <v>INP1503</v>
      </c>
      <c r="G496" s="2" t="str">
        <v>2026-02-09</v>
      </c>
      <c r="H496" s="2" t="str">
        <v>1680000.0048</v>
      </c>
      <c r="I496" s="28" t="n">
        <v>1680000.0048</v>
      </c>
      <c r="J496" s="7" t="n">
        <v>1680000</v>
      </c>
      <c r="K496" s="28" t="n">
        <f>J496-I496</f>
        <v>-0.004799999995157123</v>
      </c>
      <c r="L496" s="2" t="str">
        <v>NHẬP</v>
      </c>
      <c r="M496" s="2" t="str"/>
      <c r="N496" s="2" t="str">
        <v>KHAC</v>
      </c>
    </row>
    <row r="497" ht="25" customHeight="1">
      <c r="A497" s="2" t="str">
        <v>Q517</v>
      </c>
      <c r="B497" s="2" t="str">
        <v>KH024</v>
      </c>
      <c r="C497" s="2" t="str">
        <v>KH024</v>
      </c>
      <c r="D497" s="2" t="str">
        <v>S2-00517-BH</v>
      </c>
      <c r="E497" s="2" t="str">
        <v>BAN_HANG</v>
      </c>
      <c r="F497" s="2" t="str">
        <v>INP6101</v>
      </c>
      <c r="G497" s="2" t="str">
        <v>2026-02-09</v>
      </c>
      <c r="H497" s="2" t="str">
        <v>7799999.976</v>
      </c>
      <c r="I497" s="28" t="n">
        <v>7799999.976</v>
      </c>
      <c r="J497" s="7" t="n">
        <v>7800000</v>
      </c>
      <c r="K497" s="28" t="n">
        <f>J497-I497</f>
        <v>0.024000000208616257</v>
      </c>
      <c r="L497" s="2" t="str">
        <v>NHẬP</v>
      </c>
      <c r="M497" s="2" t="str"/>
      <c r="N497" s="2" t="str">
        <v>KHAC</v>
      </c>
    </row>
    <row r="498" ht="25" customHeight="1">
      <c r="A498" s="2" t="str">
        <v>Q518</v>
      </c>
      <c r="B498" s="2" t="str">
        <v>KH024</v>
      </c>
      <c r="C498" s="2" t="str">
        <v>KH024</v>
      </c>
      <c r="D498" s="2" t="str">
        <v>S2-00518-BH</v>
      </c>
      <c r="E498" s="2" t="str">
        <v>BAN_HANG</v>
      </c>
      <c r="F498" s="2" t="str">
        <v>INP1301</v>
      </c>
      <c r="G498" s="2" t="str">
        <v>2026-02-09</v>
      </c>
      <c r="H498" s="2" t="str">
        <v>1699999.92</v>
      </c>
      <c r="I498" s="28" t="n">
        <v>1699999.92</v>
      </c>
      <c r="J498" s="7" t="n">
        <v>1700000</v>
      </c>
      <c r="K498" s="28" t="n">
        <f>J498-I498</f>
        <v>0.0800000000745058</v>
      </c>
      <c r="L498" s="2" t="str">
        <v>NHẬP</v>
      </c>
      <c r="M498" s="2" t="str"/>
      <c r="N498" s="2" t="str">
        <v>KHAC</v>
      </c>
    </row>
    <row r="499" ht="25" customHeight="1">
      <c r="A499" s="2" t="str">
        <v>R520</v>
      </c>
      <c r="B499" s="2" t="str">
        <v>KH024</v>
      </c>
      <c r="C499" s="2" t="str">
        <v>KH024</v>
      </c>
      <c r="D499" s="2" t="str">
        <v>S2-00520-TT</v>
      </c>
      <c r="E499" s="2" t="str">
        <v>THU_TIEN</v>
      </c>
      <c r="F499" s="2" t="str"/>
      <c r="G499" s="2" t="str">
        <v>2026-02-10</v>
      </c>
      <c r="H499" s="2" t="str">
        <v>41176000</v>
      </c>
      <c r="I499" s="28" t="n">
        <v>41176000</v>
      </c>
      <c r="J499" s="7" t="n">
        <v>41176000</v>
      </c>
      <c r="K499" s="28" t="n">
        <f>J499-I499</f>
        <v>0</v>
      </c>
      <c r="L499" s="2" t="str">
        <v>NHẬP</v>
      </c>
      <c r="M499" s="2" t="str"/>
      <c r="N499" s="2" t="str">
        <v>KHAC</v>
      </c>
    </row>
    <row r="500" ht="25" customHeight="1">
      <c r="A500" s="2" t="str">
        <v>S521</v>
      </c>
      <c r="B500" s="2" t="str">
        <v>KH024</v>
      </c>
      <c r="C500" s="2" t="str">
        <v>KH024</v>
      </c>
      <c r="D500" s="2" t="str">
        <v>S2-00521-VC</v>
      </c>
      <c r="E500" s="2" t="str">
        <v>PHI_VAN_CHUYEN</v>
      </c>
      <c r="F500" s="2" t="str"/>
      <c r="G500" s="2" t="str">
        <v>2026-02-10</v>
      </c>
      <c r="H500" s="2" t="str">
        <v>600000</v>
      </c>
      <c r="I500" s="28" t="n">
        <v>600000</v>
      </c>
      <c r="J500" s="7" t="n">
        <v>600000</v>
      </c>
      <c r="K500" s="28" t="n">
        <f>J500-I500</f>
        <v>0</v>
      </c>
      <c r="L500" s="2" t="str">
        <v>NHẬP</v>
      </c>
      <c r="M500" s="2" t="str"/>
      <c r="N500" s="2" t="str">
        <v>KHAC</v>
      </c>
    </row>
    <row r="501" ht="25" customHeight="1">
      <c r="A501" s="2" t="str">
        <v>R522</v>
      </c>
      <c r="B501" s="2" t="str">
        <v>KH024</v>
      </c>
      <c r="C501" s="2" t="str">
        <v>KH024</v>
      </c>
      <c r="D501" s="2" t="str">
        <v>S2-00522-TT</v>
      </c>
      <c r="E501" s="2" t="str">
        <v>THU_TIEN</v>
      </c>
      <c r="F501" s="2" t="str"/>
      <c r="G501" s="2" t="str">
        <v>2026-02-10</v>
      </c>
      <c r="H501" s="2" t="str">
        <v>270000</v>
      </c>
      <c r="I501" s="28" t="n">
        <v>270000</v>
      </c>
      <c r="J501" s="7" t="n">
        <v>270000</v>
      </c>
      <c r="K501" s="28" t="n">
        <f>J501-I501</f>
        <v>0</v>
      </c>
      <c r="L501" s="2" t="str">
        <v>NHẬP</v>
      </c>
      <c r="M501" s="2" t="str"/>
      <c r="N501" s="2" t="str">
        <v>KHAC</v>
      </c>
    </row>
    <row r="502" ht="25" customHeight="1">
      <c r="A502" s="2" t="str">
        <v>Q523</v>
      </c>
      <c r="B502" s="2" t="str">
        <v>KH024</v>
      </c>
      <c r="C502" s="2" t="str">
        <v>KH024</v>
      </c>
      <c r="D502" s="2" t="str">
        <v>S2-00523-BH</v>
      </c>
      <c r="E502" s="2" t="str">
        <v>BAN_HANG</v>
      </c>
      <c r="F502" s="2" t="str">
        <v>INP1301</v>
      </c>
      <c r="G502" s="2" t="str">
        <v>2026-02-24</v>
      </c>
      <c r="H502" s="2" t="str">
        <v>1699999.92</v>
      </c>
      <c r="I502" s="28" t="n">
        <v>1699999.92</v>
      </c>
      <c r="J502" s="7" t="n">
        <v>1700000</v>
      </c>
      <c r="K502" s="28" t="n">
        <f>J502-I502</f>
        <v>0.0800000000745058</v>
      </c>
      <c r="L502" s="2" t="str">
        <v>NHẬP</v>
      </c>
      <c r="M502" s="2" t="str"/>
      <c r="N502" s="2" t="str">
        <v>KHAC</v>
      </c>
    </row>
    <row r="503" ht="25" customHeight="1">
      <c r="A503" s="2" t="str">
        <v>Q524</v>
      </c>
      <c r="B503" s="2" t="str">
        <v>KH024</v>
      </c>
      <c r="C503" s="2" t="str">
        <v>KH024</v>
      </c>
      <c r="D503" s="2" t="str">
        <v>S2-00524-BH</v>
      </c>
      <c r="E503" s="2" t="str">
        <v>BAN_HANG</v>
      </c>
      <c r="F503" s="2" t="str">
        <v>INP6001</v>
      </c>
      <c r="G503" s="2" t="str">
        <v>2026-02-24</v>
      </c>
      <c r="H503" s="2" t="str">
        <v>4920000.0048</v>
      </c>
      <c r="I503" s="28" t="n">
        <v>4920000.0048</v>
      </c>
      <c r="J503" s="7" t="n">
        <v>4920000</v>
      </c>
      <c r="K503" s="28" t="n">
        <f>J503-I503</f>
        <v>-0.004800000227987766</v>
      </c>
      <c r="L503" s="2" t="str">
        <v>NHẬP</v>
      </c>
      <c r="M503" s="2" t="str"/>
      <c r="N503" s="2" t="str">
        <v>KHAC</v>
      </c>
    </row>
    <row r="504" ht="25" customHeight="1">
      <c r="A504" s="2" t="str">
        <v>Q525</v>
      </c>
      <c r="B504" s="2" t="str">
        <v>KH024</v>
      </c>
      <c r="C504" s="2" t="str">
        <v>KH024</v>
      </c>
      <c r="D504" s="2" t="str">
        <v>S2-00524-BH</v>
      </c>
      <c r="E504" s="2" t="str">
        <v>BAN_HANG</v>
      </c>
      <c r="F504" s="2" t="str">
        <v>INP6003</v>
      </c>
      <c r="G504" s="2" t="str">
        <v>2026-02-24</v>
      </c>
      <c r="H504" s="2" t="str">
        <v>3679999.992</v>
      </c>
      <c r="I504" s="28" t="n">
        <v>3679999.992</v>
      </c>
      <c r="J504" s="7" t="n">
        <v>3680000</v>
      </c>
      <c r="K504" s="28" t="n">
        <f>J504-I504</f>
        <v>0.007999999914318323</v>
      </c>
      <c r="L504" s="2" t="str">
        <v>NHẬP</v>
      </c>
      <c r="M504" s="2" t="str"/>
      <c r="N504" s="2" t="str">
        <v>KHAC</v>
      </c>
    </row>
    <row r="505" ht="25" customHeight="1">
      <c r="A505" s="2" t="str">
        <v>Q526</v>
      </c>
      <c r="B505" s="2" t="str">
        <v>KH024</v>
      </c>
      <c r="C505" s="2" t="str">
        <v>KH024</v>
      </c>
      <c r="D505" s="2" t="str">
        <v>S2-00524-BH</v>
      </c>
      <c r="E505" s="2" t="str">
        <v>BAN_HANG</v>
      </c>
      <c r="F505" s="2" t="str">
        <v>INP2105</v>
      </c>
      <c r="G505" s="2" t="str">
        <v>2026-02-24</v>
      </c>
      <c r="H505" s="2" t="str">
        <v>2599999.992</v>
      </c>
      <c r="I505" s="28" t="n">
        <v>2599999.992</v>
      </c>
      <c r="J505" s="7" t="n">
        <v>2600000</v>
      </c>
      <c r="K505" s="28" t="n">
        <f>J505-I505</f>
        <v>0.007999999914318323</v>
      </c>
      <c r="L505" s="2" t="str">
        <v>NHẬP</v>
      </c>
      <c r="M505" s="2" t="str"/>
      <c r="N505" s="2" t="str">
        <v>KHAC</v>
      </c>
    </row>
    <row r="506" ht="25" customHeight="1">
      <c r="A506" s="2" t="str">
        <v>Q527</v>
      </c>
      <c r="B506" s="2" t="str">
        <v>KH024</v>
      </c>
      <c r="C506" s="2" t="str">
        <v>KH024</v>
      </c>
      <c r="D506" s="2" t="str">
        <v>S2-00527-BH</v>
      </c>
      <c r="E506" s="2" t="str">
        <v>BAN_HANG</v>
      </c>
      <c r="F506" s="2" t="str">
        <v>INP6202</v>
      </c>
      <c r="G506" s="2" t="str">
        <v>2026-02-24</v>
      </c>
      <c r="H506" s="2" t="str">
        <v>8448000.1056</v>
      </c>
      <c r="I506" s="28" t="n">
        <v>8448000.1056</v>
      </c>
      <c r="J506" s="7" t="n">
        <v>8448000</v>
      </c>
      <c r="K506" s="28" t="n">
        <f>J506-I506</f>
        <v>-0.10559999942779541</v>
      </c>
      <c r="L506" s="2" t="str">
        <v>NHẬP</v>
      </c>
      <c r="M506" s="2" t="str"/>
      <c r="N506" s="2" t="str">
        <v>KHAC</v>
      </c>
    </row>
    <row r="507" ht="25" customHeight="1">
      <c r="A507" s="2" t="str">
        <v>Q528</v>
      </c>
      <c r="B507" s="2" t="str">
        <v>KH024</v>
      </c>
      <c r="C507" s="2" t="str">
        <v>KH024</v>
      </c>
      <c r="D507" s="2" t="str">
        <v>S2-00528-BH</v>
      </c>
      <c r="E507" s="2" t="str">
        <v>BAN_HANG</v>
      </c>
      <c r="F507" s="2" t="str">
        <v>INP6202</v>
      </c>
      <c r="G507" s="2" t="str">
        <v>2026-02-24</v>
      </c>
      <c r="H507" s="2" t="str">
        <v>7040000.088</v>
      </c>
      <c r="I507" s="28" t="n">
        <v>7040000.088</v>
      </c>
      <c r="J507" s="7" t="n">
        <v>7040000</v>
      </c>
      <c r="K507" s="28" t="n">
        <f>J507-I507</f>
        <v>-0.08800000045448542</v>
      </c>
      <c r="L507" s="2" t="str">
        <v>NHẬP</v>
      </c>
      <c r="M507" s="2" t="str"/>
      <c r="N507" s="2" t="str">
        <v>KHAC</v>
      </c>
    </row>
    <row r="508" ht="25" customHeight="1">
      <c r="A508" s="2" t="str">
        <v>R529</v>
      </c>
      <c r="B508" s="2" t="str">
        <v>KH024</v>
      </c>
      <c r="C508" s="2" t="str">
        <v>KH024</v>
      </c>
      <c r="D508" s="2" t="str">
        <v>S2-00529-TT</v>
      </c>
      <c r="E508" s="2" t="str">
        <v>THU_TIEN</v>
      </c>
      <c r="F508" s="2" t="str"/>
      <c r="G508" s="2" t="str">
        <v>2026-02-27</v>
      </c>
      <c r="H508" s="2" t="str">
        <v>27556000</v>
      </c>
      <c r="I508" s="28" t="n">
        <v>27556000</v>
      </c>
      <c r="J508" s="7" t="n">
        <v>27556000</v>
      </c>
      <c r="K508" s="28" t="n">
        <f>J508-I508</f>
        <v>0</v>
      </c>
      <c r="L508" s="2" t="str">
        <v>NHẬP</v>
      </c>
      <c r="M508" s="2" t="str"/>
      <c r="N508" s="2" t="str">
        <v>KHAC</v>
      </c>
    </row>
    <row r="509" ht="25" customHeight="1">
      <c r="A509" s="2" t="str">
        <v>S530</v>
      </c>
      <c r="B509" s="2" t="str">
        <v>KH024</v>
      </c>
      <c r="C509" s="2" t="str">
        <v>KH024</v>
      </c>
      <c r="D509" s="2" t="str">
        <v>S2-00530-VC</v>
      </c>
      <c r="E509" s="2" t="str">
        <v>PHI_VAN_CHUYEN</v>
      </c>
      <c r="F509" s="2" t="str"/>
      <c r="G509" s="2" t="str">
        <v>2026-03-02</v>
      </c>
      <c r="H509" s="2" t="str">
        <v>832000</v>
      </c>
      <c r="I509" s="28" t="n">
        <v>832000</v>
      </c>
      <c r="J509" s="7" t="n">
        <v>832000</v>
      </c>
      <c r="K509" s="28" t="n">
        <f>J509-I509</f>
        <v>0</v>
      </c>
      <c r="L509" s="2" t="str">
        <v>NHẬP</v>
      </c>
      <c r="M509" s="2" t="str"/>
      <c r="N509" s="2" t="str">
        <v>KHAC</v>
      </c>
    </row>
    <row r="510" ht="25" customHeight="1">
      <c r="A510" s="2" t="str">
        <v>Q531</v>
      </c>
      <c r="B510" s="2" t="str">
        <v>KH024</v>
      </c>
      <c r="C510" s="2" t="str">
        <v>KH024</v>
      </c>
      <c r="D510" s="2" t="str">
        <v>S2-00531-BH</v>
      </c>
      <c r="E510" s="2" t="str">
        <v>BAN_HANG</v>
      </c>
      <c r="F510" s="2" t="str">
        <v>INP2001</v>
      </c>
      <c r="G510" s="2" t="str">
        <v>2026-04-05</v>
      </c>
      <c r="H510" s="2" t="str">
        <v>4508000.0064</v>
      </c>
      <c r="I510" s="28" t="n">
        <v>4508000.0064</v>
      </c>
      <c r="J510" s="7" t="n">
        <v>4508000</v>
      </c>
      <c r="K510" s="28" t="n">
        <f>J510-I510</f>
        <v>-0.006400000303983688</v>
      </c>
      <c r="L510" s="2" t="str">
        <v>NHẬP</v>
      </c>
      <c r="M510" s="2" t="str"/>
      <c r="N510" s="2" t="str">
        <v>KHAC</v>
      </c>
    </row>
    <row r="511" ht="25" customHeight="1">
      <c r="A511" s="2" t="str">
        <v>Q532</v>
      </c>
      <c r="B511" s="2" t="str">
        <v>KH024</v>
      </c>
      <c r="C511" s="2" t="str">
        <v>KH024</v>
      </c>
      <c r="D511" s="2" t="str">
        <v>S2-00531-BH</v>
      </c>
      <c r="E511" s="2" t="str">
        <v>BAN_HANG</v>
      </c>
      <c r="F511" s="2" t="str">
        <v>INP2002</v>
      </c>
      <c r="G511" s="2" t="str">
        <v>2026-04-05</v>
      </c>
      <c r="H511" s="2" t="str">
        <v>3679999.992</v>
      </c>
      <c r="I511" s="28" t="n">
        <v>3679999.992</v>
      </c>
      <c r="J511" s="7" t="n">
        <v>3680000</v>
      </c>
      <c r="K511" s="28" t="n">
        <f>J511-I511</f>
        <v>0.007999999914318323</v>
      </c>
      <c r="L511" s="2" t="str">
        <v>NHẬP</v>
      </c>
      <c r="M511" s="2" t="str"/>
      <c r="N511" s="2" t="str">
        <v>KHAC</v>
      </c>
    </row>
    <row r="512" ht="25" customHeight="1">
      <c r="A512" s="2" t="str">
        <v>Q533</v>
      </c>
      <c r="B512" s="2" t="str">
        <v>KH024</v>
      </c>
      <c r="C512" s="2" t="str">
        <v>KH024</v>
      </c>
      <c r="D512" s="2" t="str">
        <v>S2-00531-BH</v>
      </c>
      <c r="E512" s="2" t="str">
        <v>BAN_HANG</v>
      </c>
      <c r="F512" s="2" t="str">
        <v>INP2103</v>
      </c>
      <c r="G512" s="2" t="str">
        <v>2026-04-05</v>
      </c>
      <c r="H512" s="2" t="str">
        <v>3039999.984</v>
      </c>
      <c r="I512" s="28" t="n">
        <v>3039999.984</v>
      </c>
      <c r="J512" s="7" t="n">
        <v>3040000</v>
      </c>
      <c r="K512" s="28" t="n">
        <f>J512-I512</f>
        <v>0.015999999828636646</v>
      </c>
      <c r="L512" s="2" t="str">
        <v>NHẬP</v>
      </c>
      <c r="M512" s="2" t="str"/>
      <c r="N512" s="2" t="str">
        <v>KHAC</v>
      </c>
    </row>
    <row r="513" ht="25" customHeight="1">
      <c r="A513" s="2" t="str">
        <v>Q534</v>
      </c>
      <c r="B513" s="2" t="str">
        <v>KH024</v>
      </c>
      <c r="C513" s="2" t="str">
        <v>KH024</v>
      </c>
      <c r="D513" s="2" t="str">
        <v>S2-00531-BH</v>
      </c>
      <c r="E513" s="2" t="str">
        <v>BAN_HANG</v>
      </c>
      <c r="F513" s="2" t="str">
        <v>INP2104</v>
      </c>
      <c r="G513" s="2" t="str">
        <v>2026-04-05</v>
      </c>
      <c r="H513" s="2" t="str">
        <v>3220000.02</v>
      </c>
      <c r="I513" s="28" t="n">
        <v>3220000.02</v>
      </c>
      <c r="J513" s="7" t="n">
        <v>3220000</v>
      </c>
      <c r="K513" s="28" t="n">
        <f>J513-I513</f>
        <v>-0.02000000001862645</v>
      </c>
      <c r="L513" s="2" t="str">
        <v>NHẬP</v>
      </c>
      <c r="M513" s="2" t="str"/>
      <c r="N513" s="2" t="str">
        <v>KHAC</v>
      </c>
    </row>
    <row r="514" ht="25" customHeight="1">
      <c r="A514" s="2" t="str">
        <v>Q535</v>
      </c>
      <c r="B514" s="2" t="str">
        <v>KH024</v>
      </c>
      <c r="C514" s="2" t="str">
        <v>KH024</v>
      </c>
      <c r="D514" s="2" t="str">
        <v>S2-00531-BH</v>
      </c>
      <c r="E514" s="2" t="str">
        <v>BAN_HANG</v>
      </c>
      <c r="F514" s="2" t="str">
        <v>INP6002</v>
      </c>
      <c r="G514" s="2" t="str">
        <v>2026-04-05</v>
      </c>
      <c r="H514" s="2" t="str">
        <v>4739999.9904</v>
      </c>
      <c r="I514" s="28" t="n">
        <v>4739999.9904</v>
      </c>
      <c r="J514" s="7" t="n">
        <v>4740000</v>
      </c>
      <c r="K514" s="28" t="n">
        <f>J514-I514</f>
        <v>0.009600000455975533</v>
      </c>
      <c r="L514" s="2" t="str">
        <v>NHẬP</v>
      </c>
      <c r="M514" s="2" t="str"/>
      <c r="N514" s="2" t="str">
        <v>KHAC</v>
      </c>
    </row>
    <row r="515" ht="25" customHeight="1">
      <c r="A515" s="2" t="str">
        <v>R536</v>
      </c>
      <c r="B515" s="2" t="str">
        <v>KH024</v>
      </c>
      <c r="C515" s="2" t="str">
        <v>KH024</v>
      </c>
      <c r="D515" s="2" t="str">
        <v>S2-00536-HT</v>
      </c>
      <c r="E515" s="2" t="str">
        <v>HOAN_TIEN</v>
      </c>
      <c r="F515" s="2" t="str"/>
      <c r="G515" s="2" t="str"/>
      <c r="H515" s="2" t="str">
        <v>18740000</v>
      </c>
      <c r="I515" s="28" t="n">
        <v>18740000</v>
      </c>
      <c r="J515" s="7" t="n">
        <v>18740000</v>
      </c>
      <c r="K515" s="28" t="n">
        <f>J515-I515</f>
        <v>0</v>
      </c>
      <c r="L515" s="2" t="str">
        <v>NHẬP</v>
      </c>
      <c r="M515" s="2" t="str"/>
      <c r="N515" s="2" t="str">
        <v>KHAC</v>
      </c>
    </row>
    <row r="516" ht="25" customHeight="1">
      <c r="A516" s="2" t="str">
        <v>R537</v>
      </c>
      <c r="B516" s="2" t="str">
        <v>KH024</v>
      </c>
      <c r="C516" s="2" t="str">
        <v>KH024</v>
      </c>
      <c r="D516" s="2" t="str">
        <v>S2-00537-TT</v>
      </c>
      <c r="E516" s="2" t="str">
        <v>THU_TIEN</v>
      </c>
      <c r="F516" s="2" t="str"/>
      <c r="G516" s="2" t="str">
        <v>2026-05-29</v>
      </c>
      <c r="H516" s="2" t="str">
        <v>37928000</v>
      </c>
      <c r="I516" s="28" t="n">
        <v>37928000</v>
      </c>
      <c r="J516" s="7" t="n">
        <v>37928000</v>
      </c>
      <c r="K516" s="28" t="n">
        <f>J516-I516</f>
        <v>0</v>
      </c>
      <c r="L516" s="2" t="str">
        <v>NHẬP</v>
      </c>
      <c r="M516" s="2" t="str"/>
      <c r="N516" s="2" t="str">
        <v>KHAC</v>
      </c>
    </row>
    <row r="517" ht="25" customHeight="1">
      <c r="A517" s="2" t="str">
        <v>Q538</v>
      </c>
      <c r="B517" s="2" t="str">
        <v>KH024</v>
      </c>
      <c r="C517" s="2" t="str">
        <v>KH024</v>
      </c>
      <c r="D517" s="2" t="str">
        <v>S2-00538-BH</v>
      </c>
      <c r="E517" s="2" t="str">
        <v>BAN_HANG</v>
      </c>
      <c r="F517" s="2" t="str">
        <v>INP2103</v>
      </c>
      <c r="G517" s="2" t="str">
        <v>2026-07-07</v>
      </c>
      <c r="H517" s="2" t="str">
        <v>3039999.984</v>
      </c>
      <c r="I517" s="28" t="n">
        <v>3039999.984</v>
      </c>
      <c r="J517" s="7" t="n">
        <v>3040000</v>
      </c>
      <c r="K517" s="28" t="n">
        <f>J517-I517</f>
        <v>0.015999999828636646</v>
      </c>
      <c r="L517" s="2" t="str">
        <v>NHẬP</v>
      </c>
      <c r="M517" s="2" t="str"/>
      <c r="N517" s="2" t="str">
        <v>KHAC</v>
      </c>
    </row>
    <row r="518" ht="25" customHeight="1">
      <c r="A518" s="2" t="str">
        <v>Q539</v>
      </c>
      <c r="B518" s="2" t="str">
        <v>KH024</v>
      </c>
      <c r="C518" s="2" t="str">
        <v>KH024</v>
      </c>
      <c r="D518" s="2" t="str">
        <v>S2-00538-BH</v>
      </c>
      <c r="E518" s="2" t="str">
        <v>BAN_HANG</v>
      </c>
      <c r="F518" s="2" t="str">
        <v>INP2104</v>
      </c>
      <c r="G518" s="2" t="str">
        <v>2026-07-07</v>
      </c>
      <c r="H518" s="2" t="str">
        <v>3220000.02</v>
      </c>
      <c r="I518" s="28" t="n">
        <v>3220000.02</v>
      </c>
      <c r="J518" s="7" t="n">
        <v>3220000</v>
      </c>
      <c r="K518" s="28" t="n">
        <f>J518-I518</f>
        <v>-0.02000000001862645</v>
      </c>
      <c r="L518" s="2" t="str">
        <v>NHẬP</v>
      </c>
      <c r="M518" s="2" t="str"/>
      <c r="N518" s="2" t="str">
        <v>KHAC</v>
      </c>
    </row>
    <row r="519" ht="25" customHeight="1">
      <c r="A519" s="2" t="str">
        <v>Q540</v>
      </c>
      <c r="B519" s="2" t="str">
        <v>KH024</v>
      </c>
      <c r="C519" s="2" t="str">
        <v>KH024</v>
      </c>
      <c r="D519" s="2" t="str">
        <v>S2-00540-BH</v>
      </c>
      <c r="E519" s="2" t="str">
        <v>BAN_HANG</v>
      </c>
      <c r="F519" s="2" t="str">
        <v>INP6902</v>
      </c>
      <c r="G519" s="2" t="str">
        <v>2026-07-07</v>
      </c>
      <c r="H519" s="2" t="str">
        <v>8799999.948</v>
      </c>
      <c r="I519" s="28" t="n">
        <v>8799999.948</v>
      </c>
      <c r="J519" s="7" t="n">
        <v>8800000</v>
      </c>
      <c r="K519" s="28" t="n">
        <f>J519-I519</f>
        <v>0.05199999921023846</v>
      </c>
      <c r="L519" s="2" t="str">
        <v>NHẬP</v>
      </c>
      <c r="M519" s="2" t="str"/>
      <c r="N519" s="2" t="str">
        <v>KHAC</v>
      </c>
    </row>
    <row r="520" ht="25" customHeight="1">
      <c r="A520" s="2" t="str">
        <v>S541</v>
      </c>
      <c r="B520" s="2" t="str">
        <v>KH024</v>
      </c>
      <c r="C520" s="2" t="str">
        <v>KH024</v>
      </c>
      <c r="D520" s="2" t="str">
        <v>S2-00541-VC</v>
      </c>
      <c r="E520" s="2" t="str">
        <v>PHI_VAN_CHUYEN</v>
      </c>
      <c r="F520" s="2" t="str"/>
      <c r="G520" s="2" t="str">
        <v>2026-08-07</v>
      </c>
      <c r="H520" s="2" t="str">
        <v>200000</v>
      </c>
      <c r="I520" s="28" t="n">
        <v>200000</v>
      </c>
      <c r="J520" s="7" t="n">
        <v>200000</v>
      </c>
      <c r="K520" s="28" t="n">
        <f>J520-I520</f>
        <v>0</v>
      </c>
      <c r="L520" s="2" t="str">
        <v>NHẬP</v>
      </c>
      <c r="M520" s="2" t="str"/>
      <c r="N520" s="2" t="str">
        <v>KHAC</v>
      </c>
    </row>
    <row r="521" ht="25" customHeight="1">
      <c r="A521" s="2" t="str">
        <v>Q542</v>
      </c>
      <c r="B521" s="2" t="str">
        <v>KH024</v>
      </c>
      <c r="C521" s="2" t="str">
        <v>KH024</v>
      </c>
      <c r="D521" s="2" t="str">
        <v>S2-00542-BH</v>
      </c>
      <c r="E521" s="2" t="str">
        <v>BAN_HANG</v>
      </c>
      <c r="F521" s="2" t="str">
        <v>INP2107</v>
      </c>
      <c r="G521" s="2" t="str">
        <v>2026-07-22</v>
      </c>
      <c r="H521" s="2" t="str">
        <v>3000000.024</v>
      </c>
      <c r="I521" s="28" t="n">
        <v>3000000.024</v>
      </c>
      <c r="J521" s="7" t="n">
        <v>3000000</v>
      </c>
      <c r="K521" s="28" t="n">
        <f>J521-I521</f>
        <v>-0.024000000208616257</v>
      </c>
      <c r="L521" s="2" t="str">
        <v>NHẬP</v>
      </c>
      <c r="M521" s="2" t="str"/>
      <c r="N521" s="2" t="str">
        <v>KHAC</v>
      </c>
    </row>
    <row r="522" ht="25" customHeight="1">
      <c r="A522" s="2" t="str">
        <v>Q543</v>
      </c>
      <c r="B522" s="2" t="str">
        <v>KH024</v>
      </c>
      <c r="C522" s="2" t="str">
        <v>KH024</v>
      </c>
      <c r="D522" s="2" t="str">
        <v>S2-00542-BH</v>
      </c>
      <c r="E522" s="2" t="str">
        <v>BAN_HANG</v>
      </c>
      <c r="F522" s="2" t="str">
        <v>INP2104</v>
      </c>
      <c r="G522" s="2" t="str">
        <v>2026-07-22</v>
      </c>
      <c r="H522" s="2" t="str">
        <v>9660000.06</v>
      </c>
      <c r="I522" s="28" t="n">
        <v>9660000.06</v>
      </c>
      <c r="J522" s="7" t="n">
        <v>9660000</v>
      </c>
      <c r="K522" s="28" t="n">
        <f>J522-I522</f>
        <v>-0.06000000052154064</v>
      </c>
      <c r="L522" s="2" t="str">
        <v>NHẬP</v>
      </c>
      <c r="M522" s="2" t="str"/>
      <c r="N522" s="2" t="str">
        <v>KHAC</v>
      </c>
    </row>
    <row r="523" ht="25" customHeight="1">
      <c r="A523" s="2" t="str">
        <v>Q544</v>
      </c>
      <c r="B523" s="2" t="str">
        <v>KH024</v>
      </c>
      <c r="C523" s="2" t="str">
        <v>KH024</v>
      </c>
      <c r="D523" s="2" t="str">
        <v>S2-00542-BH</v>
      </c>
      <c r="E523" s="2" t="str">
        <v>BAN_HANG</v>
      </c>
      <c r="F523" s="2" t="str">
        <v>INP2106</v>
      </c>
      <c r="G523" s="2" t="str">
        <v>2026-07-22</v>
      </c>
      <c r="H523" s="2" t="str">
        <v>2800000.008</v>
      </c>
      <c r="I523" s="28" t="n">
        <v>2800000.008</v>
      </c>
      <c r="J523" s="7" t="n">
        <v>2800000</v>
      </c>
      <c r="K523" s="28" t="n">
        <f>J523-I523</f>
        <v>-0.007999999914318323</v>
      </c>
      <c r="L523" s="2" t="str">
        <v>NHẬP</v>
      </c>
      <c r="M523" s="2" t="str"/>
      <c r="N523" s="2" t="str">
        <v>KHAC</v>
      </c>
    </row>
    <row r="524" ht="25" customHeight="1">
      <c r="A524" s="2" t="str">
        <v>S545</v>
      </c>
      <c r="B524" s="2" t="str">
        <v>KH024</v>
      </c>
      <c r="C524" s="2" t="str">
        <v>KH024</v>
      </c>
      <c r="D524" s="2" t="str">
        <v>S2-00545-VC</v>
      </c>
      <c r="E524" s="2" t="str">
        <v>PHI_VAN_CHUYEN</v>
      </c>
      <c r="F524" s="2" t="str"/>
      <c r="G524" s="2" t="str">
        <v>2026-07-23</v>
      </c>
      <c r="H524" s="2" t="str">
        <v>150000</v>
      </c>
      <c r="I524" s="28" t="n">
        <v>150000</v>
      </c>
      <c r="J524" s="7" t="n">
        <v>150000</v>
      </c>
      <c r="K524" s="28" t="n">
        <f>J524-I524</f>
        <v>0</v>
      </c>
      <c r="L524" s="2" t="str">
        <v>NHẬP</v>
      </c>
      <c r="M524" s="2" t="str"/>
      <c r="N524" s="2" t="str">
        <v>KHAC</v>
      </c>
    </row>
    <row r="525" ht="25" customHeight="1">
      <c r="A525" s="2" t="str">
        <v>Q546</v>
      </c>
      <c r="B525" s="2" t="str">
        <v>KH042</v>
      </c>
      <c r="C525" s="2" t="str">
        <v>KH00002</v>
      </c>
      <c r="D525" s="2" t="str">
        <v>S2-00546-BH</v>
      </c>
      <c r="E525" s="2" t="str">
        <v>BAN_HANG</v>
      </c>
      <c r="F525" s="2" t="str">
        <v>INP1003</v>
      </c>
      <c r="G525" s="2" t="str">
        <v>2026-01-10</v>
      </c>
      <c r="H525" s="2" t="str">
        <v>4080000.1968</v>
      </c>
      <c r="I525" s="28" t="n">
        <v>4080000.1968</v>
      </c>
      <c r="J525" s="7" t="n">
        <v>4080000</v>
      </c>
      <c r="K525" s="28" t="n">
        <f>J525-I525</f>
        <v>-0.19680000003427267</v>
      </c>
      <c r="L525" s="2" t="str">
        <v>NHẬP</v>
      </c>
      <c r="M525" s="2" t="str"/>
      <c r="N525" s="2" t="str">
        <v>KHAC</v>
      </c>
    </row>
    <row r="526" ht="25" customHeight="1">
      <c r="A526" s="2" t="str">
        <v>Q547</v>
      </c>
      <c r="B526" s="2" t="str">
        <v>KH042</v>
      </c>
      <c r="C526" s="2" t="str">
        <v>KH00002</v>
      </c>
      <c r="D526" s="2" t="str">
        <v>S2-00546-BH</v>
      </c>
      <c r="E526" s="2" t="str">
        <v>BAN_HANG</v>
      </c>
      <c r="F526" s="2" t="str">
        <v>INP2301</v>
      </c>
      <c r="G526" s="2" t="str">
        <v>2026-01-10</v>
      </c>
      <c r="H526" s="2" t="str">
        <v>4500000.36</v>
      </c>
      <c r="I526" s="28" t="n">
        <v>4500000.36</v>
      </c>
      <c r="J526" s="7" t="n">
        <v>4500000</v>
      </c>
      <c r="K526" s="28" t="n">
        <f>J526-I526</f>
        <v>-0.3600000003352761</v>
      </c>
      <c r="L526" s="2" t="str">
        <v>NHẬP</v>
      </c>
      <c r="M526" s="2" t="str"/>
      <c r="N526" s="2" t="str">
        <v>KHAC</v>
      </c>
    </row>
    <row r="527" ht="25" customHeight="1">
      <c r="A527" s="2" t="str">
        <v>Q548</v>
      </c>
      <c r="B527" s="2" t="str">
        <v>KH042</v>
      </c>
      <c r="C527" s="2" t="str">
        <v>KH00002</v>
      </c>
      <c r="D527" s="2" t="str">
        <v>S2-00546-BH</v>
      </c>
      <c r="E527" s="2" t="str">
        <v>BAN_HANG</v>
      </c>
      <c r="F527" s="2" t="str">
        <v>INP1401</v>
      </c>
      <c r="G527" s="2" t="str">
        <v>2026-01-10</v>
      </c>
      <c r="H527" s="2" t="str">
        <v>7120000.4832</v>
      </c>
      <c r="I527" s="28" t="n">
        <v>7120000.4832</v>
      </c>
      <c r="J527" s="7" t="n">
        <v>7120001</v>
      </c>
      <c r="K527" s="28" t="n">
        <f>J527-I527</f>
        <v>0.5168000003322959</v>
      </c>
      <c r="L527" s="2" t="str">
        <v>NHẬP</v>
      </c>
      <c r="M527" s="2" t="str"/>
      <c r="N527" s="2" t="str">
        <v>KHAC</v>
      </c>
    </row>
    <row r="528" ht="25" customHeight="1">
      <c r="A528" s="2" t="str">
        <v>Q549</v>
      </c>
      <c r="B528" s="2" t="str">
        <v>KH042</v>
      </c>
      <c r="C528" s="2" t="str">
        <v>KH00002</v>
      </c>
      <c r="D528" s="2" t="str">
        <v>S2-00546-BH</v>
      </c>
      <c r="E528" s="2" t="str">
        <v>BAN_HANG</v>
      </c>
      <c r="F528" s="2" t="str">
        <v>INP1402</v>
      </c>
      <c r="G528" s="2" t="str">
        <v>2026-01-10</v>
      </c>
      <c r="H528" s="2" t="str">
        <v>8104000.32</v>
      </c>
      <c r="I528" s="28" t="n">
        <v>8104000.32</v>
      </c>
      <c r="J528" s="7" t="n">
        <v>8104000</v>
      </c>
      <c r="K528" s="28" t="n">
        <f>J528-I528</f>
        <v>-0.3200000002980232</v>
      </c>
      <c r="L528" s="2" t="str">
        <v>NHẬP</v>
      </c>
      <c r="M528" s="2" t="str"/>
      <c r="N528" s="2" t="str">
        <v>KHAC</v>
      </c>
    </row>
    <row r="529" ht="25" customHeight="1">
      <c r="A529" s="2" t="str">
        <v>Q550</v>
      </c>
      <c r="B529" s="2" t="str">
        <v>KH042</v>
      </c>
      <c r="C529" s="2" t="str">
        <v>KH00002</v>
      </c>
      <c r="D529" s="2" t="str">
        <v>S2-00546-BH</v>
      </c>
      <c r="E529" s="2" t="str">
        <v>BAN_HANG</v>
      </c>
      <c r="F529" s="2" t="str">
        <v>INP1501</v>
      </c>
      <c r="G529" s="2" t="str">
        <v>2026-01-10</v>
      </c>
      <c r="H529" s="2" t="str">
        <v>2880000.4896</v>
      </c>
      <c r="I529" s="28" t="n">
        <v>2880000.4896</v>
      </c>
      <c r="J529" s="7" t="n">
        <v>2880001</v>
      </c>
      <c r="K529" s="28" t="n">
        <f>J529-I529</f>
        <v>0.5104000000283122</v>
      </c>
      <c r="L529" s="2" t="str">
        <v>NHẬP</v>
      </c>
      <c r="M529" s="2" t="str"/>
      <c r="N529" s="2" t="str">
        <v>KHAC</v>
      </c>
    </row>
    <row r="530" ht="25" customHeight="1">
      <c r="A530" s="2" t="str">
        <v>Q551</v>
      </c>
      <c r="B530" s="2" t="str">
        <v>KH042</v>
      </c>
      <c r="C530" s="2" t="str">
        <v>KH00002</v>
      </c>
      <c r="D530" s="2" t="str">
        <v>S2-00546-BH</v>
      </c>
      <c r="E530" s="2" t="str">
        <v>BAN_HANG</v>
      </c>
      <c r="F530" s="2" t="str">
        <v>INP1502</v>
      </c>
      <c r="G530" s="2" t="str">
        <v>2026-01-10</v>
      </c>
      <c r="H530" s="2" t="str">
        <v>3120000.2496</v>
      </c>
      <c r="I530" s="28" t="n">
        <v>3120000.2496</v>
      </c>
      <c r="J530" s="7" t="n">
        <v>3120000</v>
      </c>
      <c r="K530" s="28" t="n">
        <f>J530-I530</f>
        <v>-0.24960000021383166</v>
      </c>
      <c r="L530" s="2" t="str">
        <v>NHẬP</v>
      </c>
      <c r="M530" s="2" t="str"/>
      <c r="N530" s="2" t="str">
        <v>KHAC</v>
      </c>
    </row>
    <row r="531" ht="25" customHeight="1">
      <c r="A531" s="2" t="str">
        <v>Q552</v>
      </c>
      <c r="B531" s="2" t="str">
        <v>KH042</v>
      </c>
      <c r="C531" s="2" t="str">
        <v>KH00002</v>
      </c>
      <c r="D531" s="2" t="str">
        <v>S2-00546-BH</v>
      </c>
      <c r="E531" s="2" t="str">
        <v>BAN_HANG</v>
      </c>
      <c r="F531" s="2" t="str">
        <v>INP1503</v>
      </c>
      <c r="G531" s="2" t="str">
        <v>2026-01-10</v>
      </c>
      <c r="H531" s="2" t="str">
        <v>3360000.0096</v>
      </c>
      <c r="I531" s="28" t="n">
        <v>3360000.0096</v>
      </c>
      <c r="J531" s="7" t="n">
        <v>3360000</v>
      </c>
      <c r="K531" s="28" t="n">
        <f>J531-I531</f>
        <v>-0.009599999990314245</v>
      </c>
      <c r="L531" s="2" t="str">
        <v>NHẬP</v>
      </c>
      <c r="M531" s="2" t="str"/>
      <c r="N531" s="2" t="str">
        <v>KHAC</v>
      </c>
    </row>
    <row r="532" ht="25" customHeight="1">
      <c r="A532" s="2" t="str">
        <v>Q553</v>
      </c>
      <c r="B532" s="2" t="str">
        <v>KH042</v>
      </c>
      <c r="C532" s="2" t="str">
        <v>KH00002</v>
      </c>
      <c r="D532" s="2" t="str">
        <v>S2-00546-BH</v>
      </c>
      <c r="E532" s="2" t="str">
        <v>BAN_HANG</v>
      </c>
      <c r="F532" s="2" t="str">
        <v>INP2101</v>
      </c>
      <c r="G532" s="2" t="str">
        <v>2026-01-10</v>
      </c>
      <c r="H532" s="2" t="str">
        <v>2530000.44</v>
      </c>
      <c r="I532" s="28" t="n">
        <v>2530000.44</v>
      </c>
      <c r="J532" s="7" t="n">
        <v>2530000</v>
      </c>
      <c r="K532" s="28" t="n">
        <f>J532-I532</f>
        <v>-0.43999999994412065</v>
      </c>
      <c r="L532" s="2" t="str">
        <v>NHẬP</v>
      </c>
      <c r="M532" s="2" t="str"/>
      <c r="N532" s="2" t="str">
        <v>KHAC</v>
      </c>
    </row>
    <row r="533" ht="25" customHeight="1">
      <c r="A533" s="2" t="str">
        <v>Q554</v>
      </c>
      <c r="B533" s="2" t="str">
        <v>KH042</v>
      </c>
      <c r="C533" s="2" t="str">
        <v>KH00002</v>
      </c>
      <c r="D533" s="2" t="str">
        <v>S2-00546-BH</v>
      </c>
      <c r="E533" s="2" t="str">
        <v>BAN_HANG</v>
      </c>
      <c r="F533" s="2" t="str">
        <v>INP2102</v>
      </c>
      <c r="G533" s="2" t="str">
        <v>2026-01-10</v>
      </c>
      <c r="H533" s="2" t="str">
        <v>2770000.2</v>
      </c>
      <c r="I533" s="28" t="n">
        <v>2770000.2</v>
      </c>
      <c r="J533" s="7" t="n">
        <v>2770000</v>
      </c>
      <c r="K533" s="28" t="n">
        <f>J533-I533</f>
        <v>-0.20000000018626451</v>
      </c>
      <c r="L533" s="2" t="str">
        <v>NHẬP</v>
      </c>
      <c r="M533" s="2" t="str"/>
      <c r="N533" s="2" t="str">
        <v>KHAC</v>
      </c>
    </row>
    <row r="534" ht="25" customHeight="1">
      <c r="A534" s="2" t="str">
        <v>Q555</v>
      </c>
      <c r="B534" s="2" t="str">
        <v>KH042</v>
      </c>
      <c r="C534" s="2" t="str">
        <v>KH00002</v>
      </c>
      <c r="D534" s="2" t="str">
        <v>S2-00546-BH</v>
      </c>
      <c r="E534" s="2" t="str">
        <v>BAN_HANG</v>
      </c>
      <c r="F534" s="2" t="str">
        <v>INP2103</v>
      </c>
      <c r="G534" s="2" t="str">
        <v>2026-01-10</v>
      </c>
      <c r="H534" s="2" t="str">
        <v>3040000.2</v>
      </c>
      <c r="I534" s="28" t="n">
        <v>3040000.2</v>
      </c>
      <c r="J534" s="7" t="n">
        <v>3040000</v>
      </c>
      <c r="K534" s="28" t="n">
        <f>J534-I534</f>
        <v>-0.20000000018626451</v>
      </c>
      <c r="L534" s="2" t="str">
        <v>NHẬP</v>
      </c>
      <c r="M534" s="2" t="str"/>
      <c r="N534" s="2" t="str">
        <v>KHAC</v>
      </c>
    </row>
    <row r="535" ht="25" customHeight="1">
      <c r="A535" s="2" t="str">
        <v>Q556</v>
      </c>
      <c r="B535" s="2" t="str">
        <v>KH042</v>
      </c>
      <c r="C535" s="2" t="str">
        <v>KH00002</v>
      </c>
      <c r="D535" s="2" t="str">
        <v>S2-00546-BH</v>
      </c>
      <c r="E535" s="2" t="str">
        <v>BAN_HANG</v>
      </c>
      <c r="F535" s="2" t="str">
        <v>INP2105</v>
      </c>
      <c r="G535" s="2" t="str">
        <v>2026-01-10</v>
      </c>
      <c r="H535" s="2" t="str">
        <v>2460000.24</v>
      </c>
      <c r="I535" s="28" t="n">
        <v>2460000.24</v>
      </c>
      <c r="J535" s="7" t="n">
        <v>2460000</v>
      </c>
      <c r="K535" s="28" t="n">
        <f>J535-I535</f>
        <v>-0.24000000022351742</v>
      </c>
      <c r="L535" s="2" t="str">
        <v>NHẬP</v>
      </c>
      <c r="M535" s="2" t="str"/>
      <c r="N535" s="2" t="str">
        <v>KHAC</v>
      </c>
    </row>
    <row r="536" ht="25" customHeight="1">
      <c r="A536" s="2" t="str">
        <v>Q557</v>
      </c>
      <c r="B536" s="2" t="str">
        <v>KH042</v>
      </c>
      <c r="C536" s="2" t="str">
        <v>KH00002</v>
      </c>
      <c r="D536" s="2" t="str">
        <v>S2-00546-BH</v>
      </c>
      <c r="E536" s="2" t="str">
        <v>BAN_HANG</v>
      </c>
      <c r="F536" s="2" t="str">
        <v>INP2106</v>
      </c>
      <c r="G536" s="2" t="str">
        <v>2026-01-10</v>
      </c>
      <c r="H536" s="2" t="str">
        <v>2730000.24</v>
      </c>
      <c r="I536" s="28" t="n">
        <v>2730000.24</v>
      </c>
      <c r="J536" s="7" t="n">
        <v>2730000</v>
      </c>
      <c r="K536" s="28" t="n">
        <f>J536-I536</f>
        <v>-0.24000000022351742</v>
      </c>
      <c r="L536" s="2" t="str">
        <v>NHẬP</v>
      </c>
      <c r="M536" s="2" t="str"/>
      <c r="N536" s="2" t="str">
        <v>KHAC</v>
      </c>
    </row>
    <row r="537" ht="25" customHeight="1">
      <c r="A537" s="2" t="str">
        <v>Q558</v>
      </c>
      <c r="B537" s="2" t="str">
        <v>KH042</v>
      </c>
      <c r="C537" s="2" t="str">
        <v>KH00002</v>
      </c>
      <c r="D537" s="2" t="str">
        <v>S2-00546-BH</v>
      </c>
      <c r="E537" s="2" t="str">
        <v>BAN_HANG</v>
      </c>
      <c r="F537" s="2" t="str">
        <v>INP2108</v>
      </c>
      <c r="G537" s="2" t="str">
        <v>2026-01-10</v>
      </c>
      <c r="H537" s="2" t="str">
        <v>2770000.2</v>
      </c>
      <c r="I537" s="28" t="n">
        <v>2770000.2</v>
      </c>
      <c r="J537" s="7" t="n">
        <v>2770000</v>
      </c>
      <c r="K537" s="28" t="n">
        <f>J537-I537</f>
        <v>-0.20000000018626451</v>
      </c>
      <c r="L537" s="2" t="str">
        <v>NHẬP</v>
      </c>
      <c r="M537" s="2" t="str"/>
      <c r="N537" s="2" t="str">
        <v>KHAC</v>
      </c>
    </row>
    <row r="538" ht="25" customHeight="1">
      <c r="A538" s="2" t="str">
        <v>Q559</v>
      </c>
      <c r="B538" s="2" t="str">
        <v>KH042</v>
      </c>
      <c r="C538" s="2" t="str">
        <v>KH00002</v>
      </c>
      <c r="D538" s="2" t="str">
        <v>S2-00546-BH</v>
      </c>
      <c r="E538" s="2" t="str">
        <v>BAN_HANG</v>
      </c>
      <c r="F538" s="2" t="str">
        <v>INP2109</v>
      </c>
      <c r="G538" s="2" t="str">
        <v>2026-01-10</v>
      </c>
      <c r="H538" s="2" t="str">
        <v>2460000.24</v>
      </c>
      <c r="I538" s="28" t="n">
        <v>2460000.24</v>
      </c>
      <c r="J538" s="7" t="n">
        <v>2460000</v>
      </c>
      <c r="K538" s="28" t="n">
        <f>J538-I538</f>
        <v>-0.24000000022351742</v>
      </c>
      <c r="L538" s="2" t="str">
        <v>NHẬP</v>
      </c>
      <c r="M538" s="2" t="str"/>
      <c r="N538" s="2" t="str">
        <v>KHAC</v>
      </c>
    </row>
    <row r="539" ht="25" customHeight="1">
      <c r="A539" s="2" t="str">
        <v>Q560</v>
      </c>
      <c r="B539" s="2" t="str">
        <v>KH042</v>
      </c>
      <c r="C539" s="2" t="str">
        <v>KH00002</v>
      </c>
      <c r="D539" s="2" t="str">
        <v>S2-00546-BH</v>
      </c>
      <c r="E539" s="2" t="str">
        <v>BAN_HANG</v>
      </c>
      <c r="F539" s="2" t="str">
        <v>INP2110</v>
      </c>
      <c r="G539" s="2" t="str">
        <v>2026-01-10</v>
      </c>
      <c r="H539" s="2" t="str">
        <v>2730000.24</v>
      </c>
      <c r="I539" s="28" t="n">
        <v>2730000.24</v>
      </c>
      <c r="J539" s="7" t="n">
        <v>2730000</v>
      </c>
      <c r="K539" s="28" t="n">
        <f>J539-I539</f>
        <v>-0.24000000022351742</v>
      </c>
      <c r="L539" s="2" t="str">
        <v>NHẬP</v>
      </c>
      <c r="M539" s="2" t="str"/>
      <c r="N539" s="2" t="str">
        <v>KHAC</v>
      </c>
    </row>
    <row r="540" ht="25" customHeight="1">
      <c r="A540" s="2" t="str">
        <v>Q561</v>
      </c>
      <c r="B540" s="2" t="str">
        <v>KH042</v>
      </c>
      <c r="C540" s="2" t="str">
        <v>KH00002</v>
      </c>
      <c r="D540" s="2" t="str">
        <v>S2-00546-BH</v>
      </c>
      <c r="E540" s="2" t="str">
        <v>BAN_HANG</v>
      </c>
      <c r="F540" s="2" t="str">
        <v>INP2111</v>
      </c>
      <c r="G540" s="2" t="str">
        <v>2026-01-10</v>
      </c>
      <c r="H540" s="2" t="str">
        <v>3000000.24</v>
      </c>
      <c r="I540" s="28" t="n">
        <v>3000000.24</v>
      </c>
      <c r="J540" s="7" t="n">
        <v>3000000</v>
      </c>
      <c r="K540" s="28" t="n">
        <f>J540-I540</f>
        <v>-0.24000000022351742</v>
      </c>
      <c r="L540" s="2" t="str">
        <v>NHẬP</v>
      </c>
      <c r="M540" s="2" t="str"/>
      <c r="N540" s="2" t="str">
        <v>KHAC</v>
      </c>
    </row>
    <row r="541" ht="25" customHeight="1">
      <c r="A541" s="2" t="str">
        <v>Q562</v>
      </c>
      <c r="B541" s="2" t="str">
        <v>KH042</v>
      </c>
      <c r="C541" s="2" t="str">
        <v>KH00002</v>
      </c>
      <c r="D541" s="2" t="str">
        <v>S2-00546-BH</v>
      </c>
      <c r="E541" s="2" t="str">
        <v>BAN_HANG</v>
      </c>
      <c r="F541" s="2" t="str">
        <v>INP2202</v>
      </c>
      <c r="G541" s="2" t="str">
        <v>2026-01-10</v>
      </c>
      <c r="H541" s="2" t="str">
        <v>7296000.48</v>
      </c>
      <c r="I541" s="28" t="n">
        <v>7296000.48</v>
      </c>
      <c r="J541" s="7" t="n">
        <v>7296001</v>
      </c>
      <c r="K541" s="28" t="n">
        <f>J541-I541</f>
        <v>0.5199999995529652</v>
      </c>
      <c r="L541" s="2" t="str">
        <v>NHẬP</v>
      </c>
      <c r="M541" s="2" t="str"/>
      <c r="N541" s="2" t="str">
        <v>KHAC</v>
      </c>
    </row>
    <row r="542" ht="25" customHeight="1">
      <c r="A542" s="2" t="str">
        <v>Q563</v>
      </c>
      <c r="B542" s="2" t="str">
        <v>KH042</v>
      </c>
      <c r="C542" s="2" t="str">
        <v>KH00002</v>
      </c>
      <c r="D542" s="2" t="str">
        <v>S2-00546-BH</v>
      </c>
      <c r="E542" s="2" t="str">
        <v>BAN_HANG</v>
      </c>
      <c r="F542" s="2" t="str">
        <v>INP6601</v>
      </c>
      <c r="G542" s="2" t="str">
        <v>2026-01-10</v>
      </c>
      <c r="H542" s="2" t="str">
        <v>5200000.2</v>
      </c>
      <c r="I542" s="28" t="n">
        <v>5200000.2</v>
      </c>
      <c r="J542" s="7" t="n">
        <v>5200000</v>
      </c>
      <c r="K542" s="28" t="n">
        <f>J542-I542</f>
        <v>-0.20000000018626451</v>
      </c>
      <c r="L542" s="2" t="str">
        <v>NHẬP</v>
      </c>
      <c r="M542" s="2" t="str"/>
      <c r="N542" s="2" t="str">
        <v>KHAC</v>
      </c>
    </row>
    <row r="543" ht="25" customHeight="1">
      <c r="A543" s="2" t="str">
        <v>Q564</v>
      </c>
      <c r="B543" s="2" t="str">
        <v>KH042</v>
      </c>
      <c r="C543" s="2" t="str">
        <v>KH00002</v>
      </c>
      <c r="D543" s="2" t="str">
        <v>S2-00546-BH</v>
      </c>
      <c r="E543" s="2" t="str">
        <v>BAN_HANG</v>
      </c>
      <c r="F543" s="2" t="str">
        <v>INP6602</v>
      </c>
      <c r="G543" s="2" t="str">
        <v>2026-01-10</v>
      </c>
      <c r="H543" s="2" t="str">
        <v>5879999.52</v>
      </c>
      <c r="I543" s="28" t="n">
        <v>5879999.52</v>
      </c>
      <c r="J543" s="7" t="n">
        <v>5880000</v>
      </c>
      <c r="K543" s="28" t="n">
        <f>J543-I543</f>
        <v>0.48000000044703484</v>
      </c>
      <c r="L543" s="2" t="str">
        <v>NHẬP</v>
      </c>
      <c r="M543" s="2" t="str"/>
      <c r="N543" s="2" t="str">
        <v>KHAC</v>
      </c>
    </row>
    <row r="544" ht="25" customHeight="1">
      <c r="A544" s="2" t="str">
        <v>Q565</v>
      </c>
      <c r="B544" s="2" t="str">
        <v>KH042</v>
      </c>
      <c r="C544" s="2" t="str">
        <v>KH00002</v>
      </c>
      <c r="D544" s="2" t="str">
        <v>S2-00546-BH</v>
      </c>
      <c r="E544" s="2" t="str">
        <v>BAN_HANG</v>
      </c>
      <c r="F544" s="2" t="str">
        <v>INP1101</v>
      </c>
      <c r="G544" s="2" t="str">
        <v>2026-01-10</v>
      </c>
      <c r="H544" s="2" t="str">
        <v>6263999.9568</v>
      </c>
      <c r="I544" s="28" t="n">
        <v>6263999.9568</v>
      </c>
      <c r="J544" s="7" t="n">
        <v>6264000</v>
      </c>
      <c r="K544" s="28" t="n">
        <f>J544-I544</f>
        <v>0.04320000018924475</v>
      </c>
      <c r="L544" s="2" t="str">
        <v>NHẬP</v>
      </c>
      <c r="M544" s="2" t="str"/>
      <c r="N544" s="2" t="str">
        <v>KHAC</v>
      </c>
    </row>
    <row r="545" ht="25" customHeight="1">
      <c r="A545" s="2" t="str">
        <v>Q566</v>
      </c>
      <c r="B545" s="2" t="str">
        <v>KH042</v>
      </c>
      <c r="C545" s="2" t="str">
        <v>KH00002</v>
      </c>
      <c r="D545" s="2" t="str">
        <v>S2-00546-BH</v>
      </c>
      <c r="E545" s="2" t="str">
        <v>BAN_HANG</v>
      </c>
      <c r="F545" s="2" t="str">
        <v>INP1002</v>
      </c>
      <c r="G545" s="2" t="str">
        <v>2026-01-10</v>
      </c>
      <c r="H545" s="2" t="str">
        <v>6989999.976</v>
      </c>
      <c r="I545" s="28" t="n">
        <v>6989999.976</v>
      </c>
      <c r="J545" s="7" t="n">
        <v>6990000</v>
      </c>
      <c r="K545" s="28" t="n">
        <f>J545-I545</f>
        <v>0.024000000208616257</v>
      </c>
      <c r="L545" s="2" t="str">
        <v>NHẬP</v>
      </c>
      <c r="M545" s="2" t="str"/>
      <c r="N545" s="2" t="str">
        <v>KHAC</v>
      </c>
    </row>
    <row r="546" ht="25" customHeight="1">
      <c r="A546" s="2" t="str">
        <v>R567</v>
      </c>
      <c r="B546" s="2" t="str">
        <v>KH042</v>
      </c>
      <c r="C546" s="2" t="str">
        <v>KH00002</v>
      </c>
      <c r="D546" s="2" t="str">
        <v>S2-00567-TT</v>
      </c>
      <c r="E546" s="2" t="str">
        <v>THU_TIEN</v>
      </c>
      <c r="F546" s="2" t="str"/>
      <c r="G546" s="2" t="str">
        <v>2026-01-10</v>
      </c>
      <c r="H546" s="2" t="str">
        <v>50000000</v>
      </c>
      <c r="I546" s="28" t="n">
        <v>50000000</v>
      </c>
      <c r="J546" s="7" t="n">
        <v>50000000</v>
      </c>
      <c r="K546" s="28" t="n">
        <f>J546-I546</f>
        <v>0</v>
      </c>
      <c r="L546" s="2" t="str">
        <v>NHẬP</v>
      </c>
      <c r="M546" s="2" t="str"/>
      <c r="N546" s="2" t="str">
        <v>KHAC</v>
      </c>
    </row>
    <row r="547" ht="25" customHeight="1">
      <c r="A547" s="2" t="str">
        <v>Q568</v>
      </c>
      <c r="B547" s="2" t="str">
        <v>KH042</v>
      </c>
      <c r="C547" s="2" t="str">
        <v>KH00002</v>
      </c>
      <c r="D547" s="2" t="str">
        <v>S2-00568-BH</v>
      </c>
      <c r="E547" s="2" t="str">
        <v>BAN_HANG</v>
      </c>
      <c r="F547" s="2" t="str">
        <v>INP6202</v>
      </c>
      <c r="G547" s="2" t="str">
        <v>2026-01-10</v>
      </c>
      <c r="H547" s="2" t="str">
        <v>4223999.9232</v>
      </c>
      <c r="I547" s="28" t="n">
        <v>4223999.9232</v>
      </c>
      <c r="J547" s="7" t="n">
        <v>4224000</v>
      </c>
      <c r="K547" s="28" t="n">
        <f>J547-I547</f>
        <v>0.07679999992251396</v>
      </c>
      <c r="L547" s="2" t="str">
        <v>NHẬP</v>
      </c>
      <c r="M547" s="2" t="str"/>
      <c r="N547" s="2" t="str">
        <v>KHAC</v>
      </c>
    </row>
    <row r="548" ht="25" customHeight="1">
      <c r="A548" s="2" t="str">
        <v>Q569</v>
      </c>
      <c r="B548" s="2" t="str">
        <v>KH042</v>
      </c>
      <c r="C548" s="2" t="str">
        <v>KH00002</v>
      </c>
      <c r="D548" s="2" t="str">
        <v>S2-00568-BH</v>
      </c>
      <c r="E548" s="2" t="str">
        <v>BAN_HANG</v>
      </c>
      <c r="F548" s="2" t="str">
        <v>INP6204</v>
      </c>
      <c r="G548" s="2" t="str">
        <v>2026-01-10</v>
      </c>
      <c r="H548" s="2" t="str">
        <v>3683999.88</v>
      </c>
      <c r="I548" s="28" t="n">
        <v>3683999.88</v>
      </c>
      <c r="J548" s="7" t="n">
        <v>3684000</v>
      </c>
      <c r="K548" s="28" t="n">
        <f>J548-I548</f>
        <v>0.12000000011175871</v>
      </c>
      <c r="L548" s="2" t="str">
        <v>NHẬP</v>
      </c>
      <c r="M548" s="2" t="str"/>
      <c r="N548" s="2" t="str">
        <v>KHAC</v>
      </c>
    </row>
    <row r="549" ht="25" customHeight="1">
      <c r="A549" s="2" t="str">
        <v>Q570</v>
      </c>
      <c r="B549" s="2" t="str">
        <v>KH042</v>
      </c>
      <c r="C549" s="2" t="str">
        <v>KH00002</v>
      </c>
      <c r="D549" s="2" t="str">
        <v>S2-00568-BH</v>
      </c>
      <c r="E549" s="2" t="str">
        <v>BAN_HANG</v>
      </c>
      <c r="F549" s="2" t="str">
        <v>INP6206</v>
      </c>
      <c r="G549" s="2" t="str">
        <v>2026-01-10</v>
      </c>
      <c r="H549" s="2" t="str">
        <v>3420000.4032</v>
      </c>
      <c r="I549" s="28" t="n">
        <v>3420000.4032</v>
      </c>
      <c r="J549" s="7" t="n">
        <v>3420000</v>
      </c>
      <c r="K549" s="28" t="n">
        <f>J549-I549</f>
        <v>-0.4032000000588596</v>
      </c>
      <c r="L549" s="2" t="str">
        <v>NHẬP</v>
      </c>
      <c r="M549" s="2" t="str"/>
      <c r="N549" s="2" t="str">
        <v>KHAC</v>
      </c>
    </row>
    <row r="550" ht="25" customHeight="1">
      <c r="A550" s="2" t="str">
        <v>Q571</v>
      </c>
      <c r="B550" s="2" t="str">
        <v>KH042</v>
      </c>
      <c r="C550" s="2" t="str">
        <v>KH00002</v>
      </c>
      <c r="D550" s="2" t="str">
        <v>S2-00571-BH</v>
      </c>
      <c r="E550" s="2" t="str">
        <v>BAN_HANG</v>
      </c>
      <c r="F550" s="2" t="str">
        <v>INP1201</v>
      </c>
      <c r="G550" s="2" t="str">
        <v>2026-01-24</v>
      </c>
      <c r="H550" s="2" t="str">
        <v>3351999.9744</v>
      </c>
      <c r="I550" s="28" t="n">
        <v>3351999.9744</v>
      </c>
      <c r="J550" s="7" t="n">
        <v>3352000</v>
      </c>
      <c r="K550" s="28" t="n">
        <f>J550-I550</f>
        <v>0.02559999981895089</v>
      </c>
      <c r="L550" s="2" t="str">
        <v>NHẬP</v>
      </c>
      <c r="M550" s="2" t="str"/>
      <c r="N550" s="2" t="str">
        <v>KHAC</v>
      </c>
    </row>
    <row r="551" ht="25" customHeight="1">
      <c r="A551" s="2" t="str">
        <v>Q572</v>
      </c>
      <c r="B551" s="2" t="str">
        <v>KH042</v>
      </c>
      <c r="C551" s="2" t="str">
        <v>KH00002</v>
      </c>
      <c r="D551" s="2" t="str">
        <v>S2-00571-BH</v>
      </c>
      <c r="E551" s="2" t="str">
        <v>BAN_HANG</v>
      </c>
      <c r="F551" s="2" t="str">
        <v>INP1202</v>
      </c>
      <c r="G551" s="2" t="str">
        <v>2026-01-24</v>
      </c>
      <c r="H551" s="2" t="str">
        <v>4079999.9808</v>
      </c>
      <c r="I551" s="28" t="n">
        <v>4079999.9808</v>
      </c>
      <c r="J551" s="7" t="n">
        <v>4080000</v>
      </c>
      <c r="K551" s="28" t="n">
        <f>J551-I551</f>
        <v>0.01919999998062849</v>
      </c>
      <c r="L551" s="2" t="str">
        <v>NHẬP</v>
      </c>
      <c r="M551" s="2" t="str"/>
      <c r="N551" s="2" t="str">
        <v>KHAC</v>
      </c>
    </row>
    <row r="552" ht="25" customHeight="1">
      <c r="A552" s="2" t="str">
        <v>Q573</v>
      </c>
      <c r="B552" s="2" t="str">
        <v>KH042</v>
      </c>
      <c r="C552" s="2" t="str">
        <v>KH00002</v>
      </c>
      <c r="D552" s="2" t="str">
        <v>S2-00571-BH</v>
      </c>
      <c r="E552" s="2" t="str">
        <v>BAN_HANG</v>
      </c>
      <c r="F552" s="2" t="str">
        <v>INP1203</v>
      </c>
      <c r="G552" s="2" t="str">
        <v>2026-01-24</v>
      </c>
      <c r="H552" s="2" t="str">
        <v>4255999.9776</v>
      </c>
      <c r="I552" s="28" t="n">
        <v>4255999.9776</v>
      </c>
      <c r="J552" s="7" t="n">
        <v>4256000</v>
      </c>
      <c r="K552" s="28" t="n">
        <f>J552-I552</f>
        <v>0.022400000132620335</v>
      </c>
      <c r="L552" s="2" t="str">
        <v>NHẬP</v>
      </c>
      <c r="M552" s="2" t="str"/>
      <c r="N552" s="2" t="str">
        <v>KHAC</v>
      </c>
    </row>
    <row r="553" ht="25" customHeight="1">
      <c r="A553" s="2" t="str">
        <v>Q574</v>
      </c>
      <c r="B553" s="2" t="str">
        <v>KH042</v>
      </c>
      <c r="C553" s="2" t="str">
        <v>KH00002</v>
      </c>
      <c r="D553" s="2" t="str">
        <v>S2-00574-BH</v>
      </c>
      <c r="E553" s="2" t="str">
        <v>BAN_HANG</v>
      </c>
      <c r="F553" s="2" t="str">
        <v>INP6104</v>
      </c>
      <c r="G553" s="2" t="str">
        <v>2026-01-24</v>
      </c>
      <c r="H553" s="2" t="str">
        <v>6528000.0168</v>
      </c>
      <c r="I553" s="28" t="n">
        <v>6528000.0168</v>
      </c>
      <c r="J553" s="7" t="n">
        <v>6528000</v>
      </c>
      <c r="K553" s="28" t="n">
        <f>J553-I553</f>
        <v>-0.016800000332295895</v>
      </c>
      <c r="L553" s="2" t="str">
        <v>NHẬP</v>
      </c>
      <c r="M553" s="2" t="str"/>
      <c r="N553" s="2" t="str">
        <v>KHAC</v>
      </c>
    </row>
    <row r="554" ht="25" customHeight="1">
      <c r="A554" s="2" t="str">
        <v>Q575</v>
      </c>
      <c r="B554" s="2" t="str">
        <v>KH042</v>
      </c>
      <c r="C554" s="2" t="str">
        <v>KH00002</v>
      </c>
      <c r="D554" s="2" t="str">
        <v>S2-00575-BH</v>
      </c>
      <c r="E554" s="2" t="str">
        <v>BAN_HANG</v>
      </c>
      <c r="F554" s="2" t="str">
        <v>INP6206</v>
      </c>
      <c r="G554" s="2" t="str">
        <v>2026-01-24</v>
      </c>
      <c r="H554" s="2" t="str">
        <v>3420000.0144</v>
      </c>
      <c r="I554" s="28" t="n">
        <v>3420000.0144</v>
      </c>
      <c r="J554" s="7" t="n">
        <v>3420000</v>
      </c>
      <c r="K554" s="28" t="n">
        <f>J554-I554</f>
        <v>-0.014400000218302011</v>
      </c>
      <c r="L554" s="2" t="str">
        <v>NHẬP</v>
      </c>
      <c r="M554" s="2" t="str"/>
      <c r="N554" s="2" t="str">
        <v>KHAC</v>
      </c>
    </row>
    <row r="555" ht="25" customHeight="1">
      <c r="A555" s="2" t="str">
        <v>Q577</v>
      </c>
      <c r="B555" s="2" t="str">
        <v>KH042</v>
      </c>
      <c r="C555" s="2" t="str">
        <v>KH00002</v>
      </c>
      <c r="D555" s="2" t="str">
        <v>S2-00577-BH</v>
      </c>
      <c r="E555" s="2" t="str">
        <v>BAN_HANG</v>
      </c>
      <c r="F555" s="2" t="str">
        <v>INP2202</v>
      </c>
      <c r="G555" s="2" t="str">
        <v>2026-01-24</v>
      </c>
      <c r="H555" s="2" t="str">
        <v>7295999.9616</v>
      </c>
      <c r="I555" s="28" t="n">
        <v>7295999.9616</v>
      </c>
      <c r="J555" s="7" t="n">
        <v>7296000</v>
      </c>
      <c r="K555" s="28" t="n">
        <f>J555-I555</f>
        <v>0.03839999996125698</v>
      </c>
      <c r="L555" s="2" t="str">
        <v>NHẬP</v>
      </c>
      <c r="M555" s="2" t="str"/>
      <c r="N555" s="2" t="str">
        <v>KHAC</v>
      </c>
    </row>
    <row r="556" ht="25" customHeight="1">
      <c r="A556" s="2" t="str">
        <v>Q578</v>
      </c>
      <c r="B556" s="2" t="str">
        <v>KH042</v>
      </c>
      <c r="C556" s="2" t="str">
        <v>KH00002</v>
      </c>
      <c r="D556" s="2" t="str">
        <v>S2-00577-BH</v>
      </c>
      <c r="E556" s="2" t="str">
        <v>BAN_HANG</v>
      </c>
      <c r="F556" s="2" t="str">
        <v>INP1003</v>
      </c>
      <c r="G556" s="2" t="str">
        <v>2026-01-24</v>
      </c>
      <c r="H556" s="2" t="str">
        <v>5599999.9296</v>
      </c>
      <c r="I556" s="28" t="n">
        <v>5599999.9296</v>
      </c>
      <c r="J556" s="7" t="n">
        <v>5600000</v>
      </c>
      <c r="K556" s="28" t="n">
        <f>J556-I556</f>
        <v>0.07039999961853027</v>
      </c>
      <c r="L556" s="2" t="str">
        <v>NHẬP</v>
      </c>
      <c r="M556" s="2" t="str"/>
      <c r="N556" s="2" t="str">
        <v>KHAC</v>
      </c>
    </row>
    <row r="557" ht="25" customHeight="1">
      <c r="A557" s="2" t="str">
        <v>Q579</v>
      </c>
      <c r="B557" s="2" t="str">
        <v>KH042</v>
      </c>
      <c r="C557" s="2" t="str">
        <v>KH00002</v>
      </c>
      <c r="D557" s="2" t="str">
        <v>S2-00577-BH</v>
      </c>
      <c r="E557" s="2" t="str">
        <v>BAN_HANG</v>
      </c>
      <c r="F557" s="2" t="str">
        <v>INP2002</v>
      </c>
      <c r="G557" s="2" t="str">
        <v>2026-01-24</v>
      </c>
      <c r="H557" s="2" t="str">
        <v>3679999.992</v>
      </c>
      <c r="I557" s="28" t="n">
        <v>3679999.992</v>
      </c>
      <c r="J557" s="7" t="n">
        <v>3680000</v>
      </c>
      <c r="K557" s="28" t="n">
        <f>J557-I557</f>
        <v>0.007999999914318323</v>
      </c>
      <c r="L557" s="2" t="str">
        <v>NHẬP</v>
      </c>
      <c r="M557" s="2" t="str"/>
      <c r="N557" s="2" t="str">
        <v>KHAC</v>
      </c>
    </row>
    <row r="558" ht="25" customHeight="1">
      <c r="A558" s="2" t="str">
        <v>Q580</v>
      </c>
      <c r="B558" s="2" t="str">
        <v>KH042</v>
      </c>
      <c r="C558" s="2" t="str">
        <v>KH00002</v>
      </c>
      <c r="D558" s="2" t="str">
        <v>S2-00577-BH</v>
      </c>
      <c r="E558" s="2" t="str">
        <v>BAN_HANG</v>
      </c>
      <c r="F558" s="2" t="str">
        <v>INP2003</v>
      </c>
      <c r="G558" s="2" t="str">
        <v>2026-01-24</v>
      </c>
      <c r="H558" s="2" t="str">
        <v>5120000.0208</v>
      </c>
      <c r="I558" s="28" t="n">
        <v>5120000.0208</v>
      </c>
      <c r="J558" s="7" t="n">
        <v>5120000</v>
      </c>
      <c r="K558" s="28" t="n">
        <f>J558-I558</f>
        <v>-0.020800000056624413</v>
      </c>
      <c r="L558" s="2" t="str">
        <v>NHẬP</v>
      </c>
      <c r="M558" s="2" t="str"/>
      <c r="N558" s="2" t="str">
        <v>KHAC</v>
      </c>
    </row>
    <row r="559" ht="25" customHeight="1">
      <c r="A559" s="2" t="str">
        <v>Q581</v>
      </c>
      <c r="B559" s="2" t="str">
        <v>KH042</v>
      </c>
      <c r="C559" s="2" t="str">
        <v>KH00002</v>
      </c>
      <c r="D559" s="2" t="str">
        <v>S2-00577-BH</v>
      </c>
      <c r="E559" s="2" t="str">
        <v>BAN_HANG</v>
      </c>
      <c r="F559" s="2" t="str">
        <v>INP2301</v>
      </c>
      <c r="G559" s="2" t="str">
        <v>2026-01-24</v>
      </c>
      <c r="H559" s="2" t="str">
        <v>2700000.0216</v>
      </c>
      <c r="I559" s="28" t="n">
        <v>2700000.0216</v>
      </c>
      <c r="J559" s="7" t="n">
        <v>2700000</v>
      </c>
      <c r="K559" s="28" t="n">
        <f>J559-I559</f>
        <v>-0.021600000094622374</v>
      </c>
      <c r="L559" s="2" t="str">
        <v>NHẬP</v>
      </c>
      <c r="M559" s="2" t="str"/>
      <c r="N559" s="2" t="str">
        <v>KHAC</v>
      </c>
    </row>
    <row r="560" ht="25" customHeight="1">
      <c r="A560" s="2" t="str">
        <v>Q582</v>
      </c>
      <c r="B560" s="2" t="str">
        <v>KH042</v>
      </c>
      <c r="C560" s="2" t="str">
        <v>KH00002</v>
      </c>
      <c r="D560" s="2" t="str">
        <v>S2-00577-BH</v>
      </c>
      <c r="E560" s="2" t="str">
        <v>BAN_HANG</v>
      </c>
      <c r="F560" s="2" t="str">
        <v>INP6802</v>
      </c>
      <c r="G560" s="2" t="str">
        <v>2026-01-24</v>
      </c>
      <c r="H560" s="2" t="str">
        <v>1906000.2</v>
      </c>
      <c r="I560" s="28" t="n">
        <v>1906000.2</v>
      </c>
      <c r="J560" s="7" t="n">
        <v>1906000</v>
      </c>
      <c r="K560" s="28" t="n">
        <f>J560-I560</f>
        <v>-0.19999999995343387</v>
      </c>
      <c r="L560" s="2" t="str">
        <v>NHẬP</v>
      </c>
      <c r="M560" s="2" t="str"/>
      <c r="N560" s="2" t="str">
        <v>KHAC</v>
      </c>
    </row>
    <row r="561" ht="25" customHeight="1">
      <c r="A561" s="2" t="str">
        <v>Q583</v>
      </c>
      <c r="B561" s="2" t="str">
        <v>KH042</v>
      </c>
      <c r="C561" s="2" t="str">
        <v>KH00002</v>
      </c>
      <c r="D561" s="2" t="str">
        <v>S2-00577-BH</v>
      </c>
      <c r="E561" s="2" t="str">
        <v>BAN_HANG</v>
      </c>
      <c r="F561" s="2" t="str">
        <v>INP1403</v>
      </c>
      <c r="G561" s="2" t="str">
        <v>2026-01-24</v>
      </c>
      <c r="H561" s="2" t="str">
        <v>2600001.4608</v>
      </c>
      <c r="I561" s="28" t="n">
        <v>2600001.4608</v>
      </c>
      <c r="J561" s="7" t="n">
        <v>2600001</v>
      </c>
      <c r="K561" s="28" t="n">
        <f>J561-I561</f>
        <v>-0.46080000000074506</v>
      </c>
      <c r="L561" s="2" t="str">
        <v>NHẬP</v>
      </c>
      <c r="M561" s="2" t="str"/>
      <c r="N561" s="2" t="str">
        <v>KHAC</v>
      </c>
    </row>
    <row r="562" ht="25" customHeight="1">
      <c r="A562" s="2" t="str">
        <v>Q584</v>
      </c>
      <c r="B562" s="2" t="str">
        <v>KH042</v>
      </c>
      <c r="C562" s="2" t="str">
        <v>KH00002</v>
      </c>
      <c r="D562" s="2" t="str">
        <v>S2-00584-BH</v>
      </c>
      <c r="E562" s="2" t="str">
        <v>BAN_HANG</v>
      </c>
      <c r="F562" s="2" t="str">
        <v>INP1203</v>
      </c>
      <c r="G562" s="2" t="str">
        <v>2026-02-02</v>
      </c>
      <c r="H562" s="2" t="str">
        <v>4255999.9776</v>
      </c>
      <c r="I562" s="28" t="n">
        <v>4255999.9776</v>
      </c>
      <c r="J562" s="7" t="n">
        <v>4256000</v>
      </c>
      <c r="K562" s="28" t="n">
        <f>J562-I562</f>
        <v>0.022400000132620335</v>
      </c>
      <c r="L562" s="2" t="str">
        <v>NHẬP</v>
      </c>
      <c r="M562" s="2" t="str"/>
      <c r="N562" s="2" t="str">
        <v>KHAC</v>
      </c>
    </row>
    <row r="563" ht="25" customHeight="1">
      <c r="A563" s="2" t="str">
        <v>Q585</v>
      </c>
      <c r="B563" s="2" t="str">
        <v>KH042</v>
      </c>
      <c r="C563" s="2" t="str">
        <v>KH00002</v>
      </c>
      <c r="D563" s="2" t="str">
        <v>S2-00584-BH</v>
      </c>
      <c r="E563" s="2" t="str">
        <v>BAN_HANG</v>
      </c>
      <c r="F563" s="2" t="str">
        <v>INP1401</v>
      </c>
      <c r="G563" s="2" t="str">
        <v>2026-02-02</v>
      </c>
      <c r="H563" s="2" t="str">
        <v>3559999.9824</v>
      </c>
      <c r="I563" s="28" t="n">
        <v>3559999.9824</v>
      </c>
      <c r="J563" s="7" t="n">
        <v>3560000</v>
      </c>
      <c r="K563" s="28" t="n">
        <f>J563-I563</f>
        <v>0.01759999990463257</v>
      </c>
      <c r="L563" s="2" t="str">
        <v>NHẬP</v>
      </c>
      <c r="M563" s="2" t="str"/>
      <c r="N563" s="2" t="str">
        <v>KHAC</v>
      </c>
    </row>
    <row r="564" ht="25" customHeight="1">
      <c r="A564" s="2" t="str">
        <v>Q586</v>
      </c>
      <c r="B564" s="2" t="str">
        <v>KH042</v>
      </c>
      <c r="C564" s="2" t="str">
        <v>KH00002</v>
      </c>
      <c r="D564" s="2" t="str">
        <v>S2-00584-BH</v>
      </c>
      <c r="E564" s="2" t="str">
        <v>BAN_HANG</v>
      </c>
      <c r="F564" s="2" t="str">
        <v>INP1402</v>
      </c>
      <c r="G564" s="2" t="str">
        <v>2026-02-02</v>
      </c>
      <c r="H564" s="2" t="str">
        <v>8103999.9744</v>
      </c>
      <c r="I564" s="28" t="n">
        <v>8103999.9744</v>
      </c>
      <c r="J564" s="7" t="n">
        <v>8104000</v>
      </c>
      <c r="K564" s="28" t="n">
        <f>J564-I564</f>
        <v>0.02560000028461218</v>
      </c>
      <c r="L564" s="2" t="str">
        <v>NHẬP</v>
      </c>
      <c r="M564" s="2" t="str"/>
      <c r="N564" s="2" t="str">
        <v>KHAC</v>
      </c>
    </row>
    <row r="565" ht="25" customHeight="1">
      <c r="A565" s="2" t="str">
        <v>Q587</v>
      </c>
      <c r="B565" s="2" t="str">
        <v>KH042</v>
      </c>
      <c r="C565" s="2" t="str">
        <v>KH00002</v>
      </c>
      <c r="D565" s="2" t="str">
        <v>S2-00584-BH</v>
      </c>
      <c r="E565" s="2" t="str">
        <v>BAN_HANG</v>
      </c>
      <c r="F565" s="2" t="str">
        <v>INP2111</v>
      </c>
      <c r="G565" s="2" t="str">
        <v>2026-02-02</v>
      </c>
      <c r="H565" s="2" t="str">
        <v>3000000.024</v>
      </c>
      <c r="I565" s="28" t="n">
        <v>3000000.024</v>
      </c>
      <c r="J565" s="7" t="n">
        <v>3000000</v>
      </c>
      <c r="K565" s="28" t="n">
        <f>J565-I565</f>
        <v>-0.024000000208616257</v>
      </c>
      <c r="L565" s="2" t="str">
        <v>NHẬP</v>
      </c>
      <c r="M565" s="2" t="str"/>
      <c r="N565" s="2" t="str">
        <v>KHAC</v>
      </c>
    </row>
    <row r="566" ht="25" customHeight="1">
      <c r="A566" s="2" t="str">
        <v>Q588</v>
      </c>
      <c r="B566" s="2" t="str">
        <v>KH042</v>
      </c>
      <c r="C566" s="2" t="str">
        <v>KH00002</v>
      </c>
      <c r="D566" s="2" t="str">
        <v>S2-00584-BH</v>
      </c>
      <c r="E566" s="2" t="str">
        <v>BAN_HANG</v>
      </c>
      <c r="F566" s="2" t="str">
        <v>INP2202</v>
      </c>
      <c r="G566" s="2" t="str">
        <v>2026-02-02</v>
      </c>
      <c r="H566" s="2" t="str">
        <v>1823999.9904</v>
      </c>
      <c r="I566" s="28" t="n">
        <v>1823999.9904</v>
      </c>
      <c r="J566" s="7" t="n">
        <v>1824000</v>
      </c>
      <c r="K566" s="28" t="n">
        <f>J566-I566</f>
        <v>0.009599999990314245</v>
      </c>
      <c r="L566" s="2" t="str">
        <v>NHẬP</v>
      </c>
      <c r="M566" s="2" t="str"/>
      <c r="N566" s="2" t="str">
        <v>KHAC</v>
      </c>
    </row>
    <row r="567" ht="25" customHeight="1">
      <c r="A567" s="2" t="str">
        <v>Q589</v>
      </c>
      <c r="B567" s="2" t="str">
        <v>KH042</v>
      </c>
      <c r="C567" s="2" t="str">
        <v>KH00002</v>
      </c>
      <c r="D567" s="2" t="str">
        <v>S2-00584-BH</v>
      </c>
      <c r="E567" s="2" t="str">
        <v>BAN_HANG</v>
      </c>
      <c r="F567" s="2" t="str">
        <v>INP2301</v>
      </c>
      <c r="G567" s="2" t="str">
        <v>2026-02-02</v>
      </c>
      <c r="H567" s="2" t="str">
        <v>9000000.072</v>
      </c>
      <c r="I567" s="28" t="n">
        <v>9000000.072</v>
      </c>
      <c r="J567" s="7" t="n">
        <v>9000000</v>
      </c>
      <c r="K567" s="28" t="n">
        <f>J567-I567</f>
        <v>-0.07200000062584877</v>
      </c>
      <c r="L567" s="2" t="str">
        <v>NHẬP</v>
      </c>
      <c r="M567" s="2" t="str"/>
      <c r="N567" s="2" t="str">
        <v>KHAC</v>
      </c>
    </row>
    <row r="568" ht="25" customHeight="1">
      <c r="A568" s="2" t="str">
        <v>Q590</v>
      </c>
      <c r="B568" s="2" t="str">
        <v>KH042</v>
      </c>
      <c r="C568" s="2" t="str">
        <v>KH00002</v>
      </c>
      <c r="D568" s="2" t="str">
        <v>S2-00590-BH</v>
      </c>
      <c r="E568" s="2" t="str">
        <v>BAN_HANG</v>
      </c>
      <c r="F568" s="2" t="str">
        <v>INP1001</v>
      </c>
      <c r="G568" s="2" t="str">
        <v>2026-02-06</v>
      </c>
      <c r="H568" s="2" t="str">
        <v>2075999.976</v>
      </c>
      <c r="I568" s="28" t="n">
        <v>2075999.976</v>
      </c>
      <c r="J568" s="7" t="n">
        <v>2076000</v>
      </c>
      <c r="K568" s="28" t="n">
        <f>J568-I568</f>
        <v>0.023999999975785613</v>
      </c>
      <c r="L568" s="2" t="str">
        <v>NHẬP</v>
      </c>
      <c r="M568" s="2" t="str"/>
      <c r="N568" s="2" t="str">
        <v>KHAC</v>
      </c>
    </row>
    <row r="569" ht="25" customHeight="1">
      <c r="A569" s="2" t="str">
        <v>Q591</v>
      </c>
      <c r="B569" s="2" t="str">
        <v>KH042</v>
      </c>
      <c r="C569" s="2" t="str">
        <v>KH00002</v>
      </c>
      <c r="D569" s="2" t="str">
        <v>S2-00590-BH</v>
      </c>
      <c r="E569" s="2" t="str">
        <v>BAN_HANG</v>
      </c>
      <c r="F569" s="2" t="str">
        <v>INP1003</v>
      </c>
      <c r="G569" s="2" t="str">
        <v>2026-02-06</v>
      </c>
      <c r="H569" s="2" t="str">
        <v>2799999.9648</v>
      </c>
      <c r="I569" s="28" t="n">
        <v>2799999.9648</v>
      </c>
      <c r="J569" s="7" t="n">
        <v>2800000</v>
      </c>
      <c r="K569" s="28" t="n">
        <f>J569-I569</f>
        <v>0.03519999980926514</v>
      </c>
      <c r="L569" s="2" t="str">
        <v>NHẬP</v>
      </c>
      <c r="M569" s="2" t="str"/>
      <c r="N569" s="2" t="str">
        <v>KHAC</v>
      </c>
    </row>
    <row r="570" ht="25" customHeight="1">
      <c r="A570" s="2" t="str">
        <v>Q592</v>
      </c>
      <c r="B570" s="2" t="str">
        <v>KH042</v>
      </c>
      <c r="C570" s="2" t="str">
        <v>KH00002</v>
      </c>
      <c r="D570" s="2" t="str">
        <v>S2-00590-BH</v>
      </c>
      <c r="E570" s="2" t="str">
        <v>BAN_HANG</v>
      </c>
      <c r="F570" s="2" t="str">
        <v>INP2101</v>
      </c>
      <c r="G570" s="2" t="str">
        <v>2026-02-06</v>
      </c>
      <c r="H570" s="2" t="str">
        <v>2530000.44</v>
      </c>
      <c r="I570" s="28" t="n">
        <v>2530000.44</v>
      </c>
      <c r="J570" s="7" t="n">
        <v>2530000</v>
      </c>
      <c r="K570" s="28" t="n">
        <f>J570-I570</f>
        <v>-0.43999999994412065</v>
      </c>
      <c r="L570" s="2" t="str">
        <v>NHẬP</v>
      </c>
      <c r="M570" s="2" t="str"/>
      <c r="N570" s="2" t="str">
        <v>KHAC</v>
      </c>
    </row>
    <row r="571" ht="25" customHeight="1">
      <c r="A571" s="2" t="str">
        <v>Q593</v>
      </c>
      <c r="B571" s="2" t="str">
        <v>KH042</v>
      </c>
      <c r="C571" s="2" t="str">
        <v>KH00002</v>
      </c>
      <c r="D571" s="2" t="str">
        <v>S2-00590-BH</v>
      </c>
      <c r="E571" s="2" t="str">
        <v>BAN_HANG</v>
      </c>
      <c r="F571" s="2" t="str">
        <v>INP2102</v>
      </c>
      <c r="G571" s="2" t="str">
        <v>2026-02-06</v>
      </c>
      <c r="H571" s="2" t="str">
        <v>2770000.2</v>
      </c>
      <c r="I571" s="28" t="n">
        <v>2770000.2</v>
      </c>
      <c r="J571" s="7" t="n">
        <v>2770000</v>
      </c>
      <c r="K571" s="28" t="n">
        <f>J571-I571</f>
        <v>-0.20000000018626451</v>
      </c>
      <c r="L571" s="2" t="str">
        <v>NHẬP</v>
      </c>
      <c r="M571" s="2" t="str"/>
      <c r="N571" s="2" t="str">
        <v>KHAC</v>
      </c>
    </row>
    <row r="572" ht="25" customHeight="1">
      <c r="A572" s="2" t="str">
        <v>Q594</v>
      </c>
      <c r="B572" s="2" t="str">
        <v>KH042</v>
      </c>
      <c r="C572" s="2" t="str">
        <v>KH00002</v>
      </c>
      <c r="D572" s="2" t="str">
        <v>S2-00590-BH</v>
      </c>
      <c r="E572" s="2" t="str">
        <v>BAN_HANG</v>
      </c>
      <c r="F572" s="2" t="str">
        <v>INP2103</v>
      </c>
      <c r="G572" s="2" t="str">
        <v>2026-02-06</v>
      </c>
      <c r="H572" s="2" t="str">
        <v>3040000.2</v>
      </c>
      <c r="I572" s="28" t="n">
        <v>3040000.2</v>
      </c>
      <c r="J572" s="7" t="n">
        <v>3040000</v>
      </c>
      <c r="K572" s="28" t="n">
        <f>J572-I572</f>
        <v>-0.20000000018626451</v>
      </c>
      <c r="L572" s="2" t="str">
        <v>NHẬP</v>
      </c>
      <c r="M572" s="2" t="str"/>
      <c r="N572" s="2" t="str">
        <v>KHAC</v>
      </c>
    </row>
    <row r="573" ht="25" customHeight="1">
      <c r="A573" s="2" t="str">
        <v>Q595</v>
      </c>
      <c r="B573" s="2" t="str">
        <v>KH042</v>
      </c>
      <c r="C573" s="2" t="str">
        <v>KH00002</v>
      </c>
      <c r="D573" s="2" t="str">
        <v>S2-00590-BH</v>
      </c>
      <c r="E573" s="2" t="str">
        <v>BAN_HANG</v>
      </c>
      <c r="F573" s="2" t="str">
        <v>INP2105</v>
      </c>
      <c r="G573" s="2" t="str">
        <v>2026-02-06</v>
      </c>
      <c r="H573" s="2" t="str">
        <v>2599999.992</v>
      </c>
      <c r="I573" s="28" t="n">
        <v>2599999.992</v>
      </c>
      <c r="J573" s="7" t="n">
        <v>2600000</v>
      </c>
      <c r="K573" s="28" t="n">
        <f>J573-I573</f>
        <v>0.007999999914318323</v>
      </c>
      <c r="L573" s="2" t="str">
        <v>NHẬP</v>
      </c>
      <c r="M573" s="2" t="str"/>
      <c r="N573" s="2" t="str">
        <v>KHAC</v>
      </c>
    </row>
    <row r="574" ht="25" customHeight="1">
      <c r="A574" s="2" t="str">
        <v>Q596</v>
      </c>
      <c r="B574" s="2" t="str">
        <v>KH042</v>
      </c>
      <c r="C574" s="2" t="str">
        <v>KH00002</v>
      </c>
      <c r="D574" s="2" t="str">
        <v>S2-00590-BH</v>
      </c>
      <c r="E574" s="2" t="str">
        <v>BAN_HANG</v>
      </c>
      <c r="F574" s="2" t="str">
        <v>INP2106</v>
      </c>
      <c r="G574" s="2" t="str">
        <v>2026-02-06</v>
      </c>
      <c r="H574" s="2" t="str">
        <v>2799999.9</v>
      </c>
      <c r="I574" s="28" t="n">
        <v>2799999.9</v>
      </c>
      <c r="J574" s="7" t="n">
        <v>2800000</v>
      </c>
      <c r="K574" s="28" t="n">
        <f>J574-I574</f>
        <v>0.10000000009313226</v>
      </c>
      <c r="L574" s="2" t="str">
        <v>NHẬP</v>
      </c>
      <c r="M574" s="2" t="str"/>
      <c r="N574" s="2" t="str">
        <v>KHAC</v>
      </c>
    </row>
    <row r="575" ht="25" customHeight="1">
      <c r="A575" s="2" t="str">
        <v>Q597</v>
      </c>
      <c r="B575" s="2" t="str">
        <v>KH042</v>
      </c>
      <c r="C575" s="2" t="str">
        <v>KH00002</v>
      </c>
      <c r="D575" s="2" t="str">
        <v>S2-00590-BH</v>
      </c>
      <c r="E575" s="2" t="str">
        <v>BAN_HANG</v>
      </c>
      <c r="F575" s="2" t="str">
        <v>INP2108</v>
      </c>
      <c r="G575" s="2" t="str">
        <v>2026-02-06</v>
      </c>
      <c r="H575" s="2" t="str">
        <v>2449999.98</v>
      </c>
      <c r="I575" s="28" t="n">
        <v>2449999.98</v>
      </c>
      <c r="J575" s="7" t="n">
        <v>2450000</v>
      </c>
      <c r="K575" s="28" t="n">
        <f>J575-I575</f>
        <v>0.02000000001862645</v>
      </c>
      <c r="L575" s="2" t="str">
        <v>NHẬP</v>
      </c>
      <c r="M575" s="2" t="str"/>
      <c r="N575" s="2" t="str">
        <v>KHAC</v>
      </c>
    </row>
    <row r="576" ht="25" customHeight="1">
      <c r="A576" s="2" t="str">
        <v>Q598</v>
      </c>
      <c r="B576" s="2" t="str">
        <v>KH042</v>
      </c>
      <c r="C576" s="2" t="str">
        <v>KH00002</v>
      </c>
      <c r="D576" s="2" t="str">
        <v>S2-00590-BH</v>
      </c>
      <c r="E576" s="2" t="str">
        <v>BAN_HANG</v>
      </c>
      <c r="F576" s="2" t="str">
        <v>INP2109</v>
      </c>
      <c r="G576" s="2" t="str">
        <v>2026-02-06</v>
      </c>
      <c r="H576" s="2" t="str">
        <v>2599999.992</v>
      </c>
      <c r="I576" s="28" t="n">
        <v>2599999.992</v>
      </c>
      <c r="J576" s="7" t="n">
        <v>2600000</v>
      </c>
      <c r="K576" s="28" t="n">
        <f>J576-I576</f>
        <v>0.007999999914318323</v>
      </c>
      <c r="L576" s="2" t="str">
        <v>NHẬP</v>
      </c>
      <c r="M576" s="2" t="str"/>
      <c r="N576" s="2" t="str">
        <v>KHAC</v>
      </c>
    </row>
    <row r="577" ht="25" customHeight="1">
      <c r="A577" s="2" t="str">
        <v>Q599</v>
      </c>
      <c r="B577" s="2" t="str">
        <v>KH042</v>
      </c>
      <c r="C577" s="2" t="str">
        <v>KH00002</v>
      </c>
      <c r="D577" s="2" t="str">
        <v>S2-00590-BH</v>
      </c>
      <c r="E577" s="2" t="str">
        <v>BAN_HANG</v>
      </c>
      <c r="F577" s="2" t="str">
        <v>INP2110</v>
      </c>
      <c r="G577" s="2" t="str">
        <v>2026-02-06</v>
      </c>
      <c r="H577" s="2" t="str">
        <v>2799999.9</v>
      </c>
      <c r="I577" s="28" t="n">
        <v>2799999.9</v>
      </c>
      <c r="J577" s="7" t="n">
        <v>2800000</v>
      </c>
      <c r="K577" s="28" t="n">
        <f>J577-I577</f>
        <v>0.10000000009313226</v>
      </c>
      <c r="L577" s="2" t="str">
        <v>NHẬP</v>
      </c>
      <c r="M577" s="2" t="str"/>
      <c r="N577" s="2" t="str">
        <v>KHAC</v>
      </c>
    </row>
    <row r="578" ht="25" customHeight="1">
      <c r="A578" s="2" t="str">
        <v>Q600</v>
      </c>
      <c r="B578" s="2" t="str">
        <v>KH042</v>
      </c>
      <c r="C578" s="2" t="str">
        <v>KH00002</v>
      </c>
      <c r="D578" s="2" t="str">
        <v>S2-00590-BH</v>
      </c>
      <c r="E578" s="2" t="str">
        <v>BAN_HANG</v>
      </c>
      <c r="F578" s="2" t="str">
        <v>INP2111</v>
      </c>
      <c r="G578" s="2" t="str">
        <v>2026-02-06</v>
      </c>
      <c r="H578" s="2" t="str">
        <v>2994599.916</v>
      </c>
      <c r="I578" s="28" t="n">
        <v>2994599.916</v>
      </c>
      <c r="J578" s="7" t="n">
        <v>2994600</v>
      </c>
      <c r="K578" s="28" t="n">
        <f>J578-I578</f>
        <v>0.08399999979883432</v>
      </c>
      <c r="L578" s="2" t="str">
        <v>NHẬP</v>
      </c>
      <c r="M578" s="2" t="str"/>
      <c r="N578" s="2" t="str">
        <v>KHAC</v>
      </c>
    </row>
    <row r="579" ht="25" customHeight="1">
      <c r="A579" s="2" t="str">
        <v>Q601</v>
      </c>
      <c r="B579" s="2" t="str">
        <v>KH042</v>
      </c>
      <c r="C579" s="2" t="str">
        <v>KH00002</v>
      </c>
      <c r="D579" s="2" t="str">
        <v>S2-00590-BH</v>
      </c>
      <c r="E579" s="2" t="str">
        <v>BAN_HANG</v>
      </c>
      <c r="F579" s="2" t="str">
        <v>INP2202</v>
      </c>
      <c r="G579" s="2" t="str">
        <v>2026-02-06</v>
      </c>
      <c r="H579" s="2" t="str">
        <v>3647999.9808</v>
      </c>
      <c r="I579" s="28" t="n">
        <v>3647999.9808</v>
      </c>
      <c r="J579" s="7" t="n">
        <v>3648000</v>
      </c>
      <c r="K579" s="28" t="n">
        <f>J579-I579</f>
        <v>0.01919999998062849</v>
      </c>
      <c r="L579" s="2" t="str">
        <v>NHẬP</v>
      </c>
      <c r="M579" s="2" t="str"/>
      <c r="N579" s="2" t="str">
        <v>KHAC</v>
      </c>
    </row>
    <row r="580" ht="25" customHeight="1">
      <c r="A580" s="2" t="str">
        <v>R602</v>
      </c>
      <c r="B580" s="2" t="str">
        <v>KH042</v>
      </c>
      <c r="C580" s="2" t="str">
        <v>KH00002</v>
      </c>
      <c r="D580" s="2" t="str">
        <v>S2-00602-TT</v>
      </c>
      <c r="E580" s="2" t="str">
        <v>THU_TIEN</v>
      </c>
      <c r="F580" s="2" t="str"/>
      <c r="G580" s="2" t="str">
        <v>2026-02-07</v>
      </c>
      <c r="H580" s="2" t="str">
        <v>50612004</v>
      </c>
      <c r="I580" s="28" t="n">
        <v>50612004</v>
      </c>
      <c r="J580" s="7" t="n">
        <v>50612004</v>
      </c>
      <c r="K580" s="28" t="n">
        <f>J580-I580</f>
        <v>0</v>
      </c>
      <c r="L580" s="2" t="str">
        <v>NHẬP</v>
      </c>
      <c r="M580" s="2" t="str"/>
      <c r="N580" s="2" t="str">
        <v>KHAC</v>
      </c>
    </row>
    <row r="581" ht="25" customHeight="1">
      <c r="A581" s="2" t="str">
        <v>Q603</v>
      </c>
      <c r="B581" s="2" t="str">
        <v>KH042</v>
      </c>
      <c r="C581" s="2" t="str">
        <v>KH00002</v>
      </c>
      <c r="D581" s="2" t="str">
        <v>S2-00603-BH</v>
      </c>
      <c r="E581" s="2" t="str">
        <v>BAN_HANG</v>
      </c>
      <c r="F581" s="2" t="str">
        <v>INP6001</v>
      </c>
      <c r="G581" s="2" t="str">
        <v>2026-03-13</v>
      </c>
      <c r="H581" s="2" t="str">
        <v>9839999.9232</v>
      </c>
      <c r="I581" s="28" t="n">
        <v>9839999.9232</v>
      </c>
      <c r="J581" s="7" t="n">
        <v>9840000</v>
      </c>
      <c r="K581" s="28" t="n">
        <f>J581-I581</f>
        <v>0.07679999992251396</v>
      </c>
      <c r="L581" s="2" t="str">
        <v>NHẬP</v>
      </c>
      <c r="M581" s="2" t="str"/>
      <c r="N581" s="2" t="str">
        <v>KHAC</v>
      </c>
    </row>
    <row r="582" ht="25" customHeight="1">
      <c r="A582" s="2" t="str">
        <v>Q604</v>
      </c>
      <c r="B582" s="2" t="str">
        <v>KH042</v>
      </c>
      <c r="C582" s="2" t="str">
        <v>KH00002</v>
      </c>
      <c r="D582" s="2" t="str">
        <v>S2-00603-BH</v>
      </c>
      <c r="E582" s="2" t="str">
        <v>BAN_HANG</v>
      </c>
      <c r="F582" s="2" t="str">
        <v>INP6003</v>
      </c>
      <c r="G582" s="2" t="str">
        <v>2026-03-13</v>
      </c>
      <c r="H582" s="2" t="str">
        <v>7359999.984</v>
      </c>
      <c r="I582" s="28" t="n">
        <v>7359999.984</v>
      </c>
      <c r="J582" s="7" t="n">
        <v>7360000</v>
      </c>
      <c r="K582" s="28" t="n">
        <f>J582-I582</f>
        <v>0.015999999828636646</v>
      </c>
      <c r="L582" s="2" t="str">
        <v>NHẬP</v>
      </c>
      <c r="M582" s="2" t="str"/>
      <c r="N582" s="2" t="str">
        <v>KHAC</v>
      </c>
    </row>
    <row r="583" ht="25" customHeight="1">
      <c r="A583" s="2" t="str">
        <v>Q605</v>
      </c>
      <c r="B583" s="2" t="str">
        <v>KH042</v>
      </c>
      <c r="C583" s="2" t="str">
        <v>KH00002</v>
      </c>
      <c r="D583" s="2" t="str">
        <v>S2-00603-BH</v>
      </c>
      <c r="E583" s="2" t="str">
        <v>BAN_HANG</v>
      </c>
      <c r="F583" s="2" t="str">
        <v>INP6201</v>
      </c>
      <c r="G583" s="2" t="str">
        <v>2026-03-13</v>
      </c>
      <c r="H583" s="2" t="str">
        <v>4199999.9472</v>
      </c>
      <c r="I583" s="28" t="n">
        <v>4199999.9472</v>
      </c>
      <c r="J583" s="7" t="n">
        <v>4200000</v>
      </c>
      <c r="K583" s="28" t="n">
        <f>J583-I583</f>
        <v>0.052799999713897705</v>
      </c>
      <c r="L583" s="2" t="str">
        <v>NHẬP</v>
      </c>
      <c r="M583" s="2" t="str"/>
      <c r="N583" s="2" t="str">
        <v>KHAC</v>
      </c>
    </row>
    <row r="584" ht="25" customHeight="1">
      <c r="A584" s="2" t="str">
        <v>Q606</v>
      </c>
      <c r="B584" s="2" t="str">
        <v>KH042</v>
      </c>
      <c r="C584" s="2" t="str">
        <v>KH00002</v>
      </c>
      <c r="D584" s="2" t="str">
        <v>S2-00603-BH</v>
      </c>
      <c r="E584" s="2" t="str">
        <v>BAN_HANG</v>
      </c>
      <c r="F584" s="2" t="str">
        <v>INP6202</v>
      </c>
      <c r="G584" s="2" t="str">
        <v>2026-03-13</v>
      </c>
      <c r="H584" s="2" t="str">
        <v>4223999.9232</v>
      </c>
      <c r="I584" s="28" t="n">
        <v>4223999.9232</v>
      </c>
      <c r="J584" s="7" t="n">
        <v>4224000</v>
      </c>
      <c r="K584" s="28" t="n">
        <f>J584-I584</f>
        <v>0.07679999992251396</v>
      </c>
      <c r="L584" s="2" t="str">
        <v>NHẬP</v>
      </c>
      <c r="M584" s="2" t="str"/>
      <c r="N584" s="2" t="str">
        <v>KHAC</v>
      </c>
    </row>
    <row r="585" ht="25" customHeight="1">
      <c r="A585" s="2" t="str">
        <v>Q607</v>
      </c>
      <c r="B585" s="2" t="str">
        <v>KH042</v>
      </c>
      <c r="C585" s="2" t="str">
        <v>KH00002</v>
      </c>
      <c r="D585" s="2" t="str">
        <v>S2-00603-BH</v>
      </c>
      <c r="E585" s="2" t="str">
        <v>BAN_HANG</v>
      </c>
      <c r="F585" s="2" t="str">
        <v>INP6203</v>
      </c>
      <c r="G585" s="2" t="str">
        <v>2026-03-13</v>
      </c>
      <c r="H585" s="2" t="str">
        <v>4523999.9472</v>
      </c>
      <c r="I585" s="28" t="n">
        <v>4523999.9472</v>
      </c>
      <c r="J585" s="7" t="n">
        <v>4524000</v>
      </c>
      <c r="K585" s="28" t="n">
        <f>J585-I585</f>
        <v>0.052799999713897705</v>
      </c>
      <c r="L585" s="2" t="str">
        <v>NHẬP</v>
      </c>
      <c r="M585" s="2" t="str"/>
      <c r="N585" s="2" t="str">
        <v>KHAC</v>
      </c>
    </row>
    <row r="586" ht="25" customHeight="1">
      <c r="A586" s="2" t="str">
        <v>Q608</v>
      </c>
      <c r="B586" s="2" t="str">
        <v>KH042</v>
      </c>
      <c r="C586" s="2" t="str">
        <v>KH00002</v>
      </c>
      <c r="D586" s="2" t="str">
        <v>S2-00603-BH</v>
      </c>
      <c r="E586" s="2" t="str">
        <v>BAN_HANG</v>
      </c>
      <c r="F586" s="2" t="str">
        <v>INP6204</v>
      </c>
      <c r="G586" s="2" t="str">
        <v>2026-03-13</v>
      </c>
      <c r="H586" s="2" t="str">
        <v>3683999.88</v>
      </c>
      <c r="I586" s="28" t="n">
        <v>3683999.88</v>
      </c>
      <c r="J586" s="7" t="n">
        <v>3684000</v>
      </c>
      <c r="K586" s="28" t="n">
        <f>J586-I586</f>
        <v>0.12000000011175871</v>
      </c>
      <c r="L586" s="2" t="str">
        <v>NHẬP</v>
      </c>
      <c r="M586" s="2" t="str"/>
      <c r="N586" s="2" t="str">
        <v>KHAC</v>
      </c>
    </row>
    <row r="587" ht="25" customHeight="1">
      <c r="A587" s="2" t="str">
        <v>Q609</v>
      </c>
      <c r="B587" s="2" t="str">
        <v>KH042</v>
      </c>
      <c r="C587" s="2" t="str">
        <v>KH00002</v>
      </c>
      <c r="D587" s="2" t="str">
        <v>S2-00603-BH</v>
      </c>
      <c r="E587" s="2" t="str">
        <v>BAN_HANG</v>
      </c>
      <c r="F587" s="2" t="str">
        <v>INP6206</v>
      </c>
      <c r="G587" s="2" t="str">
        <v>2026-03-13</v>
      </c>
      <c r="H587" s="2" t="str">
        <v>3420000.0144</v>
      </c>
      <c r="I587" s="28" t="n">
        <v>3420000.0144</v>
      </c>
      <c r="J587" s="7" t="n">
        <v>3420000</v>
      </c>
      <c r="K587" s="28" t="n">
        <f>J587-I587</f>
        <v>-0.014400000218302011</v>
      </c>
      <c r="L587" s="2" t="str">
        <v>NHẬP</v>
      </c>
      <c r="M587" s="2" t="str"/>
      <c r="N587" s="2" t="str">
        <v>KHAC</v>
      </c>
    </row>
    <row r="588" ht="25" customHeight="1">
      <c r="A588" s="2" t="str">
        <v>Q610</v>
      </c>
      <c r="B588" s="2" t="str">
        <v>KH042</v>
      </c>
      <c r="C588" s="2" t="str">
        <v>KH00002</v>
      </c>
      <c r="D588" s="2" t="str">
        <v>S2-00603-BH</v>
      </c>
      <c r="E588" s="2" t="str">
        <v>BAN_HANG</v>
      </c>
      <c r="F588" s="2" t="str">
        <v>INP6205</v>
      </c>
      <c r="G588" s="2" t="str">
        <v>2026-03-13</v>
      </c>
      <c r="H588" s="2" t="str">
        <v>3635999.928</v>
      </c>
      <c r="I588" s="28" t="n">
        <v>3635999.928</v>
      </c>
      <c r="J588" s="7" t="n">
        <v>3636000</v>
      </c>
      <c r="K588" s="28" t="n">
        <f>J588-I588</f>
        <v>0.07200000016018748</v>
      </c>
      <c r="L588" s="2" t="str">
        <v>NHẬP</v>
      </c>
      <c r="M588" s="2" t="str"/>
      <c r="N588" s="2" t="str">
        <v>KHAC</v>
      </c>
    </row>
    <row r="589" ht="25" customHeight="1">
      <c r="A589" s="2" t="str">
        <v>Q611</v>
      </c>
      <c r="B589" s="2" t="str">
        <v>KH042</v>
      </c>
      <c r="C589" s="2" t="str">
        <v>KH00002</v>
      </c>
      <c r="D589" s="2" t="str">
        <v>S2-00611-BH</v>
      </c>
      <c r="E589" s="2" t="str">
        <v>BAN_HANG</v>
      </c>
      <c r="F589" s="2" t="str">
        <v>INP6002</v>
      </c>
      <c r="G589" s="2" t="str">
        <v>2026-03-13</v>
      </c>
      <c r="H589" s="2" t="str">
        <v>9479999.9808</v>
      </c>
      <c r="I589" s="28" t="n">
        <v>9479999.9808</v>
      </c>
      <c r="J589" s="7" t="n">
        <v>9480000</v>
      </c>
      <c r="K589" s="28" t="n">
        <f>J589-I589</f>
        <v>0.019200000911951065</v>
      </c>
      <c r="L589" s="2" t="str">
        <v>NHẬP</v>
      </c>
      <c r="M589" s="2" t="str"/>
      <c r="N589" s="2" t="str">
        <v>KHAC</v>
      </c>
    </row>
    <row r="590" ht="25" customHeight="1">
      <c r="A590" s="2" t="str">
        <v>Q612</v>
      </c>
      <c r="B590" s="2" t="str">
        <v>KH042</v>
      </c>
      <c r="C590" s="2" t="str">
        <v>KH00002</v>
      </c>
      <c r="D590" s="2" t="str">
        <v>S2-00611-BH</v>
      </c>
      <c r="E590" s="2" t="str">
        <v>BAN_HANG</v>
      </c>
      <c r="F590" s="2" t="str">
        <v>INP6701</v>
      </c>
      <c r="G590" s="2" t="str">
        <v>2026-03-13</v>
      </c>
      <c r="H590" s="2" t="str">
        <v>6239999.9808</v>
      </c>
      <c r="I590" s="28" t="n">
        <v>6239999.9808</v>
      </c>
      <c r="J590" s="7" t="n">
        <v>6240000</v>
      </c>
      <c r="K590" s="28" t="n">
        <f>J590-I590</f>
        <v>0.01919999998062849</v>
      </c>
      <c r="L590" s="2" t="str">
        <v>NHẬP</v>
      </c>
      <c r="M590" s="2" t="str"/>
      <c r="N590" s="2" t="str">
        <v>KHAC</v>
      </c>
    </row>
    <row r="591" ht="25" customHeight="1">
      <c r="A591" s="2" t="str">
        <v>R613</v>
      </c>
      <c r="B591" s="2" t="str">
        <v>KH042</v>
      </c>
      <c r="C591" s="2" t="str">
        <v>KH00002</v>
      </c>
      <c r="D591" s="2" t="str">
        <v>S2-00613-TT</v>
      </c>
      <c r="E591" s="2" t="str">
        <v>THU_TIEN</v>
      </c>
      <c r="F591" s="2" t="str"/>
      <c r="G591" s="2" t="str">
        <v>2026-04-11</v>
      </c>
      <c r="H591" s="2" t="str">
        <v>40000008</v>
      </c>
      <c r="I591" s="28" t="n">
        <v>40000008</v>
      </c>
      <c r="J591" s="7" t="n">
        <v>40000008</v>
      </c>
      <c r="K591" s="28" t="n">
        <f>J591-I591</f>
        <v>0</v>
      </c>
      <c r="L591" s="2" t="str">
        <v>NHẬP</v>
      </c>
      <c r="M591" s="2" t="str"/>
      <c r="N591" s="2" t="str">
        <v>KHAC</v>
      </c>
    </row>
    <row r="592" ht="25" customHeight="1">
      <c r="A592" s="2" t="str">
        <v>Q614</v>
      </c>
      <c r="B592" s="2" t="str">
        <v>KH042</v>
      </c>
      <c r="C592" s="2" t="str">
        <v>KH00002</v>
      </c>
      <c r="D592" s="2" t="str">
        <v>S2-00614-BH</v>
      </c>
      <c r="E592" s="2" t="str">
        <v>BAN_HANG</v>
      </c>
      <c r="F592" s="2" t="str">
        <v>INP1001</v>
      </c>
      <c r="G592" s="2" t="str">
        <v>2026-04-13</v>
      </c>
      <c r="H592" s="2" t="str">
        <v>5189999.94</v>
      </c>
      <c r="I592" s="28" t="n">
        <v>5189999.94</v>
      </c>
      <c r="J592" s="7" t="n">
        <v>5190000</v>
      </c>
      <c r="K592" s="28" t="n">
        <f>J592-I592</f>
        <v>0.05999999959021807</v>
      </c>
      <c r="L592" s="2" t="str">
        <v>NHẬP</v>
      </c>
      <c r="M592" s="2" t="str"/>
      <c r="N592" s="2" t="str">
        <v>KHAC</v>
      </c>
    </row>
    <row r="593" ht="25" customHeight="1">
      <c r="A593" s="2" t="str">
        <v>Q615</v>
      </c>
      <c r="B593" s="2" t="str">
        <v>KH042</v>
      </c>
      <c r="C593" s="2" t="str">
        <v>KH00002</v>
      </c>
      <c r="D593" s="2" t="str">
        <v>S2-00614-BH</v>
      </c>
      <c r="E593" s="2" t="str">
        <v>BAN_HANG</v>
      </c>
      <c r="F593" s="2" t="str">
        <v>INP2110</v>
      </c>
      <c r="G593" s="2" t="str">
        <v>2026-04-13</v>
      </c>
      <c r="H593" s="2" t="str">
        <v>2800000.008</v>
      </c>
      <c r="I593" s="28" t="n">
        <v>2800000.008</v>
      </c>
      <c r="J593" s="7" t="n">
        <v>2800000</v>
      </c>
      <c r="K593" s="28" t="n">
        <f>J593-I593</f>
        <v>-0.007999999914318323</v>
      </c>
      <c r="L593" s="2" t="str">
        <v>NHẬP</v>
      </c>
      <c r="M593" s="2" t="str"/>
      <c r="N593" s="2" t="str">
        <v>KHAC</v>
      </c>
    </row>
    <row r="594" ht="25" customHeight="1">
      <c r="A594" s="2" t="str">
        <v>Q616</v>
      </c>
      <c r="B594" s="2" t="str">
        <v>KH042</v>
      </c>
      <c r="C594" s="2" t="str">
        <v>KH00002</v>
      </c>
      <c r="D594" s="2" t="str">
        <v>S2-00614-BH</v>
      </c>
      <c r="E594" s="2" t="str">
        <v>BAN_HANG</v>
      </c>
      <c r="F594" s="2" t="str">
        <v>INP2109</v>
      </c>
      <c r="G594" s="2" t="str">
        <v>2026-04-13</v>
      </c>
      <c r="H594" s="2" t="str">
        <v>2599999.992</v>
      </c>
      <c r="I594" s="28" t="n">
        <v>2599999.992</v>
      </c>
      <c r="J594" s="7" t="n">
        <v>2600000</v>
      </c>
      <c r="K594" s="28" t="n">
        <f>J594-I594</f>
        <v>0.007999999914318323</v>
      </c>
      <c r="L594" s="2" t="str">
        <v>NHẬP</v>
      </c>
      <c r="M594" s="2" t="str"/>
      <c r="N594" s="2" t="str">
        <v>KHAC</v>
      </c>
    </row>
    <row r="595" ht="25" customHeight="1">
      <c r="A595" s="2" t="str">
        <v>Q617</v>
      </c>
      <c r="B595" s="2" t="str">
        <v>KH042</v>
      </c>
      <c r="C595" s="2" t="str">
        <v>KH00002</v>
      </c>
      <c r="D595" s="2" t="str">
        <v>S2-00614-BH</v>
      </c>
      <c r="E595" s="2" t="str">
        <v>BAN_HANG</v>
      </c>
      <c r="F595" s="2" t="str">
        <v>INP6701</v>
      </c>
      <c r="G595" s="2" t="str">
        <v>2026-04-13</v>
      </c>
      <c r="H595" s="2" t="str">
        <v>3119999.9904</v>
      </c>
      <c r="I595" s="28" t="n">
        <v>3119999.9904</v>
      </c>
      <c r="J595" s="7" t="n">
        <v>3120000</v>
      </c>
      <c r="K595" s="28" t="n">
        <f>J595-I595</f>
        <v>0.009599999990314245</v>
      </c>
      <c r="L595" s="2" t="str">
        <v>NHẬP</v>
      </c>
      <c r="M595" s="2" t="str"/>
      <c r="N595" s="2" t="str">
        <v>KHAC</v>
      </c>
    </row>
    <row r="596" ht="25" customHeight="1">
      <c r="A596" s="2" t="str">
        <v>Q618</v>
      </c>
      <c r="B596" s="2" t="str">
        <v>KH042</v>
      </c>
      <c r="C596" s="2" t="str">
        <v>KH00002</v>
      </c>
      <c r="D596" s="2" t="str">
        <v>S2-00614-BH</v>
      </c>
      <c r="E596" s="2" t="str">
        <v>BAN_HANG</v>
      </c>
      <c r="F596" s="2" t="str">
        <v>INP6001</v>
      </c>
      <c r="G596" s="2" t="str">
        <v>2026-04-13</v>
      </c>
      <c r="H596" s="2" t="str">
        <v>9839999.9232</v>
      </c>
      <c r="I596" s="28" t="n">
        <v>9839999.9232</v>
      </c>
      <c r="J596" s="7" t="n">
        <v>9840000</v>
      </c>
      <c r="K596" s="28" t="n">
        <f>J596-I596</f>
        <v>0.07679999992251396</v>
      </c>
      <c r="L596" s="2" t="str">
        <v>NHẬP</v>
      </c>
      <c r="M596" s="2" t="str"/>
      <c r="N596" s="2" t="str">
        <v>KHAC</v>
      </c>
    </row>
    <row r="597" ht="25" customHeight="1">
      <c r="A597" s="2" t="str">
        <v>Q619</v>
      </c>
      <c r="B597" s="2" t="str">
        <v>KH042</v>
      </c>
      <c r="C597" s="2" t="str">
        <v>KH00002</v>
      </c>
      <c r="D597" s="2" t="str">
        <v>S2-00614-BH</v>
      </c>
      <c r="E597" s="2" t="str">
        <v>BAN_HANG</v>
      </c>
      <c r="F597" s="2" t="str">
        <v>INP6002</v>
      </c>
      <c r="G597" s="2" t="str">
        <v>2026-04-13</v>
      </c>
      <c r="H597" s="2" t="str">
        <v>9479999.9808</v>
      </c>
      <c r="I597" s="28" t="n">
        <v>9479999.9808</v>
      </c>
      <c r="J597" s="7" t="n">
        <v>9480000</v>
      </c>
      <c r="K597" s="28" t="n">
        <f>J597-I597</f>
        <v>0.019200000911951065</v>
      </c>
      <c r="L597" s="2" t="str">
        <v>NHẬP</v>
      </c>
      <c r="M597" s="2" t="str"/>
      <c r="N597" s="2" t="str">
        <v>KHAC</v>
      </c>
    </row>
    <row r="598" ht="25" customHeight="1">
      <c r="A598" s="2" t="str">
        <v>Q620</v>
      </c>
      <c r="B598" s="2" t="str">
        <v>KH042</v>
      </c>
      <c r="C598" s="2" t="str">
        <v>KH00002</v>
      </c>
      <c r="D598" s="2" t="str">
        <v>S2-00614-BH</v>
      </c>
      <c r="E598" s="2" t="str">
        <v>BAN_HANG</v>
      </c>
      <c r="F598" s="2" t="str">
        <v>INP6003</v>
      </c>
      <c r="G598" s="2" t="str">
        <v>2026-04-13</v>
      </c>
      <c r="H598" s="2" t="str">
        <v>7359999.984</v>
      </c>
      <c r="I598" s="28" t="n">
        <v>7359999.984</v>
      </c>
      <c r="J598" s="7" t="n">
        <v>7360000</v>
      </c>
      <c r="K598" s="28" t="n">
        <f>J598-I598</f>
        <v>0.015999999828636646</v>
      </c>
      <c r="L598" s="2" t="str">
        <v>NHẬP</v>
      </c>
      <c r="M598" s="2" t="str"/>
      <c r="N598" s="2" t="str">
        <v>KHAC</v>
      </c>
    </row>
    <row r="599" ht="25" customHeight="1">
      <c r="A599" s="2" t="str">
        <v>Q621</v>
      </c>
      <c r="B599" s="2" t="str">
        <v>KH042</v>
      </c>
      <c r="C599" s="2" t="str">
        <v>KH00002</v>
      </c>
      <c r="D599" s="2" t="str">
        <v>S2-00621-TH</v>
      </c>
      <c r="E599" s="2" t="str">
        <v>TRA_HANG</v>
      </c>
      <c r="F599" s="2" t="str">
        <v>INP1002</v>
      </c>
      <c r="G599" s="2" t="str">
        <v>2026-04-16</v>
      </c>
      <c r="H599" s="2" t="str">
        <v>4193999.9856</v>
      </c>
      <c r="I599" s="28" t="n">
        <v>4193999.9856</v>
      </c>
      <c r="J599" s="7" t="n">
        <v>4194000</v>
      </c>
      <c r="K599" s="28" t="n">
        <f>J599-I599</f>
        <v>0.014400000218302011</v>
      </c>
      <c r="L599" s="2" t="str">
        <v>NHẬP</v>
      </c>
      <c r="M599" s="2" t="str"/>
      <c r="N599" s="2" t="str">
        <v>KHAC</v>
      </c>
    </row>
    <row r="600" ht="25" customHeight="1">
      <c r="A600" s="2" t="str">
        <v>Q622</v>
      </c>
      <c r="B600" s="2" t="str">
        <v>KH042</v>
      </c>
      <c r="C600" s="2" t="str">
        <v>KH00002</v>
      </c>
      <c r="D600" s="2" t="str">
        <v>S2-00622-TH</v>
      </c>
      <c r="E600" s="2" t="str">
        <v>TRA_HANG</v>
      </c>
      <c r="F600" s="2" t="str">
        <v>INP1403</v>
      </c>
      <c r="G600" s="2" t="str">
        <v>2026-04-16</v>
      </c>
      <c r="H600" s="2" t="str">
        <v>2600001.4608</v>
      </c>
      <c r="I600" s="28" t="n">
        <v>2600001.4608</v>
      </c>
      <c r="J600" s="7" t="n">
        <v>2600001</v>
      </c>
      <c r="K600" s="28" t="n">
        <f>J600-I600</f>
        <v>-0.46080000000074506</v>
      </c>
      <c r="L600" s="2" t="str">
        <v>NHẬP</v>
      </c>
      <c r="M600" s="2" t="str"/>
      <c r="N600" s="2" t="str">
        <v>KHAC</v>
      </c>
    </row>
    <row r="601" ht="25" customHeight="1">
      <c r="A601" s="2" t="str">
        <v>Q623</v>
      </c>
      <c r="B601" s="2" t="str">
        <v>KH042</v>
      </c>
      <c r="C601" s="2" t="str">
        <v>KH00002</v>
      </c>
      <c r="D601" s="2" t="str">
        <v>S2-00623-TH</v>
      </c>
      <c r="E601" s="2" t="str">
        <v>TRA_HANG</v>
      </c>
      <c r="F601" s="2" t="str">
        <v>INP6205</v>
      </c>
      <c r="G601" s="2" t="str">
        <v>2026-04-16</v>
      </c>
      <c r="H601" s="2" t="str">
        <v>3635999.928</v>
      </c>
      <c r="I601" s="28" t="n">
        <v>3635999.928</v>
      </c>
      <c r="J601" s="7" t="n">
        <v>3636000</v>
      </c>
      <c r="K601" s="28" t="n">
        <f>J601-I601</f>
        <v>0.07200000016018748</v>
      </c>
      <c r="L601" s="2" t="str">
        <v>NHẬP</v>
      </c>
      <c r="M601" s="2" t="str"/>
      <c r="N601" s="2" t="str">
        <v>KHAC</v>
      </c>
    </row>
    <row r="602" ht="25" customHeight="1">
      <c r="A602" s="2" t="str">
        <v>Q624</v>
      </c>
      <c r="B602" s="2" t="str">
        <v>KH042</v>
      </c>
      <c r="C602" s="2" t="str">
        <v>KH00002</v>
      </c>
      <c r="D602" s="2" t="str">
        <v>S2-00624-BH</v>
      </c>
      <c r="E602" s="2" t="str">
        <v>BAN_HANG</v>
      </c>
      <c r="F602" s="2" t="str">
        <v>INP1003</v>
      </c>
      <c r="G602" s="2" t="str">
        <v>2026-05-05</v>
      </c>
      <c r="H602" s="2" t="str">
        <v>6999999.912</v>
      </c>
      <c r="I602" s="28" t="n">
        <v>6999999.912</v>
      </c>
      <c r="J602" s="7" t="n">
        <v>7000000</v>
      </c>
      <c r="K602" s="28" t="n">
        <f>J602-I602</f>
        <v>0.08800000045448542</v>
      </c>
      <c r="L602" s="2" t="str">
        <v>NHẬP</v>
      </c>
      <c r="M602" s="2" t="str"/>
      <c r="N602" s="2" t="str">
        <v>KHAC</v>
      </c>
    </row>
    <row r="603" ht="25" customHeight="1">
      <c r="A603" s="2" t="str">
        <v>Q625</v>
      </c>
      <c r="B603" s="2" t="str">
        <v>KH042</v>
      </c>
      <c r="C603" s="2" t="str">
        <v>KH00002</v>
      </c>
      <c r="D603" s="2" t="str">
        <v>S2-00624-BH</v>
      </c>
      <c r="E603" s="2" t="str">
        <v>BAN_HANG</v>
      </c>
      <c r="F603" s="2" t="str">
        <v>INP6102</v>
      </c>
      <c r="G603" s="2" t="str">
        <v>2026-05-05</v>
      </c>
      <c r="H603" s="2" t="str">
        <v>12155999.9616</v>
      </c>
      <c r="I603" s="28" t="n">
        <v>12155999.9616</v>
      </c>
      <c r="J603" s="7" t="n">
        <v>12156000</v>
      </c>
      <c r="K603" s="28" t="n">
        <f>J603-I603</f>
        <v>0.03839999996125698</v>
      </c>
      <c r="L603" s="2" t="str">
        <v>NHẬP</v>
      </c>
      <c r="M603" s="2" t="str"/>
      <c r="N603" s="2" t="str">
        <v>KHAC</v>
      </c>
    </row>
    <row r="604" ht="25" customHeight="1">
      <c r="A604" s="2" t="str">
        <v>Q626</v>
      </c>
      <c r="B604" s="2" t="str">
        <v>KH042</v>
      </c>
      <c r="C604" s="2" t="str">
        <v>KH00002</v>
      </c>
      <c r="D604" s="2" t="str">
        <v>S2-00624-BH</v>
      </c>
      <c r="E604" s="2" t="str">
        <v>BAN_HANG</v>
      </c>
      <c r="F604" s="2" t="str">
        <v>INP2002</v>
      </c>
      <c r="G604" s="2" t="str">
        <v>2026-05-05</v>
      </c>
      <c r="H604" s="2" t="str">
        <v>3679999.992</v>
      </c>
      <c r="I604" s="28" t="n">
        <v>3679999.992</v>
      </c>
      <c r="J604" s="7" t="n">
        <v>3680000</v>
      </c>
      <c r="K604" s="28" t="n">
        <f>J604-I604</f>
        <v>0.007999999914318323</v>
      </c>
      <c r="L604" s="2" t="str">
        <v>NHẬP</v>
      </c>
      <c r="M604" s="2" t="str"/>
      <c r="N604" s="2" t="str">
        <v>KHAC</v>
      </c>
    </row>
    <row r="605" ht="25" customHeight="1">
      <c r="A605" s="2" t="str">
        <v>Q627</v>
      </c>
      <c r="B605" s="2" t="str">
        <v>KH042</v>
      </c>
      <c r="C605" s="2" t="str">
        <v>KH00002</v>
      </c>
      <c r="D605" s="2" t="str">
        <v>S2-00624-BH</v>
      </c>
      <c r="E605" s="2" t="str">
        <v>BAN_HANG</v>
      </c>
      <c r="F605" s="2" t="str">
        <v>INP6104</v>
      </c>
      <c r="G605" s="2" t="str">
        <v>2026-05-05</v>
      </c>
      <c r="H605" s="2" t="str">
        <v>13056000.0336</v>
      </c>
      <c r="I605" s="28" t="n">
        <v>13056000.0336</v>
      </c>
      <c r="J605" s="7" t="n">
        <v>13056000</v>
      </c>
      <c r="K605" s="28" t="n">
        <f>J605-I605</f>
        <v>-0.03360000066459179</v>
      </c>
      <c r="L605" s="2" t="str">
        <v>NHẬP</v>
      </c>
      <c r="M605" s="2" t="str"/>
      <c r="N605" s="2" t="str">
        <v>KHAC</v>
      </c>
    </row>
    <row r="606" ht="25" customHeight="1">
      <c r="A606" s="2" t="str">
        <v>Q628</v>
      </c>
      <c r="B606" s="2" t="str">
        <v>KH042</v>
      </c>
      <c r="C606" s="2" t="str">
        <v>KH00002</v>
      </c>
      <c r="D606" s="2" t="str">
        <v>S2-00624-BH</v>
      </c>
      <c r="E606" s="2" t="str">
        <v>BAN_HANG</v>
      </c>
      <c r="F606" s="2" t="str">
        <v>INP2003</v>
      </c>
      <c r="G606" s="2" t="str">
        <v>2026-05-05</v>
      </c>
      <c r="H606" s="2" t="str">
        <v>5120000.0208</v>
      </c>
      <c r="I606" s="28" t="n">
        <v>5120000.0208</v>
      </c>
      <c r="J606" s="7" t="n">
        <v>5120000</v>
      </c>
      <c r="K606" s="28" t="n">
        <f>J606-I606</f>
        <v>-0.020800000056624413</v>
      </c>
      <c r="L606" s="2" t="str">
        <v>NHẬP</v>
      </c>
      <c r="M606" s="2" t="str"/>
      <c r="N606" s="2" t="str">
        <v>KHAC</v>
      </c>
    </row>
    <row r="607" ht="25" customHeight="1">
      <c r="A607" s="2" t="str">
        <v>R630</v>
      </c>
      <c r="B607" s="2" t="str">
        <v>KH042</v>
      </c>
      <c r="C607" s="2" t="str">
        <v>KH00002</v>
      </c>
      <c r="D607" s="2" t="str">
        <v>S2-00630-TT</v>
      </c>
      <c r="E607" s="2" t="str">
        <v>THU_TIEN</v>
      </c>
      <c r="F607" s="2" t="str"/>
      <c r="G607" s="2" t="str">
        <v>2026-05-23</v>
      </c>
      <c r="H607" s="2" t="str">
        <v>40000000</v>
      </c>
      <c r="I607" s="28" t="n">
        <v>40000000</v>
      </c>
      <c r="J607" s="7" t="n">
        <v>40000000</v>
      </c>
      <c r="K607" s="28" t="n">
        <f>J607-I607</f>
        <v>0</v>
      </c>
      <c r="L607" s="2" t="str">
        <v>NHẬP</v>
      </c>
      <c r="M607" s="2" t="str"/>
      <c r="N607" s="2" t="str">
        <v>KHAC</v>
      </c>
    </row>
    <row r="608" ht="25" customHeight="1">
      <c r="A608" s="2" t="str">
        <v>Q631</v>
      </c>
      <c r="B608" s="2" t="str">
        <v>KH042</v>
      </c>
      <c r="C608" s="2" t="str">
        <v>KH00002</v>
      </c>
      <c r="D608" s="2" t="str">
        <v>S2-00631-BH</v>
      </c>
      <c r="E608" s="2" t="str">
        <v>BAN_HANG</v>
      </c>
      <c r="F608" s="2" t="str">
        <v>INP1001</v>
      </c>
      <c r="G608" s="2" t="str">
        <v>2026-06-09</v>
      </c>
      <c r="H608" s="2" t="str">
        <v>5190000.048</v>
      </c>
      <c r="I608" s="28" t="n">
        <v>5190000.048</v>
      </c>
      <c r="J608" s="7" t="n">
        <v>5190000</v>
      </c>
      <c r="K608" s="28" t="n">
        <f>J608-I608</f>
        <v>-0.04800000041723251</v>
      </c>
      <c r="L608" s="2" t="str">
        <v>NHẬP</v>
      </c>
      <c r="M608" s="2" t="str"/>
      <c r="N608" s="2" t="str">
        <v>KHAC</v>
      </c>
    </row>
    <row r="609" ht="25" customHeight="1">
      <c r="A609" s="2" t="str">
        <v>Q632</v>
      </c>
      <c r="B609" s="2" t="str">
        <v>KH042</v>
      </c>
      <c r="C609" s="2" t="str">
        <v>KH00002</v>
      </c>
      <c r="D609" s="2" t="str">
        <v>S2-00631-BH</v>
      </c>
      <c r="E609" s="2" t="str">
        <v>BAN_HANG</v>
      </c>
      <c r="F609" s="2" t="str">
        <v>INP1003</v>
      </c>
      <c r="G609" s="2" t="str">
        <v>2026-06-09</v>
      </c>
      <c r="H609" s="2" t="str">
        <v>13999999.824</v>
      </c>
      <c r="I609" s="28" t="n">
        <v>13999999.824</v>
      </c>
      <c r="J609" s="7" t="n">
        <v>14000000</v>
      </c>
      <c r="K609" s="28" t="n">
        <f>J609-I609</f>
        <v>0.17600000090897083</v>
      </c>
      <c r="L609" s="2" t="str">
        <v>NHẬP</v>
      </c>
      <c r="M609" s="2" t="str"/>
      <c r="N609" s="2" t="str">
        <v>KHAC</v>
      </c>
    </row>
    <row r="610" ht="25" customHeight="1">
      <c r="A610" s="2" t="str">
        <v>Q633</v>
      </c>
      <c r="B610" s="2" t="str">
        <v>KH042</v>
      </c>
      <c r="C610" s="2" t="str">
        <v>KH00002</v>
      </c>
      <c r="D610" s="2" t="str">
        <v>S2-00631-BH</v>
      </c>
      <c r="E610" s="2" t="str">
        <v>BAN_HANG</v>
      </c>
      <c r="F610" s="2" t="str">
        <v>INP2001</v>
      </c>
      <c r="G610" s="2" t="str">
        <v>2026-06-09</v>
      </c>
      <c r="H610" s="2" t="str">
        <v>4508000.0064</v>
      </c>
      <c r="I610" s="28" t="n">
        <v>4508000.0064</v>
      </c>
      <c r="J610" s="7" t="n">
        <v>4508000</v>
      </c>
      <c r="K610" s="28" t="n">
        <f>J610-I610</f>
        <v>-0.006400000303983688</v>
      </c>
      <c r="L610" s="2" t="str">
        <v>NHẬP</v>
      </c>
      <c r="M610" s="2" t="str"/>
      <c r="N610" s="2" t="str">
        <v>KHAC</v>
      </c>
    </row>
    <row r="611" ht="25" customHeight="1">
      <c r="A611" s="2" t="str">
        <v>Q634</v>
      </c>
      <c r="B611" s="2" t="str">
        <v>KH042</v>
      </c>
      <c r="C611" s="2" t="str">
        <v>KH00002</v>
      </c>
      <c r="D611" s="2" t="str">
        <v>S2-00631-BH</v>
      </c>
      <c r="E611" s="2" t="str">
        <v>BAN_HANG</v>
      </c>
      <c r="F611" s="2" t="str">
        <v>INP2002</v>
      </c>
      <c r="G611" s="2" t="str">
        <v>2026-06-09</v>
      </c>
      <c r="H611" s="2" t="str">
        <v>9199999.98</v>
      </c>
      <c r="I611" s="28" t="n">
        <v>9199999.98</v>
      </c>
      <c r="J611" s="7" t="n">
        <v>9200000</v>
      </c>
      <c r="K611" s="28" t="n">
        <f>J611-I611</f>
        <v>0.019999999552965164</v>
      </c>
      <c r="L611" s="2" t="str">
        <v>NHẬP</v>
      </c>
      <c r="M611" s="2" t="str"/>
      <c r="N611" s="2" t="str">
        <v>KHAC</v>
      </c>
    </row>
    <row r="612" ht="25" customHeight="1">
      <c r="A612" s="2" t="str">
        <v>Q635</v>
      </c>
      <c r="B612" s="2" t="str">
        <v>KH042</v>
      </c>
      <c r="C612" s="2" t="str">
        <v>KH00002</v>
      </c>
      <c r="D612" s="2" t="str">
        <v>S2-00631-BH</v>
      </c>
      <c r="E612" s="2" t="str">
        <v>BAN_HANG</v>
      </c>
      <c r="F612" s="2" t="str">
        <v>INP2102</v>
      </c>
      <c r="G612" s="2" t="str">
        <v>2026-06-09</v>
      </c>
      <c r="H612" s="2" t="str">
        <v>2769999.984</v>
      </c>
      <c r="I612" s="28" t="n">
        <v>2769999.984</v>
      </c>
      <c r="J612" s="7" t="n">
        <v>2770000</v>
      </c>
      <c r="K612" s="28" t="n">
        <f>J612-I612</f>
        <v>0.015999999828636646</v>
      </c>
      <c r="L612" s="2" t="str">
        <v>NHẬP</v>
      </c>
      <c r="M612" s="2" t="str"/>
      <c r="N612" s="2" t="str">
        <v>KHAC</v>
      </c>
    </row>
    <row r="613" ht="25" customHeight="1">
      <c r="A613" s="2" t="str">
        <v>Q636</v>
      </c>
      <c r="B613" s="2" t="str">
        <v>KH042</v>
      </c>
      <c r="C613" s="2" t="str">
        <v>KH00002</v>
      </c>
      <c r="D613" s="2" t="str">
        <v>S2-00631-BH</v>
      </c>
      <c r="E613" s="2" t="str">
        <v>BAN_HANG</v>
      </c>
      <c r="F613" s="2" t="str">
        <v>INP2103</v>
      </c>
      <c r="G613" s="2" t="str">
        <v>2026-06-09</v>
      </c>
      <c r="H613" s="2" t="str">
        <v>3039999.984</v>
      </c>
      <c r="I613" s="28" t="n">
        <v>3039999.984</v>
      </c>
      <c r="J613" s="7" t="n">
        <v>3040000</v>
      </c>
      <c r="K613" s="28" t="n">
        <f>J613-I613</f>
        <v>0.015999999828636646</v>
      </c>
      <c r="L613" s="2" t="str">
        <v>NHẬP</v>
      </c>
      <c r="M613" s="2" t="str"/>
      <c r="N613" s="2" t="str">
        <v>KHAC</v>
      </c>
    </row>
    <row r="614" ht="25" customHeight="1">
      <c r="A614" s="2" t="str">
        <v>Q637</v>
      </c>
      <c r="B614" s="2" t="str">
        <v>KH042</v>
      </c>
      <c r="C614" s="2" t="str">
        <v>KH00002</v>
      </c>
      <c r="D614" s="2" t="str">
        <v>S2-00631-BH</v>
      </c>
      <c r="E614" s="2" t="str">
        <v>BAN_HANG</v>
      </c>
      <c r="F614" s="2" t="str">
        <v>INP2104</v>
      </c>
      <c r="G614" s="2" t="str">
        <v>2026-06-09</v>
      </c>
      <c r="H614" s="2" t="str">
        <v>3220000.02</v>
      </c>
      <c r="I614" s="28" t="n">
        <v>3220000.02</v>
      </c>
      <c r="J614" s="7" t="n">
        <v>3220000</v>
      </c>
      <c r="K614" s="28" t="n">
        <f>J614-I614</f>
        <v>-0.02000000001862645</v>
      </c>
      <c r="L614" s="2" t="str">
        <v>NHẬP</v>
      </c>
      <c r="M614" s="2" t="str"/>
      <c r="N614" s="2" t="str">
        <v>KHAC</v>
      </c>
    </row>
    <row r="615" ht="25" customHeight="1">
      <c r="A615" s="2" t="str">
        <v>Q638</v>
      </c>
      <c r="B615" s="2" t="str">
        <v>KH042</v>
      </c>
      <c r="C615" s="2" t="str">
        <v>KH00002</v>
      </c>
      <c r="D615" s="2" t="str">
        <v>S2-00631-BH</v>
      </c>
      <c r="E615" s="2" t="str">
        <v>BAN_HANG</v>
      </c>
      <c r="F615" s="2" t="str">
        <v>INP6701</v>
      </c>
      <c r="G615" s="2" t="str">
        <v>2026-06-09</v>
      </c>
      <c r="H615" s="2" t="str">
        <v>9359999.9712</v>
      </c>
      <c r="I615" s="28" t="n">
        <v>9359999.9712</v>
      </c>
      <c r="J615" s="7" t="n">
        <v>9360000</v>
      </c>
      <c r="K615" s="28" t="n">
        <f>J615-I615</f>
        <v>0.02879999950528145</v>
      </c>
      <c r="L615" s="2" t="str">
        <v>NHẬP</v>
      </c>
      <c r="M615" s="2" t="str"/>
      <c r="N615" s="2" t="str">
        <v>KHAC</v>
      </c>
    </row>
    <row r="616" ht="25" customHeight="1">
      <c r="A616" s="2" t="str">
        <v>Q639</v>
      </c>
      <c r="B616" s="2" t="str">
        <v>KH042</v>
      </c>
      <c r="C616" s="2" t="str">
        <v>KH00002</v>
      </c>
      <c r="D616" s="2" t="str">
        <v>S2-00639-BH</v>
      </c>
      <c r="E616" s="2" t="str">
        <v>BAN_HANG</v>
      </c>
      <c r="F616" s="2" t="str">
        <v>INP6401</v>
      </c>
      <c r="G616" s="2" t="str">
        <v>2026-06-09</v>
      </c>
      <c r="H616" s="2" t="str">
        <v>55000000.08</v>
      </c>
      <c r="I616" s="28" t="n">
        <v>55000000.08</v>
      </c>
      <c r="J616" s="7" t="n">
        <v>55000000</v>
      </c>
      <c r="K616" s="28" t="n">
        <f>J616-I616</f>
        <v>-0.07999999821186066</v>
      </c>
      <c r="L616" s="2" t="str">
        <v>NHẬP</v>
      </c>
      <c r="M616" s="2" t="str"/>
      <c r="N616" s="2" t="str">
        <v>QUAT</v>
      </c>
    </row>
    <row r="617" ht="25" customHeight="1">
      <c r="A617" s="2" t="str">
        <v>Q640</v>
      </c>
      <c r="B617" s="2" t="str">
        <v>KH042</v>
      </c>
      <c r="C617" s="2" t="str">
        <v>KH00002</v>
      </c>
      <c r="D617" s="2" t="str">
        <v>S2-00640-BH</v>
      </c>
      <c r="E617" s="2" t="str">
        <v>BAN_HANG</v>
      </c>
      <c r="F617" s="2" t="str">
        <v>INP6902</v>
      </c>
      <c r="G617" s="2" t="str">
        <v>2026-06-17</v>
      </c>
      <c r="H617" s="2" t="str">
        <v>8799999.948</v>
      </c>
      <c r="I617" s="28" t="n">
        <v>8799999.948</v>
      </c>
      <c r="J617" s="7" t="n">
        <v>8800000</v>
      </c>
      <c r="K617" s="28" t="n">
        <f>J617-I617</f>
        <v>0.05199999921023846</v>
      </c>
      <c r="L617" s="2" t="str">
        <v>NHẬP</v>
      </c>
      <c r="M617" s="2" t="str"/>
      <c r="N617" s="2" t="str">
        <v>KHAC</v>
      </c>
    </row>
    <row r="618" ht="25" customHeight="1">
      <c r="A618" s="2" t="str">
        <v>Q641</v>
      </c>
      <c r="B618" s="2" t="str">
        <v>KH042</v>
      </c>
      <c r="C618" s="2" t="str">
        <v>KH00002</v>
      </c>
      <c r="D618" s="2" t="str">
        <v>S2-00640-BH</v>
      </c>
      <c r="E618" s="2" t="str">
        <v>BAN_HANG</v>
      </c>
      <c r="F618" s="2" t="str">
        <v>INP6903</v>
      </c>
      <c r="G618" s="2" t="str">
        <v>2026-06-17</v>
      </c>
      <c r="H618" s="2" t="str">
        <v>9800000.028</v>
      </c>
      <c r="I618" s="28" t="n">
        <v>9800000.028</v>
      </c>
      <c r="J618" s="7" t="n">
        <v>9800000</v>
      </c>
      <c r="K618" s="28" t="n">
        <f>J618-I618</f>
        <v>-0.02800000086426735</v>
      </c>
      <c r="L618" s="2" t="str">
        <v>NHẬP</v>
      </c>
      <c r="M618" s="2" t="str"/>
      <c r="N618" s="2" t="str">
        <v>KHAC</v>
      </c>
    </row>
    <row r="619" ht="25" customHeight="1">
      <c r="A619" s="2" t="str">
        <v>Q642</v>
      </c>
      <c r="B619" s="2" t="str">
        <v>KH042</v>
      </c>
      <c r="C619" s="2" t="str">
        <v>KH00002</v>
      </c>
      <c r="D619" s="2" t="str">
        <v>S2-00642-BH</v>
      </c>
      <c r="E619" s="2" t="str">
        <v>BAN_HANG</v>
      </c>
      <c r="F619" s="2" t="str">
        <v>INP6402</v>
      </c>
      <c r="G619" s="2" t="str">
        <v>2026-06-23</v>
      </c>
      <c r="H619" s="2" t="str">
        <v>6199999.956</v>
      </c>
      <c r="I619" s="28" t="n">
        <v>6199999.956</v>
      </c>
      <c r="J619" s="7" t="n">
        <v>6200000</v>
      </c>
      <c r="K619" s="28" t="n">
        <f>J619-I619</f>
        <v>0.04399999976158142</v>
      </c>
      <c r="L619" s="2" t="str">
        <v>NHẬP</v>
      </c>
      <c r="M619" s="2" t="str"/>
      <c r="N619" s="2" t="str">
        <v>QUAT</v>
      </c>
    </row>
    <row r="620" ht="25" customHeight="1">
      <c r="A620" s="2" t="str">
        <v>Q643</v>
      </c>
      <c r="B620" s="2" t="str">
        <v>KH042</v>
      </c>
      <c r="C620" s="2" t="str">
        <v>KH00002</v>
      </c>
      <c r="D620" s="2" t="str">
        <v>S2-00643-BH</v>
      </c>
      <c r="E620" s="2" t="str">
        <v>BAN_HANG</v>
      </c>
      <c r="F620" s="2" t="str">
        <v>INP6902</v>
      </c>
      <c r="G620" s="2" t="str">
        <v>2026-06-23</v>
      </c>
      <c r="H620" s="2" t="str">
        <v>17599999.896</v>
      </c>
      <c r="I620" s="28" t="n">
        <v>17599999.896</v>
      </c>
      <c r="J620" s="7" t="n">
        <v>17600000</v>
      </c>
      <c r="K620" s="28" t="n">
        <f>J620-I620</f>
        <v>0.10399999842047691</v>
      </c>
      <c r="L620" s="2" t="str">
        <v>NHẬP</v>
      </c>
      <c r="M620" s="2" t="str"/>
      <c r="N620" s="2" t="str">
        <v>KHAC</v>
      </c>
    </row>
    <row r="621" ht="25" customHeight="1">
      <c r="A621" s="2" t="str">
        <v>Q644</v>
      </c>
      <c r="B621" s="2" t="str">
        <v>KH042</v>
      </c>
      <c r="C621" s="2" t="str">
        <v>KH00002</v>
      </c>
      <c r="D621" s="2" t="str">
        <v>S2-00644-BH</v>
      </c>
      <c r="E621" s="2" t="str">
        <v>BAN_HANG</v>
      </c>
      <c r="F621" s="2" t="str">
        <v>INP6403</v>
      </c>
      <c r="G621" s="2" t="str">
        <v>2026-06-23</v>
      </c>
      <c r="H621" s="2" t="str">
        <v>22499999.856</v>
      </c>
      <c r="I621" s="28" t="n">
        <v>22499999.856</v>
      </c>
      <c r="J621" s="7" t="n">
        <v>22500000</v>
      </c>
      <c r="K621" s="28" t="n">
        <f>J621-I621</f>
        <v>0.14400000125169754</v>
      </c>
      <c r="L621" s="2" t="str">
        <v>NHẬP</v>
      </c>
      <c r="M621" s="2" t="str"/>
      <c r="N621" s="2" t="str">
        <v>QUAT</v>
      </c>
    </row>
    <row r="622" ht="25" customHeight="1">
      <c r="A622" s="2" t="str">
        <v>R645</v>
      </c>
      <c r="B622" s="2" t="str">
        <v>KH042</v>
      </c>
      <c r="C622" s="2" t="str">
        <v>KH00002</v>
      </c>
      <c r="D622" s="2" t="str">
        <v>S2-00645-TT</v>
      </c>
      <c r="E622" s="2" t="str">
        <v>THU_TIEN</v>
      </c>
      <c r="F622" s="2" t="str"/>
      <c r="G622" s="2" t="str">
        <v>2026-06-23</v>
      </c>
      <c r="H622" s="2" t="str">
        <v>50000000</v>
      </c>
      <c r="I622" s="28" t="n">
        <v>50000000</v>
      </c>
      <c r="J622" s="7" t="n">
        <v>50000000</v>
      </c>
      <c r="K622" s="28" t="n">
        <f>J622-I622</f>
        <v>0</v>
      </c>
      <c r="L622" s="2" t="str">
        <v>NHẬP</v>
      </c>
      <c r="M622" s="2" t="str"/>
      <c r="N622" s="2" t="str">
        <v>KHAC</v>
      </c>
    </row>
    <row r="623" ht="25" customHeight="1">
      <c r="A623" s="2" t="str">
        <v>Q646</v>
      </c>
      <c r="B623" s="2" t="str">
        <v>KH042</v>
      </c>
      <c r="C623" s="2" t="str">
        <v>KH00002</v>
      </c>
      <c r="D623" s="2" t="str">
        <v>S2-00646-BH</v>
      </c>
      <c r="E623" s="2" t="str">
        <v>BAN_HANG</v>
      </c>
      <c r="F623" s="2" t="str">
        <v>INP6407</v>
      </c>
      <c r="G623" s="2" t="str">
        <v>2026-06-27</v>
      </c>
      <c r="H623" s="2" t="str">
        <v>4499999.9712</v>
      </c>
      <c r="I623" s="28" t="n">
        <v>4499999.9712</v>
      </c>
      <c r="J623" s="7" t="n">
        <v>4500000</v>
      </c>
      <c r="K623" s="28" t="n">
        <f>J623-I623</f>
        <v>0.028800000436604023</v>
      </c>
      <c r="L623" s="2" t="str">
        <v>NHẬP</v>
      </c>
      <c r="M623" s="2" t="str"/>
      <c r="N623" s="2" t="str">
        <v>QUAT</v>
      </c>
    </row>
    <row r="624" ht="25" customHeight="1">
      <c r="A624" s="2" t="str">
        <v>Q647</v>
      </c>
      <c r="B624" s="2" t="str">
        <v>KH042</v>
      </c>
      <c r="C624" s="2" t="str">
        <v>KH00002</v>
      </c>
      <c r="D624" s="2" t="str">
        <v>S2-00646-BH</v>
      </c>
      <c r="E624" s="2" t="str">
        <v>BAN_HANG</v>
      </c>
      <c r="F624" s="2" t="str">
        <v>INP6409</v>
      </c>
      <c r="G624" s="2" t="str">
        <v>2026-06-27</v>
      </c>
      <c r="H624" s="2" t="str">
        <v>13199999.76</v>
      </c>
      <c r="I624" s="28" t="n">
        <v>13199999.76</v>
      </c>
      <c r="J624" s="7" t="n">
        <v>13200000</v>
      </c>
      <c r="K624" s="28" t="n">
        <f>J624-I624</f>
        <v>0.24000000022351742</v>
      </c>
      <c r="L624" s="2" t="str">
        <v>NHẬP</v>
      </c>
      <c r="M624" s="2" t="str"/>
      <c r="N624" s="2" t="str">
        <v>QUAT</v>
      </c>
    </row>
    <row r="625" ht="25" customHeight="1">
      <c r="A625" s="2" t="str">
        <v>Q648</v>
      </c>
      <c r="B625" s="2" t="str">
        <v>KH042</v>
      </c>
      <c r="C625" s="2" t="str">
        <v>KH00002</v>
      </c>
      <c r="D625" s="2" t="str">
        <v>S2-00646-BH</v>
      </c>
      <c r="E625" s="2" t="str">
        <v>BAN_HANG</v>
      </c>
      <c r="F625" s="2" t="str">
        <v>INP6410</v>
      </c>
      <c r="G625" s="2" t="str">
        <v>2026-06-27</v>
      </c>
      <c r="H625" s="2" t="str">
        <v>7499999.952</v>
      </c>
      <c r="I625" s="28" t="n">
        <v>7499999.952</v>
      </c>
      <c r="J625" s="7" t="n">
        <v>7500000</v>
      </c>
      <c r="K625" s="28" t="n">
        <f>J625-I625</f>
        <v>0.04800000041723251</v>
      </c>
      <c r="L625" s="2" t="str">
        <v>NHẬP</v>
      </c>
      <c r="M625" s="2" t="str"/>
      <c r="N625" s="2" t="str">
        <v>QUAT</v>
      </c>
    </row>
    <row r="626" ht="25" customHeight="1">
      <c r="A626" s="2" t="str">
        <v>Q649</v>
      </c>
      <c r="B626" s="2" t="str">
        <v>KH042</v>
      </c>
      <c r="C626" s="2" t="str">
        <v>KH00002</v>
      </c>
      <c r="D626" s="2" t="str">
        <v>S2-00649-BH</v>
      </c>
      <c r="E626" s="2" t="str">
        <v>BAN_HANG</v>
      </c>
      <c r="F626" s="2" t="str">
        <v>INP6408</v>
      </c>
      <c r="G626" s="2" t="str">
        <v>2026-06-27</v>
      </c>
      <c r="H626" s="2" t="str">
        <v>4999999.968</v>
      </c>
      <c r="I626" s="28" t="n">
        <v>4999999.968</v>
      </c>
      <c r="J626" s="7" t="n">
        <v>5000000</v>
      </c>
      <c r="K626" s="28" t="n">
        <f>J626-I626</f>
        <v>0.03199999965727329</v>
      </c>
      <c r="L626" s="2" t="str">
        <v>NHẬP</v>
      </c>
      <c r="M626" s="2" t="str"/>
      <c r="N626" s="2" t="str">
        <v>QUAT</v>
      </c>
    </row>
    <row r="627" ht="25" customHeight="1">
      <c r="A627" s="2" t="str">
        <v>Q650</v>
      </c>
      <c r="B627" s="2" t="str">
        <v>KH042</v>
      </c>
      <c r="C627" s="2" t="str">
        <v>KH00002</v>
      </c>
      <c r="D627" s="2" t="str">
        <v>S2-00649-BH</v>
      </c>
      <c r="E627" s="2" t="str">
        <v>BAN_HANG</v>
      </c>
      <c r="F627" s="2" t="str">
        <v>INP6411</v>
      </c>
      <c r="G627" s="2" t="str">
        <v>2026-06-27</v>
      </c>
      <c r="H627" s="2" t="str">
        <v>9200000.088</v>
      </c>
      <c r="I627" s="28" t="n">
        <v>9200000.088</v>
      </c>
      <c r="J627" s="7" t="n">
        <v>9200000</v>
      </c>
      <c r="K627" s="28" t="n">
        <f>J627-I627</f>
        <v>-0.08799999952316284</v>
      </c>
      <c r="L627" s="2" t="str">
        <v>NHẬP</v>
      </c>
      <c r="M627" s="2" t="str"/>
      <c r="N627" s="2" t="str">
        <v>QUAT</v>
      </c>
    </row>
    <row r="628" ht="25" customHeight="1">
      <c r="A628" s="2" t="str">
        <v>Q651</v>
      </c>
      <c r="B628" s="2" t="str">
        <v>KH042</v>
      </c>
      <c r="C628" s="2" t="str">
        <v>KH00002</v>
      </c>
      <c r="D628" s="2" t="str">
        <v>S2-00651-BH</v>
      </c>
      <c r="E628" s="2" t="str">
        <v>BAN_HANG</v>
      </c>
      <c r="F628" s="2" t="str">
        <v>INP1202</v>
      </c>
      <c r="G628" s="2" t="str">
        <v>2026-06-29</v>
      </c>
      <c r="H628" s="2" t="str">
        <v>4079999.9808</v>
      </c>
      <c r="I628" s="28" t="n">
        <v>4079999.9808</v>
      </c>
      <c r="J628" s="7" t="n">
        <v>4080000</v>
      </c>
      <c r="K628" s="28" t="n">
        <f>J628-I628</f>
        <v>0.01919999998062849</v>
      </c>
      <c r="L628" s="2" t="str">
        <v>NHẬP</v>
      </c>
      <c r="M628" s="2" t="str"/>
      <c r="N628" s="2" t="str">
        <v>KHAC</v>
      </c>
    </row>
    <row r="629" ht="25" customHeight="1">
      <c r="A629" s="2" t="str">
        <v>Q652</v>
      </c>
      <c r="B629" s="2" t="str">
        <v>KH042</v>
      </c>
      <c r="C629" s="2" t="str">
        <v>KH00002</v>
      </c>
      <c r="D629" s="2" t="str">
        <v>S2-00651-BH</v>
      </c>
      <c r="E629" s="2" t="str">
        <v>BAN_HANG</v>
      </c>
      <c r="F629" s="2" t="str">
        <v>INP1203</v>
      </c>
      <c r="G629" s="2" t="str">
        <v>2026-06-29</v>
      </c>
      <c r="H629" s="2" t="str">
        <v>4255999.9776</v>
      </c>
      <c r="I629" s="28" t="n">
        <v>4255999.9776</v>
      </c>
      <c r="J629" s="7" t="n">
        <v>4256000</v>
      </c>
      <c r="K629" s="28" t="n">
        <f>J629-I629</f>
        <v>0.022400000132620335</v>
      </c>
      <c r="L629" s="2" t="str">
        <v>NHẬP</v>
      </c>
      <c r="M629" s="2" t="str"/>
      <c r="N629" s="2" t="str">
        <v>KHAC</v>
      </c>
    </row>
    <row r="630" ht="25" customHeight="1">
      <c r="A630" s="2" t="str">
        <v>Q653</v>
      </c>
      <c r="B630" s="2" t="str">
        <v>KH042</v>
      </c>
      <c r="C630" s="2" t="str">
        <v>KH00002</v>
      </c>
      <c r="D630" s="2" t="str">
        <v>S2-00651-BH</v>
      </c>
      <c r="E630" s="2" t="str">
        <v>BAN_HANG</v>
      </c>
      <c r="F630" s="2" t="str">
        <v>INP1401</v>
      </c>
      <c r="G630" s="2" t="str">
        <v>2026-06-29</v>
      </c>
      <c r="H630" s="2" t="str">
        <v>10679999.9472</v>
      </c>
      <c r="I630" s="28" t="n">
        <v>10679999.9472</v>
      </c>
      <c r="J630" s="7" t="n">
        <v>10680000</v>
      </c>
      <c r="K630" s="28" t="n">
        <f>J630-I630</f>
        <v>0.052799999713897705</v>
      </c>
      <c r="L630" s="2" t="str">
        <v>NHẬP</v>
      </c>
      <c r="M630" s="2" t="str"/>
      <c r="N630" s="2" t="str">
        <v>KHAC</v>
      </c>
    </row>
    <row r="631" ht="25" customHeight="1">
      <c r="A631" s="2" t="str">
        <v>Q654</v>
      </c>
      <c r="B631" s="2" t="str">
        <v>KH042</v>
      </c>
      <c r="C631" s="2" t="str">
        <v>KH00002</v>
      </c>
      <c r="D631" s="2" t="str">
        <v>S2-00651-BH</v>
      </c>
      <c r="E631" s="2" t="str">
        <v>BAN_HANG</v>
      </c>
      <c r="F631" s="2" t="str">
        <v>INP1402</v>
      </c>
      <c r="G631" s="2" t="str">
        <v>2026-06-29</v>
      </c>
      <c r="H631" s="2" t="str">
        <v>12155999.9616</v>
      </c>
      <c r="I631" s="28" t="n">
        <v>12155999.9616</v>
      </c>
      <c r="J631" s="7" t="n">
        <v>12156000</v>
      </c>
      <c r="K631" s="28" t="n">
        <f>J631-I631</f>
        <v>0.03839999996125698</v>
      </c>
      <c r="L631" s="2" t="str">
        <v>NHẬP</v>
      </c>
      <c r="M631" s="2" t="str"/>
      <c r="N631" s="2" t="str">
        <v>KHAC</v>
      </c>
    </row>
    <row r="632" ht="25" customHeight="1">
      <c r="A632" s="2" t="str">
        <v>Q655</v>
      </c>
      <c r="B632" s="2" t="str">
        <v>KH042</v>
      </c>
      <c r="C632" s="2" t="str">
        <v>KH00002</v>
      </c>
      <c r="D632" s="2" t="str">
        <v>S2-00651-BH</v>
      </c>
      <c r="E632" s="2" t="str">
        <v>BAN_HANG</v>
      </c>
      <c r="F632" s="2" t="str">
        <v>INP2001</v>
      </c>
      <c r="G632" s="2" t="str">
        <v>2026-06-29</v>
      </c>
      <c r="H632" s="2" t="str">
        <v>11270000.016</v>
      </c>
      <c r="I632" s="28" t="n">
        <v>11270000.016</v>
      </c>
      <c r="J632" s="7" t="n">
        <v>11270000</v>
      </c>
      <c r="K632" s="28" t="n">
        <f>J632-I632</f>
        <v>-0.01600000075995922</v>
      </c>
      <c r="L632" s="2" t="str">
        <v>NHẬP</v>
      </c>
      <c r="M632" s="2" t="str"/>
      <c r="N632" s="2" t="str">
        <v>KHAC</v>
      </c>
    </row>
    <row r="633" ht="25" customHeight="1">
      <c r="A633" s="2" t="str">
        <v>Q656</v>
      </c>
      <c r="B633" s="2" t="str">
        <v>KH042</v>
      </c>
      <c r="C633" s="2" t="str">
        <v>KH00002</v>
      </c>
      <c r="D633" s="2" t="str">
        <v>S2-00651-BH</v>
      </c>
      <c r="E633" s="2" t="str">
        <v>BAN_HANG</v>
      </c>
      <c r="F633" s="2" t="str">
        <v>INP2002</v>
      </c>
      <c r="G633" s="2" t="str">
        <v>2026-06-29</v>
      </c>
      <c r="H633" s="2" t="str">
        <v>18399999.96</v>
      </c>
      <c r="I633" s="28" t="n">
        <v>18399999.96</v>
      </c>
      <c r="J633" s="7" t="n">
        <v>18400000</v>
      </c>
      <c r="K633" s="28" t="n">
        <f>J633-I633</f>
        <v>0.03999999910593033</v>
      </c>
      <c r="L633" s="2" t="str">
        <v>NHẬP</v>
      </c>
      <c r="M633" s="2" t="str"/>
      <c r="N633" s="2" t="str">
        <v>KHAC</v>
      </c>
    </row>
    <row r="634" ht="25" customHeight="1">
      <c r="A634" s="2" t="str">
        <v>Q657</v>
      </c>
      <c r="B634" s="2" t="str">
        <v>KH042</v>
      </c>
      <c r="C634" s="2" t="str">
        <v>KH00002</v>
      </c>
      <c r="D634" s="2" t="str">
        <v>S2-00651-BH</v>
      </c>
      <c r="E634" s="2" t="str">
        <v>BAN_HANG</v>
      </c>
      <c r="F634" s="2" t="str">
        <v>INP2101</v>
      </c>
      <c r="G634" s="2" t="str">
        <v>2026-06-29</v>
      </c>
      <c r="H634" s="2" t="str">
        <v>2530000.44</v>
      </c>
      <c r="I634" s="28" t="n">
        <v>2530000.44</v>
      </c>
      <c r="J634" s="7" t="n">
        <v>2530000</v>
      </c>
      <c r="K634" s="28" t="n">
        <f>J634-I634</f>
        <v>-0.43999999994412065</v>
      </c>
      <c r="L634" s="2" t="str">
        <v>NHẬP</v>
      </c>
      <c r="M634" s="2" t="str"/>
      <c r="N634" s="2" t="str">
        <v>KHAC</v>
      </c>
    </row>
    <row r="635" ht="25" customHeight="1">
      <c r="A635" s="2" t="str">
        <v>Q658</v>
      </c>
      <c r="B635" s="2" t="str">
        <v>KH042</v>
      </c>
      <c r="C635" s="2" t="str">
        <v>KH00002</v>
      </c>
      <c r="D635" s="2" t="str">
        <v>S2-00651-BH</v>
      </c>
      <c r="E635" s="2" t="str">
        <v>BAN_HANG</v>
      </c>
      <c r="F635" s="2" t="str">
        <v>INP2105</v>
      </c>
      <c r="G635" s="2" t="str">
        <v>2026-06-29</v>
      </c>
      <c r="H635" s="2" t="str">
        <v>4920000.048</v>
      </c>
      <c r="I635" s="28" t="n">
        <v>4920000.048</v>
      </c>
      <c r="J635" s="7" t="n">
        <v>4920000</v>
      </c>
      <c r="K635" s="28" t="n">
        <f>J635-I635</f>
        <v>-0.04800000041723251</v>
      </c>
      <c r="L635" s="2" t="str">
        <v>NHẬP</v>
      </c>
      <c r="M635" s="2" t="str"/>
      <c r="N635" s="2" t="str">
        <v>KHAC</v>
      </c>
    </row>
    <row r="636" ht="25" customHeight="1">
      <c r="A636" s="2" t="str">
        <v>Q659</v>
      </c>
      <c r="B636" s="2" t="str">
        <v>KH042</v>
      </c>
      <c r="C636" s="2" t="str">
        <v>KH00002</v>
      </c>
      <c r="D636" s="2" t="str">
        <v>S2-00651-BH</v>
      </c>
      <c r="E636" s="2" t="str">
        <v>BAN_HANG</v>
      </c>
      <c r="F636" s="2" t="str">
        <v>INP2106</v>
      </c>
      <c r="G636" s="2" t="str">
        <v>2026-06-29</v>
      </c>
      <c r="H636" s="2" t="str">
        <v>5460000.048</v>
      </c>
      <c r="I636" s="28" t="n">
        <v>5460000.048</v>
      </c>
      <c r="J636" s="7" t="n">
        <v>5460000</v>
      </c>
      <c r="K636" s="28" t="n">
        <f>J636-I636</f>
        <v>-0.04800000041723251</v>
      </c>
      <c r="L636" s="2" t="str">
        <v>NHẬP</v>
      </c>
      <c r="M636" s="2" t="str"/>
      <c r="N636" s="2" t="str">
        <v>KHAC</v>
      </c>
    </row>
    <row r="637" ht="25" customHeight="1">
      <c r="A637" s="2" t="str">
        <v>Q660</v>
      </c>
      <c r="B637" s="2" t="str">
        <v>KH042</v>
      </c>
      <c r="C637" s="2" t="str">
        <v>KH00002</v>
      </c>
      <c r="D637" s="2" t="str">
        <v>S2-00651-BH</v>
      </c>
      <c r="E637" s="2" t="str">
        <v>BAN_HANG</v>
      </c>
      <c r="F637" s="2" t="str">
        <v>INP2202</v>
      </c>
      <c r="G637" s="2" t="str">
        <v>2026-06-29</v>
      </c>
      <c r="H637" s="2" t="str">
        <v>7295999.9616</v>
      </c>
      <c r="I637" s="28" t="n">
        <v>7295999.9616</v>
      </c>
      <c r="J637" s="7" t="n">
        <v>7296000</v>
      </c>
      <c r="K637" s="28" t="n">
        <f>J637-I637</f>
        <v>0.03839999996125698</v>
      </c>
      <c r="L637" s="2" t="str">
        <v>NHẬP</v>
      </c>
      <c r="M637" s="2" t="str"/>
      <c r="N637" s="2" t="str">
        <v>KHAC</v>
      </c>
    </row>
    <row r="638" ht="25" customHeight="1">
      <c r="A638" s="2" t="str">
        <v>Q662</v>
      </c>
      <c r="B638" s="2" t="str">
        <v>KH042</v>
      </c>
      <c r="C638" s="2" t="str">
        <v>KH00002</v>
      </c>
      <c r="D638" s="2" t="str">
        <v>S2-00651-BH</v>
      </c>
      <c r="E638" s="2" t="str">
        <v>BAN_HANG</v>
      </c>
      <c r="F638" s="2" t="str">
        <v>INP6403</v>
      </c>
      <c r="G638" s="2" t="str">
        <v>2026-06-29</v>
      </c>
      <c r="H638" s="2" t="str">
        <v>14999999.904</v>
      </c>
      <c r="I638" s="28" t="n">
        <v>14999999.904</v>
      </c>
      <c r="J638" s="7" t="n">
        <v>15000000</v>
      </c>
      <c r="K638" s="28" t="n">
        <f>J638-I638</f>
        <v>0.09600000083446503</v>
      </c>
      <c r="L638" s="2" t="str">
        <v>NHẬP</v>
      </c>
      <c r="M638" s="2" t="str"/>
      <c r="N638" s="2" t="str">
        <v>QUAT</v>
      </c>
    </row>
    <row r="639" ht="25" customHeight="1">
      <c r="A639" s="2" t="str">
        <v>Q663</v>
      </c>
      <c r="B639" s="2" t="str">
        <v>KH042</v>
      </c>
      <c r="C639" s="2" t="str">
        <v>KH00002</v>
      </c>
      <c r="D639" s="2" t="str">
        <v>S2-00663-BH</v>
      </c>
      <c r="E639" s="2" t="str">
        <v>BAN_HANG</v>
      </c>
      <c r="F639" s="2" t="str">
        <v>INP2108</v>
      </c>
      <c r="G639" s="2" t="str">
        <v>2026-07-13</v>
      </c>
      <c r="H639" s="2" t="str">
        <v>2449999.98</v>
      </c>
      <c r="I639" s="28" t="n">
        <v>2449999.98</v>
      </c>
      <c r="J639" s="7" t="n">
        <v>2450000</v>
      </c>
      <c r="K639" s="28" t="n">
        <f>J639-I639</f>
        <v>0.02000000001862645</v>
      </c>
      <c r="L639" s="2" t="str">
        <v>NHẬP</v>
      </c>
      <c r="M639" s="2" t="str"/>
      <c r="N639" s="2" t="str">
        <v>KHAC</v>
      </c>
    </row>
    <row r="640" ht="25" customHeight="1">
      <c r="A640" s="2" t="str">
        <v>Q664</v>
      </c>
      <c r="B640" s="2" t="str">
        <v>KH042</v>
      </c>
      <c r="C640" s="2" t="str">
        <v>KH00002</v>
      </c>
      <c r="D640" s="2" t="str">
        <v>S2-00663-BH</v>
      </c>
      <c r="E640" s="2" t="str">
        <v>BAN_HANG</v>
      </c>
      <c r="F640" s="2" t="str">
        <v>INP2109</v>
      </c>
      <c r="G640" s="2" t="str">
        <v>2026-07-13</v>
      </c>
      <c r="H640" s="2" t="str">
        <v>2599999.992</v>
      </c>
      <c r="I640" s="28" t="n">
        <v>2599999.992</v>
      </c>
      <c r="J640" s="7" t="n">
        <v>2600000</v>
      </c>
      <c r="K640" s="28" t="n">
        <f>J640-I640</f>
        <v>0.007999999914318323</v>
      </c>
      <c r="L640" s="2" t="str">
        <v>NHẬP</v>
      </c>
      <c r="M640" s="2" t="str"/>
      <c r="N640" s="2" t="str">
        <v>KHAC</v>
      </c>
    </row>
    <row r="641" ht="25" customHeight="1">
      <c r="A641" s="2" t="str">
        <v>Q665</v>
      </c>
      <c r="B641" s="2" t="str">
        <v>KH042</v>
      </c>
      <c r="C641" s="2" t="str">
        <v>KH00002</v>
      </c>
      <c r="D641" s="2" t="str">
        <v>S2-00663-BH</v>
      </c>
      <c r="E641" s="2" t="str">
        <v>BAN_HANG</v>
      </c>
      <c r="F641" s="2" t="str">
        <v>INP2110</v>
      </c>
      <c r="G641" s="2" t="str">
        <v>2026-07-13</v>
      </c>
      <c r="H641" s="2" t="str">
        <v>2799999.9</v>
      </c>
      <c r="I641" s="28" t="n">
        <v>2799999.9</v>
      </c>
      <c r="J641" s="7" t="n">
        <v>2800000</v>
      </c>
      <c r="K641" s="28" t="n">
        <f>J641-I641</f>
        <v>0.10000000009313226</v>
      </c>
      <c r="L641" s="2" t="str">
        <v>NHẬP</v>
      </c>
      <c r="M641" s="2" t="str"/>
      <c r="N641" s="2" t="str">
        <v>KHAC</v>
      </c>
    </row>
    <row r="642" ht="25" customHeight="1">
      <c r="A642" s="2" t="str">
        <v>Q666</v>
      </c>
      <c r="B642" s="2" t="str">
        <v>KH042</v>
      </c>
      <c r="C642" s="2" t="str">
        <v>KH00002</v>
      </c>
      <c r="D642" s="2" t="str">
        <v>S2-00663-BH</v>
      </c>
      <c r="E642" s="2" t="str">
        <v>BAN_HANG</v>
      </c>
      <c r="F642" s="2" t="str">
        <v>INP2111</v>
      </c>
      <c r="G642" s="2" t="str">
        <v>2026-07-13</v>
      </c>
      <c r="H642" s="2" t="str">
        <v>2994599.916</v>
      </c>
      <c r="I642" s="28" t="n">
        <v>2994599.916</v>
      </c>
      <c r="J642" s="7" t="n">
        <v>2994600</v>
      </c>
      <c r="K642" s="28" t="n">
        <f>J642-I642</f>
        <v>0.08399999979883432</v>
      </c>
      <c r="L642" s="2" t="str">
        <v>NHẬP</v>
      </c>
      <c r="M642" s="2" t="str"/>
      <c r="N642" s="2" t="str">
        <v>KHAC</v>
      </c>
    </row>
    <row r="643" ht="25" customHeight="1">
      <c r="A643" s="2" t="str">
        <v>Q667</v>
      </c>
      <c r="B643" s="2" t="str">
        <v>KH042</v>
      </c>
      <c r="C643" s="2" t="str">
        <v>KH00002</v>
      </c>
      <c r="D643" s="2" t="str">
        <v>S2-00663-BH</v>
      </c>
      <c r="E643" s="2" t="str">
        <v>BAN_HANG</v>
      </c>
      <c r="F643" s="2" t="str">
        <v>INP2002</v>
      </c>
      <c r="G643" s="2" t="str">
        <v>2026-07-13</v>
      </c>
      <c r="H643" s="2" t="str">
        <v>9199999.98</v>
      </c>
      <c r="I643" s="28" t="n">
        <v>9199999.98</v>
      </c>
      <c r="J643" s="7" t="n">
        <v>9200000</v>
      </c>
      <c r="K643" s="28" t="n">
        <f>J643-I643</f>
        <v>0.019999999552965164</v>
      </c>
      <c r="L643" s="2" t="str">
        <v>NHẬP</v>
      </c>
      <c r="M643" s="2" t="str"/>
      <c r="N643" s="2" t="str">
        <v>KHAC</v>
      </c>
    </row>
    <row r="644" ht="25" customHeight="1">
      <c r="A644" s="2" t="str">
        <v>Q668</v>
      </c>
      <c r="B644" s="2" t="str">
        <v>KH042</v>
      </c>
      <c r="C644" s="2" t="str">
        <v>KH00002</v>
      </c>
      <c r="D644" s="2" t="str">
        <v>S2-00663-BH</v>
      </c>
      <c r="E644" s="2" t="str">
        <v>BAN_HANG</v>
      </c>
      <c r="F644" s="2" t="str">
        <v>INP1001</v>
      </c>
      <c r="G644" s="2" t="str">
        <v>2026-07-13</v>
      </c>
      <c r="H644" s="2" t="str">
        <v>5190000.048</v>
      </c>
      <c r="I644" s="28" t="n">
        <v>5190000.048</v>
      </c>
      <c r="J644" s="7" t="n">
        <v>5190000</v>
      </c>
      <c r="K644" s="28" t="n">
        <f>J644-I644</f>
        <v>-0.04800000041723251</v>
      </c>
      <c r="L644" s="2" t="str">
        <v>NHẬP</v>
      </c>
      <c r="M644" s="2" t="str"/>
      <c r="N644" s="2" t="str">
        <v>KHAC</v>
      </c>
    </row>
    <row r="645" ht="25" customHeight="1">
      <c r="A645" s="2" t="str">
        <v>Q669</v>
      </c>
      <c r="B645" s="2" t="str">
        <v>KH042</v>
      </c>
      <c r="C645" s="2" t="str">
        <v>KH00002</v>
      </c>
      <c r="D645" s="2" t="str">
        <v>S2-00663-BH</v>
      </c>
      <c r="E645" s="2" t="str">
        <v>BAN_HANG</v>
      </c>
      <c r="F645" s="2" t="str">
        <v>INP3001</v>
      </c>
      <c r="G645" s="2" t="str">
        <v>2026-07-13</v>
      </c>
      <c r="H645" s="2" t="str">
        <v>712000.0008</v>
      </c>
      <c r="I645" s="28" t="n">
        <v>712000.0008</v>
      </c>
      <c r="J645" s="7" t="n">
        <v>712000</v>
      </c>
      <c r="K645" s="28" t="n">
        <f>J645-I645</f>
        <v>-0.000800000037997961</v>
      </c>
      <c r="L645" s="2" t="str">
        <v>NHẬP</v>
      </c>
      <c r="M645" s="2" t="str"/>
      <c r="N645" s="2" t="str">
        <v>KHAC</v>
      </c>
    </row>
    <row r="646" ht="25" customHeight="1">
      <c r="A646" s="2" t="str">
        <v>Q670</v>
      </c>
      <c r="B646" s="2" t="str">
        <v>KH042</v>
      </c>
      <c r="C646" s="2" t="str">
        <v>KH00002</v>
      </c>
      <c r="D646" s="2" t="str">
        <v>S2-00663-BH</v>
      </c>
      <c r="E646" s="2" t="str">
        <v>BAN_HANG</v>
      </c>
      <c r="F646" s="2" t="str">
        <v>INP3002</v>
      </c>
      <c r="G646" s="2" t="str">
        <v>2026-07-13</v>
      </c>
      <c r="H646" s="2" t="str">
        <v>614999.9952</v>
      </c>
      <c r="I646" s="28" t="n">
        <v>614999.9952</v>
      </c>
      <c r="J646" s="7" t="n">
        <v>615000</v>
      </c>
      <c r="K646" s="28" t="n">
        <f>J646-I646</f>
        <v>0.004799999995157123</v>
      </c>
      <c r="L646" s="2" t="str">
        <v>NHẬP</v>
      </c>
      <c r="M646" s="2" t="str"/>
      <c r="N646" s="2" t="str">
        <v>KHAC</v>
      </c>
    </row>
    <row r="647" ht="25" customHeight="1">
      <c r="A647" s="2" t="str">
        <v>Q671</v>
      </c>
      <c r="B647" s="2" t="str">
        <v>KH042</v>
      </c>
      <c r="C647" s="2" t="str">
        <v>KH00002</v>
      </c>
      <c r="D647" s="2" t="str">
        <v>S2-00663-BH</v>
      </c>
      <c r="E647" s="2" t="str">
        <v>BAN_HANG</v>
      </c>
      <c r="F647" s="2" t="str">
        <v>INP3003</v>
      </c>
      <c r="G647" s="2" t="str">
        <v>2026-07-13</v>
      </c>
      <c r="H647" s="2" t="str">
        <v>609999.9948</v>
      </c>
      <c r="I647" s="28" t="n">
        <v>609999.9948</v>
      </c>
      <c r="J647" s="7" t="n">
        <v>610000</v>
      </c>
      <c r="K647" s="28" t="n">
        <f>J647-I647</f>
        <v>0.005200000014156103</v>
      </c>
      <c r="L647" s="2" t="str">
        <v>NHẬP</v>
      </c>
      <c r="M647" s="2" t="str"/>
      <c r="N647" s="2" t="str">
        <v>KHAC</v>
      </c>
    </row>
    <row r="648" ht="25" customHeight="1">
      <c r="A648" s="2" t="str">
        <v>Q672</v>
      </c>
      <c r="B648" s="2" t="str">
        <v>KH042</v>
      </c>
      <c r="C648" s="2" t="str">
        <v>KH00002</v>
      </c>
      <c r="D648" s="2" t="str">
        <v>S2-00663-BH</v>
      </c>
      <c r="E648" s="2" t="str">
        <v>BAN_HANG</v>
      </c>
      <c r="F648" s="2" t="str">
        <v>INP3201</v>
      </c>
      <c r="G648" s="2" t="str">
        <v>2026-07-13</v>
      </c>
      <c r="H648" s="2" t="str">
        <v>629999.9856</v>
      </c>
      <c r="I648" s="28" t="n">
        <v>629999.9856</v>
      </c>
      <c r="J648" s="7" t="n">
        <v>630000</v>
      </c>
      <c r="K648" s="28" t="n">
        <f>J648-I648</f>
        <v>0.014399999985471368</v>
      </c>
      <c r="L648" s="2" t="str">
        <v>NHẬP</v>
      </c>
      <c r="M648" s="2" t="str"/>
      <c r="N648" s="2" t="str">
        <v>KHAC</v>
      </c>
    </row>
    <row r="649" ht="25" customHeight="1">
      <c r="A649" s="2" t="str">
        <v>Q673</v>
      </c>
      <c r="B649" s="2" t="str">
        <v>KH042</v>
      </c>
      <c r="C649" s="2" t="str">
        <v>KH00002</v>
      </c>
      <c r="D649" s="2" t="str">
        <v>S2-00673-BH</v>
      </c>
      <c r="E649" s="2" t="str">
        <v>BAN_HANG</v>
      </c>
      <c r="F649" s="2" t="str">
        <v>INP6901</v>
      </c>
      <c r="G649" s="2" t="str">
        <v>2026-07-13</v>
      </c>
      <c r="H649" s="2" t="str">
        <v>7439999.9904</v>
      </c>
      <c r="I649" s="28" t="n">
        <v>7439999.9904</v>
      </c>
      <c r="J649" s="7" t="n">
        <v>7440000</v>
      </c>
      <c r="K649" s="28" t="n">
        <f>J649-I649</f>
        <v>0.009600000455975533</v>
      </c>
      <c r="L649" s="2" t="str">
        <v>NHẬP</v>
      </c>
      <c r="M649" s="2" t="str"/>
      <c r="N649" s="2" t="str">
        <v>KHAC</v>
      </c>
    </row>
    <row r="650" ht="25" customHeight="1">
      <c r="A650" s="2" t="str">
        <v>Q674</v>
      </c>
      <c r="B650" s="2" t="str">
        <v>KH042</v>
      </c>
      <c r="C650" s="2" t="str">
        <v>KH00002</v>
      </c>
      <c r="D650" s="2" t="str">
        <v>S2-00674-BH</v>
      </c>
      <c r="E650" s="2" t="str">
        <v>BAN_HANG</v>
      </c>
      <c r="F650" s="2" t="str">
        <v>INP6902</v>
      </c>
      <c r="G650" s="2" t="str">
        <v>2026-07-13</v>
      </c>
      <c r="H650" s="2" t="str">
        <v>17599999.896</v>
      </c>
      <c r="I650" s="28" t="n">
        <v>17599999.896</v>
      </c>
      <c r="J650" s="7" t="n">
        <v>17600000</v>
      </c>
      <c r="K650" s="28" t="n">
        <f>J650-I650</f>
        <v>0.10399999842047691</v>
      </c>
      <c r="L650" s="2" t="str">
        <v>NHẬP</v>
      </c>
      <c r="M650" s="2" t="str"/>
      <c r="N650" s="2" t="str">
        <v>KHAC</v>
      </c>
    </row>
    <row r="651" ht="25" customHeight="1">
      <c r="A651" s="2" t="str">
        <v>Q675</v>
      </c>
      <c r="B651" s="2" t="str">
        <v>KH042</v>
      </c>
      <c r="C651" s="2" t="str">
        <v>KH00002</v>
      </c>
      <c r="D651" s="2" t="str">
        <v>S2-00675-BH</v>
      </c>
      <c r="E651" s="2" t="str">
        <v>BAN_HANG</v>
      </c>
      <c r="F651" s="2" t="str">
        <v>INP6105</v>
      </c>
      <c r="G651" s="2" t="str">
        <v>2026-07-13</v>
      </c>
      <c r="H651" s="2" t="str">
        <v>8760000.0528</v>
      </c>
      <c r="I651" s="28" t="n">
        <v>8760000.0528</v>
      </c>
      <c r="J651" s="7" t="n">
        <v>8760000</v>
      </c>
      <c r="K651" s="28" t="n">
        <f>J651-I651</f>
        <v>-0.052799999713897705</v>
      </c>
      <c r="L651" s="2" t="str">
        <v>NHẬP</v>
      </c>
      <c r="M651" s="2" t="str"/>
      <c r="N651" s="2" t="str">
        <v>KHAC</v>
      </c>
    </row>
    <row r="652" ht="25" customHeight="1">
      <c r="A652" s="2" t="str">
        <v>Q677</v>
      </c>
      <c r="B652" s="2" t="str">
        <v>KH042</v>
      </c>
      <c r="C652" s="2" t="str">
        <v>KH00002</v>
      </c>
      <c r="D652" s="2" t="str">
        <v>S2-00677-BH</v>
      </c>
      <c r="E652" s="2" t="str">
        <v>BAN_HANG</v>
      </c>
      <c r="F652" s="2" t="str">
        <v>INP6901</v>
      </c>
      <c r="G652" s="2" t="str">
        <v>2026-07-20</v>
      </c>
      <c r="H652" s="2" t="str">
        <v>18599999.976</v>
      </c>
      <c r="I652" s="28" t="n">
        <v>18599999.976</v>
      </c>
      <c r="J652" s="7" t="n">
        <v>18600000</v>
      </c>
      <c r="K652" s="28" t="n">
        <f>J652-I652</f>
        <v>0.024000000208616257</v>
      </c>
      <c r="L652" s="2" t="str">
        <v>NHẬP</v>
      </c>
      <c r="M652" s="2" t="str"/>
      <c r="N652" s="2" t="str">
        <v>KHAC</v>
      </c>
    </row>
    <row r="653" ht="25" customHeight="1">
      <c r="A653" s="2" t="str">
        <v>R678</v>
      </c>
      <c r="B653" s="2" t="str">
        <v>KH042</v>
      </c>
      <c r="C653" s="2" t="str">
        <v>KH00002</v>
      </c>
      <c r="D653" s="2" t="str">
        <v>S2-00678-TT</v>
      </c>
      <c r="E653" s="2" t="str">
        <v>THU_TIEN</v>
      </c>
      <c r="F653" s="2" t="str"/>
      <c r="G653" s="2" t="str">
        <v>2026-07-25</v>
      </c>
      <c r="H653" s="2" t="str">
        <v>45000000</v>
      </c>
      <c r="I653" s="28" t="n">
        <v>45000000</v>
      </c>
      <c r="J653" s="7" t="n">
        <v>45000000</v>
      </c>
      <c r="K653" s="28" t="n">
        <f>J653-I653</f>
        <v>0</v>
      </c>
      <c r="L653" s="2" t="str">
        <v>NHẬP</v>
      </c>
      <c r="M653" s="2" t="str"/>
      <c r="N653" s="2" t="str">
        <v>KHAC</v>
      </c>
    </row>
    <row r="654" ht="25" customHeight="1">
      <c r="A654" s="2" t="str">
        <v>Q679</v>
      </c>
      <c r="B654" s="2" t="str">
        <v>KH042</v>
      </c>
      <c r="C654" s="2" t="str">
        <v>KH00002</v>
      </c>
      <c r="D654" s="2" t="str">
        <v>S2-00679-BH</v>
      </c>
      <c r="E654" s="2" t="str">
        <v>BAN_HANG</v>
      </c>
      <c r="F654" s="2" t="str">
        <v>INP6004</v>
      </c>
      <c r="G654" s="2" t="str">
        <v>2026-07-29</v>
      </c>
      <c r="H654" s="2" t="str">
        <v>8789999.958</v>
      </c>
      <c r="I654" s="28" t="n">
        <v>8789999.958</v>
      </c>
      <c r="J654" s="7" t="n">
        <v>8790000</v>
      </c>
      <c r="K654" s="28" t="n">
        <f>J654-I654</f>
        <v>0.041999999433755875</v>
      </c>
      <c r="L654" s="2" t="str">
        <v>NHẬP</v>
      </c>
      <c r="M654" s="2" t="str"/>
      <c r="N654" s="2" t="str">
        <v>KHAC</v>
      </c>
    </row>
    <row r="655" ht="25" customHeight="1">
      <c r="A655" s="2" t="str">
        <v>Q680</v>
      </c>
      <c r="B655" s="2" t="str">
        <v>KH042</v>
      </c>
      <c r="C655" s="2" t="str">
        <v>KH00002</v>
      </c>
      <c r="D655" s="2" t="str">
        <v>S2-00679-BH</v>
      </c>
      <c r="E655" s="2" t="str">
        <v>BAN_HANG</v>
      </c>
      <c r="F655" s="2" t="str">
        <v>INP6005</v>
      </c>
      <c r="G655" s="2" t="str">
        <v>2026-07-29</v>
      </c>
      <c r="H655" s="2" t="str">
        <v>10439999.928</v>
      </c>
      <c r="I655" s="28" t="n">
        <v>10439999.928</v>
      </c>
      <c r="J655" s="7" t="n">
        <v>10440000</v>
      </c>
      <c r="K655" s="28" t="n">
        <f>J655-I655</f>
        <v>0.07200000062584877</v>
      </c>
      <c r="L655" s="2" t="str">
        <v>NHẬP</v>
      </c>
      <c r="M655" s="2" t="str"/>
      <c r="N655" s="2" t="str">
        <v>KHAC</v>
      </c>
    </row>
    <row r="656" ht="25" customHeight="1">
      <c r="A656" s="2" t="str">
        <v>Q681</v>
      </c>
      <c r="B656" s="2" t="str">
        <v>KH042</v>
      </c>
      <c r="C656" s="2" t="str">
        <v>KH00002</v>
      </c>
      <c r="D656" s="2" t="str">
        <v>S2-00679-BH</v>
      </c>
      <c r="E656" s="2" t="str">
        <v>BAN_HANG</v>
      </c>
      <c r="F656" s="2" t="str">
        <v>INP6006</v>
      </c>
      <c r="G656" s="2" t="str">
        <v>2026-07-29</v>
      </c>
      <c r="H656" s="2" t="str">
        <v>25650000.108</v>
      </c>
      <c r="I656" s="28" t="n">
        <v>25650000.108</v>
      </c>
      <c r="J656" s="7" t="n">
        <v>25650000</v>
      </c>
      <c r="K656" s="28" t="n">
        <f>J656-I656</f>
        <v>-0.107999999076128</v>
      </c>
      <c r="L656" s="2" t="str">
        <v>NHẬP</v>
      </c>
      <c r="M656" s="2" t="str"/>
      <c r="N656" s="2" t="str">
        <v>KHAC</v>
      </c>
    </row>
    <row r="657" ht="25" customHeight="1">
      <c r="A657" s="2" t="str">
        <v>Q682</v>
      </c>
      <c r="B657" s="2" t="str">
        <v>KH042</v>
      </c>
      <c r="C657" s="2" t="str">
        <v>KH00002</v>
      </c>
      <c r="D657" s="2" t="str">
        <v>S2-00679-BH</v>
      </c>
      <c r="E657" s="2" t="str">
        <v>BAN_HANG</v>
      </c>
      <c r="F657" s="2" t="str">
        <v>INP6007</v>
      </c>
      <c r="G657" s="2" t="str">
        <v>2026-07-29</v>
      </c>
      <c r="H657" s="2" t="str">
        <v>30600000.018</v>
      </c>
      <c r="I657" s="28" t="n">
        <v>30600000.018</v>
      </c>
      <c r="J657" s="7" t="n">
        <v>30600000</v>
      </c>
      <c r="K657" s="28" t="n">
        <f>J657-I657</f>
        <v>-0.017999999225139618</v>
      </c>
      <c r="L657" s="2" t="str">
        <v>NHẬP</v>
      </c>
      <c r="M657" s="2" t="str"/>
      <c r="N657" s="2" t="str">
        <v>KHAC</v>
      </c>
    </row>
    <row r="658" ht="25" customHeight="1">
      <c r="A658" s="2" t="str">
        <v>Q683</v>
      </c>
      <c r="B658" s="2" t="str">
        <v>KH042</v>
      </c>
      <c r="C658" s="2" t="str">
        <v>KH00002</v>
      </c>
      <c r="D658" s="2" t="str">
        <v>S2-00679-BH</v>
      </c>
      <c r="E658" s="2" t="str">
        <v>BAN_HANG</v>
      </c>
      <c r="F658" s="2" t="str">
        <v>INP6008</v>
      </c>
      <c r="G658" s="2" t="str">
        <v>2026-07-29</v>
      </c>
      <c r="H658" s="2" t="str">
        <v>9299999.934</v>
      </c>
      <c r="I658" s="28" t="n">
        <v>9299999.934</v>
      </c>
      <c r="J658" s="7" t="n">
        <v>9300000</v>
      </c>
      <c r="K658" s="28" t="n">
        <f>J658-I658</f>
        <v>0.06599999964237213</v>
      </c>
      <c r="L658" s="2" t="str">
        <v>NHẬP</v>
      </c>
      <c r="M658" s="2" t="str"/>
      <c r="N658" s="2" t="str">
        <v>KHAC</v>
      </c>
    </row>
    <row r="659" ht="25" customHeight="1">
      <c r="A659" s="2" t="str">
        <v>Q684</v>
      </c>
      <c r="B659" s="2" t="str">
        <v>KH042</v>
      </c>
      <c r="C659" s="2" t="str">
        <v>KH00002</v>
      </c>
      <c r="D659" s="2" t="str">
        <v>S2-00679-BH</v>
      </c>
      <c r="E659" s="2" t="str">
        <v>BAN_HANG</v>
      </c>
      <c r="F659" s="2" t="str">
        <v>INP6009</v>
      </c>
      <c r="G659" s="2" t="str">
        <v>2026-07-29</v>
      </c>
      <c r="H659" s="2" t="str">
        <v>11249999.928</v>
      </c>
      <c r="I659" s="28" t="n">
        <v>11249999.928</v>
      </c>
      <c r="J659" s="7" t="n">
        <v>11250000</v>
      </c>
      <c r="K659" s="28" t="n">
        <f>J659-I659</f>
        <v>0.07200000062584877</v>
      </c>
      <c r="L659" s="2" t="str">
        <v>NHẬP</v>
      </c>
      <c r="M659" s="2" t="str"/>
      <c r="N659" s="2" t="str">
        <v>KHAC</v>
      </c>
    </row>
    <row r="660" ht="25" customHeight="1">
      <c r="A660" s="2" t="str">
        <v>Q685</v>
      </c>
      <c r="B660" s="2" t="str">
        <v>KH042</v>
      </c>
      <c r="C660" s="2" t="str">
        <v>KH00002</v>
      </c>
      <c r="D660" s="2" t="str">
        <v>S2-00679-BH</v>
      </c>
      <c r="E660" s="2" t="str">
        <v>BAN_HANG</v>
      </c>
      <c r="F660" s="2" t="str">
        <v>INP6010</v>
      </c>
      <c r="G660" s="2" t="str">
        <v>2026-07-29</v>
      </c>
      <c r="H660" s="2" t="str">
        <v>7799999.976</v>
      </c>
      <c r="I660" s="28" t="n">
        <v>7799999.976</v>
      </c>
      <c r="J660" s="7" t="n">
        <v>7800000</v>
      </c>
      <c r="K660" s="28" t="n">
        <f>J660-I660</f>
        <v>0.024000000208616257</v>
      </c>
      <c r="L660" s="2" t="str">
        <v>NHẬP</v>
      </c>
      <c r="M660" s="2" t="str"/>
      <c r="N660" s="2" t="str">
        <v>KHAC</v>
      </c>
    </row>
    <row r="661" ht="25" customHeight="1">
      <c r="A661" s="2" t="str">
        <v>Q686</v>
      </c>
      <c r="B661" s="2" t="str">
        <v>KH042</v>
      </c>
      <c r="C661" s="2" t="str">
        <v>KH00002</v>
      </c>
      <c r="D661" s="2" t="str">
        <v>S2-00679-BH</v>
      </c>
      <c r="E661" s="2" t="str">
        <v>BAN_HANG</v>
      </c>
      <c r="F661" s="2" t="str">
        <v>INP6011</v>
      </c>
      <c r="G661" s="2" t="str">
        <v>2026-07-29</v>
      </c>
      <c r="H661" s="2" t="str">
        <v>9299999.934</v>
      </c>
      <c r="I661" s="28" t="n">
        <v>9299999.934</v>
      </c>
      <c r="J661" s="7" t="n">
        <v>9300000</v>
      </c>
      <c r="K661" s="28" t="n">
        <f>J661-I661</f>
        <v>0.06599999964237213</v>
      </c>
      <c r="L661" s="2" t="str">
        <v>NHẬP</v>
      </c>
      <c r="M661" s="2" t="str"/>
      <c r="N661" s="2" t="str">
        <v>KHAC</v>
      </c>
    </row>
    <row r="662" ht="25" customHeight="1">
      <c r="A662" s="2" t="str">
        <v>Q687</v>
      </c>
      <c r="B662" s="2" t="str">
        <v>KH042</v>
      </c>
      <c r="C662" s="2" t="str">
        <v>KH00002</v>
      </c>
      <c r="D662" s="2" t="str">
        <v>S2-00679-BH</v>
      </c>
      <c r="E662" s="2" t="str">
        <v>BAN_HANG</v>
      </c>
      <c r="F662" s="2" t="str">
        <v>INP6012</v>
      </c>
      <c r="G662" s="2" t="str">
        <v>2026-07-29</v>
      </c>
      <c r="H662" s="2" t="str">
        <v>2599999.992</v>
      </c>
      <c r="I662" s="28" t="n">
        <v>2599999.992</v>
      </c>
      <c r="J662" s="7" t="n">
        <v>2600000</v>
      </c>
      <c r="K662" s="28" t="n">
        <f>J662-I662</f>
        <v>0.007999999914318323</v>
      </c>
      <c r="L662" s="2" t="str">
        <v>NHẬP</v>
      </c>
      <c r="M662" s="2" t="str"/>
      <c r="N662" s="2" t="str">
        <v>KHAC</v>
      </c>
    </row>
    <row r="663" ht="25" customHeight="1">
      <c r="A663" s="2" t="str">
        <v>Q696</v>
      </c>
      <c r="B663" s="2" t="str">
        <v>KH042</v>
      </c>
      <c r="C663" s="2" t="str">
        <v>KH00002</v>
      </c>
      <c r="D663" s="2" t="str">
        <v>S2-00696-TH</v>
      </c>
      <c r="E663" s="2" t="str">
        <v>TRA_HANG</v>
      </c>
      <c r="F663" s="2" t="str">
        <v>INP6407</v>
      </c>
      <c r="G663" s="2" t="str">
        <v>2026-07-30</v>
      </c>
      <c r="H663" s="2" t="str">
        <v>3499999.9776</v>
      </c>
      <c r="I663" s="28" t="n">
        <v>3499999.9776</v>
      </c>
      <c r="J663" s="7" t="n">
        <v>3500000</v>
      </c>
      <c r="K663" s="28" t="n">
        <f>J663-I663</f>
        <v>0.022400000132620335</v>
      </c>
      <c r="L663" s="2" t="str">
        <v>NHẬP</v>
      </c>
      <c r="M663" s="2" t="str"/>
      <c r="N663" s="2" t="str">
        <v>QUAT</v>
      </c>
    </row>
    <row r="664" ht="25" customHeight="1">
      <c r="A664" s="2" t="str">
        <v>Q697</v>
      </c>
      <c r="B664" s="2" t="str">
        <v>KH042</v>
      </c>
      <c r="C664" s="2" t="str">
        <v>KH00002</v>
      </c>
      <c r="D664" s="2" t="str">
        <v>S2-00696-TH</v>
      </c>
      <c r="E664" s="2" t="str">
        <v>TRA_HANG</v>
      </c>
      <c r="F664" s="2" t="str">
        <v>INP6409</v>
      </c>
      <c r="G664" s="2" t="str">
        <v>2026-07-30</v>
      </c>
      <c r="H664" s="2" t="str">
        <v>12539999.772</v>
      </c>
      <c r="I664" s="28" t="n">
        <v>12539999.772</v>
      </c>
      <c r="J664" s="7" t="n">
        <v>12540000</v>
      </c>
      <c r="K664" s="28" t="n">
        <f>J664-I664</f>
        <v>0.2280000001192093</v>
      </c>
      <c r="L664" s="2" t="str">
        <v>NHẬP</v>
      </c>
      <c r="M664" s="2" t="str"/>
      <c r="N664" s="2" t="str">
        <v>QUAT</v>
      </c>
    </row>
    <row r="665" ht="25" customHeight="1">
      <c r="A665" s="2" t="str">
        <v>Q698</v>
      </c>
      <c r="B665" s="2" t="str">
        <v>KH042</v>
      </c>
      <c r="C665" s="2" t="str">
        <v>KH00002</v>
      </c>
      <c r="D665" s="2" t="str">
        <v>S2-00696-TH</v>
      </c>
      <c r="E665" s="2" t="str">
        <v>TRA_HANG</v>
      </c>
      <c r="F665" s="2" t="str">
        <v>INP6410</v>
      </c>
      <c r="G665" s="2" t="str">
        <v>2026-07-30</v>
      </c>
      <c r="H665" s="2" t="str">
        <v>6249999.96</v>
      </c>
      <c r="I665" s="28" t="n">
        <v>6249999.96</v>
      </c>
      <c r="J665" s="7" t="n">
        <v>6250000</v>
      </c>
      <c r="K665" s="28" t="n">
        <f>J665-I665</f>
        <v>0.0400000000372529</v>
      </c>
      <c r="L665" s="2" t="str">
        <v>NHẬP</v>
      </c>
      <c r="M665" s="2" t="str"/>
      <c r="N665" s="2" t="str">
        <v>QUAT</v>
      </c>
    </row>
    <row r="666" ht="25" customHeight="1">
      <c r="A666" s="2" t="str">
        <v>Q699</v>
      </c>
      <c r="B666" s="2" t="str">
        <v>KH042</v>
      </c>
      <c r="C666" s="2" t="str">
        <v>KH00002</v>
      </c>
      <c r="D666" s="2" t="str">
        <v>S2-00699-TH</v>
      </c>
      <c r="E666" s="2" t="str">
        <v>TRA_HANG</v>
      </c>
      <c r="F666" s="2" t="str">
        <v>INP6408</v>
      </c>
      <c r="G666" s="2" t="str">
        <v>2026-07-30</v>
      </c>
      <c r="H666" s="2" t="str">
        <v>4749999.9696</v>
      </c>
      <c r="I666" s="28" t="n">
        <v>4749999.9696</v>
      </c>
      <c r="J666" s="7" t="n">
        <v>4750000</v>
      </c>
      <c r="K666" s="28" t="n">
        <f>J666-I666</f>
        <v>0.03039999958127737</v>
      </c>
      <c r="L666" s="2" t="str">
        <v>NHẬP</v>
      </c>
      <c r="M666" s="2" t="str"/>
      <c r="N666" s="2" t="str">
        <v>QUAT</v>
      </c>
    </row>
    <row r="667" ht="25" customHeight="1">
      <c r="A667" s="2" t="str">
        <v>Q700</v>
      </c>
      <c r="B667" s="2" t="str">
        <v>KH042</v>
      </c>
      <c r="C667" s="2" t="str">
        <v>KH00002</v>
      </c>
      <c r="D667" s="2" t="str">
        <v>S2-00699-TH</v>
      </c>
      <c r="E667" s="2" t="str">
        <v>TRA_HANG</v>
      </c>
      <c r="F667" s="2" t="str">
        <v>INP6411</v>
      </c>
      <c r="G667" s="2" t="str">
        <v>2026-07-30</v>
      </c>
      <c r="H667" s="2" t="str">
        <v>9200000.088</v>
      </c>
      <c r="I667" s="28" t="n">
        <v>9200000.088</v>
      </c>
      <c r="J667" s="7" t="n">
        <v>9200000</v>
      </c>
      <c r="K667" s="28" t="n">
        <f>J667-I667</f>
        <v>-0.08799999952316284</v>
      </c>
      <c r="L667" s="2" t="str">
        <v>NHẬP</v>
      </c>
      <c r="M667" s="2" t="str"/>
      <c r="N667" s="2" t="str">
        <v>QUAT</v>
      </c>
    </row>
    <row r="668" ht="25" customHeight="1">
      <c r="A668" s="2" t="str">
        <v>Q701</v>
      </c>
      <c r="B668" s="2" t="str">
        <v>KH066</v>
      </c>
      <c r="C668" s="2" t="str">
        <v>KH066</v>
      </c>
      <c r="D668" s="2" t="str">
        <v>S2-00701-BH</v>
      </c>
      <c r="E668" s="2" t="str">
        <v>BAN_HANG</v>
      </c>
      <c r="F668" s="2" t="str">
        <v>INP1401</v>
      </c>
      <c r="G668" s="2" t="str">
        <v>18/12/2025</v>
      </c>
      <c r="H668" s="2" t="str">
        <v>17800003</v>
      </c>
      <c r="I668" s="28" t="n">
        <v>17800003</v>
      </c>
      <c r="J668" s="7" t="n">
        <v>17800003</v>
      </c>
      <c r="K668" s="28" t="n">
        <f>J668-I668</f>
        <v>0</v>
      </c>
      <c r="L668" s="2" t="str">
        <v>NHẬP</v>
      </c>
      <c r="M668" s="2" t="str"/>
      <c r="N668" s="2" t="str">
        <v>KHAC</v>
      </c>
    </row>
    <row r="669" ht="25" customHeight="1">
      <c r="A669" s="2" t="str">
        <v>Q702</v>
      </c>
      <c r="B669" s="2" t="str">
        <v>KH066</v>
      </c>
      <c r="C669" s="2" t="str">
        <v>KH066</v>
      </c>
      <c r="D669" s="2" t="str">
        <v>S2-00701-BH</v>
      </c>
      <c r="E669" s="2" t="str">
        <v>BAN_HANG</v>
      </c>
      <c r="F669" s="2" t="str">
        <v>INP1402</v>
      </c>
      <c r="G669" s="2" t="str">
        <v>18/12/2025</v>
      </c>
      <c r="H669" s="2" t="str">
        <v>20259999.72</v>
      </c>
      <c r="I669" s="28" t="n">
        <v>20259999.72</v>
      </c>
      <c r="J669" s="7" t="n">
        <v>20259999</v>
      </c>
      <c r="K669" s="28" t="n">
        <f>J669-I669</f>
        <v>-0.7199999988079071</v>
      </c>
      <c r="L669" s="2" t="str">
        <v>NHẬP</v>
      </c>
      <c r="M669" s="2" t="str"/>
      <c r="N669" s="2" t="str">
        <v>KHAC</v>
      </c>
    </row>
    <row r="670" ht="25" customHeight="1">
      <c r="A670" s="2" t="str">
        <v>Q703</v>
      </c>
      <c r="B670" s="2" t="str">
        <v>KH066</v>
      </c>
      <c r="C670" s="2" t="str">
        <v>KH066</v>
      </c>
      <c r="D670" s="2" t="str">
        <v>S2-00701-BH</v>
      </c>
      <c r="E670" s="2" t="str">
        <v>BAN_HANG</v>
      </c>
      <c r="F670" s="2" t="str">
        <v>INP1501</v>
      </c>
      <c r="G670" s="2" t="str">
        <v>18/12/2025</v>
      </c>
      <c r="H670" s="2" t="str">
        <v>7199999.928</v>
      </c>
      <c r="I670" s="28" t="n">
        <v>7199999.928</v>
      </c>
      <c r="J670" s="7" t="n">
        <v>7200000</v>
      </c>
      <c r="K670" s="28" t="n">
        <f>J670-I670</f>
        <v>0.0719999996945262</v>
      </c>
      <c r="L670" s="2" t="str">
        <v>NHẬP</v>
      </c>
      <c r="M670" s="2" t="str"/>
      <c r="N670" s="2" t="str">
        <v>KHAC</v>
      </c>
    </row>
    <row r="671" ht="25" customHeight="1">
      <c r="A671" s="2" t="str">
        <v>Q704</v>
      </c>
      <c r="B671" s="2" t="str">
        <v>KH066</v>
      </c>
      <c r="C671" s="2" t="str">
        <v>KH066</v>
      </c>
      <c r="D671" s="2" t="str">
        <v>S2-00701-BH</v>
      </c>
      <c r="E671" s="2" t="str">
        <v>BAN_HANG</v>
      </c>
      <c r="F671" s="2" t="str">
        <v>INP1502</v>
      </c>
      <c r="G671" s="2" t="str">
        <v>18/12/2025</v>
      </c>
      <c r="H671" s="2" t="str">
        <v>7799999.976</v>
      </c>
      <c r="I671" s="28" t="n">
        <v>7799999.976</v>
      </c>
      <c r="J671" s="7" t="n">
        <v>7800000</v>
      </c>
      <c r="K671" s="28" t="n">
        <f>J671-I671</f>
        <v>0.024000000208616257</v>
      </c>
      <c r="L671" s="2" t="str">
        <v>NHẬP</v>
      </c>
      <c r="M671" s="2" t="str"/>
      <c r="N671" s="2" t="str">
        <v>KHAC</v>
      </c>
    </row>
    <row r="672" ht="25" customHeight="1">
      <c r="A672" s="2" t="str">
        <v>Q705</v>
      </c>
      <c r="B672" s="2" t="str">
        <v>KH066</v>
      </c>
      <c r="C672" s="2" t="str">
        <v>KH066</v>
      </c>
      <c r="D672" s="2" t="str">
        <v>S2-00701-BH</v>
      </c>
      <c r="E672" s="2" t="str">
        <v>BAN_HANG</v>
      </c>
      <c r="F672" s="2" t="str">
        <v>INP1503</v>
      </c>
      <c r="G672" s="2" t="str">
        <v>18/12/2025</v>
      </c>
      <c r="H672" s="2" t="str">
        <v>8400000.024</v>
      </c>
      <c r="I672" s="28" t="n">
        <v>8400000.024</v>
      </c>
      <c r="J672" s="7" t="n">
        <v>8400000</v>
      </c>
      <c r="K672" s="28" t="n">
        <f>J672-I672</f>
        <v>-0.024000000208616257</v>
      </c>
      <c r="L672" s="2" t="str">
        <v>NHẬP</v>
      </c>
      <c r="M672" s="2" t="str"/>
      <c r="N672" s="2" t="str">
        <v>KHAC</v>
      </c>
    </row>
    <row r="673" ht="25" customHeight="1">
      <c r="A673" s="2" t="str">
        <v>Q706</v>
      </c>
      <c r="B673" s="2" t="str">
        <v>KH066</v>
      </c>
      <c r="C673" s="2" t="str">
        <v>KH066</v>
      </c>
      <c r="D673" s="2" t="str">
        <v>S2-00701-BH</v>
      </c>
      <c r="E673" s="2" t="str">
        <v>BAN_HANG</v>
      </c>
      <c r="F673" s="2" t="str">
        <v>INP2101</v>
      </c>
      <c r="G673" s="2" t="str">
        <v>18/12/2025</v>
      </c>
      <c r="H673" s="2" t="str">
        <v>5060000.016</v>
      </c>
      <c r="I673" s="28" t="n">
        <v>5060000.016</v>
      </c>
      <c r="J673" s="7" t="n">
        <v>5060000</v>
      </c>
      <c r="K673" s="28" t="n">
        <f>J673-I673</f>
        <v>-0.015999999828636646</v>
      </c>
      <c r="L673" s="2" t="str">
        <v>NHẬP</v>
      </c>
      <c r="M673" s="2" t="str"/>
      <c r="N673" s="2" t="str">
        <v>KHAC</v>
      </c>
    </row>
    <row r="674" ht="25" customHeight="1">
      <c r="A674" s="2" t="str">
        <v>Q707</v>
      </c>
      <c r="B674" s="2" t="str">
        <v>KH066</v>
      </c>
      <c r="C674" s="2" t="str">
        <v>KH066</v>
      </c>
      <c r="D674" s="2" t="str">
        <v>S2-00701-BH</v>
      </c>
      <c r="E674" s="2" t="str">
        <v>BAN_HANG</v>
      </c>
      <c r="F674" s="2" t="str">
        <v>INP2102</v>
      </c>
      <c r="G674" s="2" t="str">
        <v>18/12/2025</v>
      </c>
      <c r="H674" s="2" t="str">
        <v>5539999.968</v>
      </c>
      <c r="I674" s="28" t="n">
        <v>5539999.968</v>
      </c>
      <c r="J674" s="7" t="n">
        <v>5540000</v>
      </c>
      <c r="K674" s="28" t="n">
        <f>J674-I674</f>
        <v>0.03199999965727329</v>
      </c>
      <c r="L674" s="2" t="str">
        <v>NHẬP</v>
      </c>
      <c r="M674" s="2" t="str"/>
      <c r="N674" s="2" t="str">
        <v>KHAC</v>
      </c>
    </row>
    <row r="675" ht="25" customHeight="1">
      <c r="A675" s="2" t="str">
        <v>Q708</v>
      </c>
      <c r="B675" s="2" t="str">
        <v>KH066</v>
      </c>
      <c r="C675" s="2" t="str">
        <v>KH066</v>
      </c>
      <c r="D675" s="2" t="str">
        <v>S2-00701-BH</v>
      </c>
      <c r="E675" s="2" t="str">
        <v>BAN_HANG</v>
      </c>
      <c r="F675" s="2" t="str">
        <v>INP2103</v>
      </c>
      <c r="G675" s="2" t="str">
        <v>18/12/2025</v>
      </c>
      <c r="H675" s="2" t="str">
        <v>6079999.968</v>
      </c>
      <c r="I675" s="28" t="n">
        <v>6079999.968</v>
      </c>
      <c r="J675" s="7" t="n">
        <v>6080000</v>
      </c>
      <c r="K675" s="28" t="n">
        <f>J675-I675</f>
        <v>0.03199999965727329</v>
      </c>
      <c r="L675" s="2" t="str">
        <v>NHẬP</v>
      </c>
      <c r="M675" s="2" t="str"/>
      <c r="N675" s="2" t="str">
        <v>KHAC</v>
      </c>
    </row>
    <row r="676" ht="25" customHeight="1">
      <c r="A676" s="2" t="str">
        <v>Q709</v>
      </c>
      <c r="B676" s="2" t="str">
        <v>KH066</v>
      </c>
      <c r="C676" s="2" t="str">
        <v>KH066</v>
      </c>
      <c r="D676" s="2" t="str">
        <v>S2-00701-BH</v>
      </c>
      <c r="E676" s="2" t="str">
        <v>BAN_HANG</v>
      </c>
      <c r="F676" s="2" t="str">
        <v>INP2105</v>
      </c>
      <c r="G676" s="2" t="str">
        <v>18/12/2025</v>
      </c>
      <c r="H676" s="2" t="str">
        <v>4920000.048</v>
      </c>
      <c r="I676" s="28" t="n">
        <v>4920000.048</v>
      </c>
      <c r="J676" s="7" t="n">
        <v>4920000</v>
      </c>
      <c r="K676" s="28" t="n">
        <f>J676-I676</f>
        <v>-0.04800000041723251</v>
      </c>
      <c r="L676" s="2" t="str">
        <v>NHẬP</v>
      </c>
      <c r="M676" s="2" t="str"/>
      <c r="N676" s="2" t="str">
        <v>KHAC</v>
      </c>
    </row>
    <row r="677" ht="25" customHeight="1">
      <c r="A677" s="2" t="str">
        <v>Q710</v>
      </c>
      <c r="B677" s="2" t="str">
        <v>KH066</v>
      </c>
      <c r="C677" s="2" t="str">
        <v>KH066</v>
      </c>
      <c r="D677" s="2" t="str">
        <v>S2-00701-BH</v>
      </c>
      <c r="E677" s="2" t="str">
        <v>BAN_HANG</v>
      </c>
      <c r="F677" s="2" t="str">
        <v>INP2106</v>
      </c>
      <c r="G677" s="2" t="str">
        <v>18/12/2025</v>
      </c>
      <c r="H677" s="2" t="str">
        <v>5460000.048</v>
      </c>
      <c r="I677" s="28" t="n">
        <v>5460000.048</v>
      </c>
      <c r="J677" s="7" t="n">
        <v>5460000</v>
      </c>
      <c r="K677" s="28" t="n">
        <f>J677-I677</f>
        <v>-0.04800000041723251</v>
      </c>
      <c r="L677" s="2" t="str">
        <v>NHẬP</v>
      </c>
      <c r="M677" s="2" t="str"/>
      <c r="N677" s="2" t="str">
        <v>KHAC</v>
      </c>
    </row>
    <row r="678" ht="25" customHeight="1">
      <c r="A678" s="2" t="str">
        <v>Q711</v>
      </c>
      <c r="B678" s="2" t="str">
        <v>KH066</v>
      </c>
      <c r="C678" s="2" t="str">
        <v>KH066</v>
      </c>
      <c r="D678" s="2" t="str">
        <v>S2-00701-BH</v>
      </c>
      <c r="E678" s="2" t="str">
        <v>BAN_HANG</v>
      </c>
      <c r="F678" s="2" t="str">
        <v>INP2108</v>
      </c>
      <c r="G678" s="2" t="str">
        <v>18/12/2025</v>
      </c>
      <c r="H678" s="2" t="str">
        <v>5539999.968</v>
      </c>
      <c r="I678" s="28" t="n">
        <v>5539999.968</v>
      </c>
      <c r="J678" s="7" t="n">
        <v>5540000</v>
      </c>
      <c r="K678" s="28" t="n">
        <f>J678-I678</f>
        <v>0.03199999965727329</v>
      </c>
      <c r="L678" s="2" t="str">
        <v>NHẬP</v>
      </c>
      <c r="M678" s="2" t="str"/>
      <c r="N678" s="2" t="str">
        <v>KHAC</v>
      </c>
    </row>
    <row r="679" ht="25" customHeight="1">
      <c r="A679" s="2" t="str">
        <v>Q712</v>
      </c>
      <c r="B679" s="2" t="str">
        <v>KH066</v>
      </c>
      <c r="C679" s="2" t="str">
        <v>KH066</v>
      </c>
      <c r="D679" s="2" t="str">
        <v>S2-00701-BH</v>
      </c>
      <c r="E679" s="2" t="str">
        <v>BAN_HANG</v>
      </c>
      <c r="F679" s="2" t="str">
        <v>INP2109</v>
      </c>
      <c r="G679" s="2" t="str">
        <v>18/12/2025</v>
      </c>
      <c r="H679" s="2" t="str">
        <v>4920000.048</v>
      </c>
      <c r="I679" s="28" t="n">
        <v>4920000.048</v>
      </c>
      <c r="J679" s="7" t="n">
        <v>4920000</v>
      </c>
      <c r="K679" s="28" t="n">
        <f>J679-I679</f>
        <v>-0.04800000041723251</v>
      </c>
      <c r="L679" s="2" t="str">
        <v>NHẬP</v>
      </c>
      <c r="M679" s="2" t="str"/>
      <c r="N679" s="2" t="str">
        <v>KHAC</v>
      </c>
    </row>
    <row r="680" ht="25" customHeight="1">
      <c r="A680" s="2" t="str">
        <v>Q713</v>
      </c>
      <c r="B680" s="2" t="str">
        <v>KH066</v>
      </c>
      <c r="C680" s="2" t="str">
        <v>KH066</v>
      </c>
      <c r="D680" s="2" t="str">
        <v>S2-00701-BH</v>
      </c>
      <c r="E680" s="2" t="str">
        <v>BAN_HANG</v>
      </c>
      <c r="F680" s="2" t="str">
        <v>INP2110</v>
      </c>
      <c r="G680" s="2" t="str">
        <v>18/12/2025</v>
      </c>
      <c r="H680" s="2" t="str">
        <v>5460000.048</v>
      </c>
      <c r="I680" s="28" t="n">
        <v>5460000.048</v>
      </c>
      <c r="J680" s="7" t="n">
        <v>5460000</v>
      </c>
      <c r="K680" s="28" t="n">
        <f>J680-I680</f>
        <v>-0.04800000041723251</v>
      </c>
      <c r="L680" s="2" t="str">
        <v>NHẬP</v>
      </c>
      <c r="M680" s="2" t="str"/>
      <c r="N680" s="2" t="str">
        <v>KHAC</v>
      </c>
    </row>
    <row r="681" ht="25" customHeight="1">
      <c r="A681" s="2" t="str">
        <v>Q714</v>
      </c>
      <c r="B681" s="2" t="str">
        <v>KH066</v>
      </c>
      <c r="C681" s="2" t="str">
        <v>KH066</v>
      </c>
      <c r="D681" s="2" t="str">
        <v>S2-00701-BH</v>
      </c>
      <c r="E681" s="2" t="str">
        <v>BAN_HANG</v>
      </c>
      <c r="F681" s="2" t="str">
        <v>INP2111</v>
      </c>
      <c r="G681" s="2" t="str">
        <v>18/12/2025</v>
      </c>
      <c r="H681" s="2" t="str">
        <v>6000000.048</v>
      </c>
      <c r="I681" s="28" t="n">
        <v>6000000.048</v>
      </c>
      <c r="J681" s="7" t="n">
        <v>6000000</v>
      </c>
      <c r="K681" s="28" t="n">
        <f>J681-I681</f>
        <v>-0.04800000041723251</v>
      </c>
      <c r="L681" s="2" t="str">
        <v>NHẬP</v>
      </c>
      <c r="M681" s="2" t="str"/>
      <c r="N681" s="2" t="str">
        <v>KHAC</v>
      </c>
    </row>
    <row r="682" ht="25" customHeight="1">
      <c r="A682" s="2" t="str">
        <v>Q715</v>
      </c>
      <c r="B682" s="2" t="str">
        <v>KH066</v>
      </c>
      <c r="C682" s="2" t="str">
        <v>KH066</v>
      </c>
      <c r="D682" s="2" t="str">
        <v>S2-00701-BH</v>
      </c>
      <c r="E682" s="2" t="str">
        <v>BAN_HANG</v>
      </c>
      <c r="F682" s="2" t="str">
        <v>INP2202</v>
      </c>
      <c r="G682" s="2" t="str">
        <v>18/12/2025</v>
      </c>
      <c r="H682" s="2" t="str">
        <v>18239999.904</v>
      </c>
      <c r="I682" s="28" t="n">
        <v>18239999.904</v>
      </c>
      <c r="J682" s="7" t="n">
        <v>18240000</v>
      </c>
      <c r="K682" s="28" t="n">
        <f>J682-I682</f>
        <v>0.09600000083446503</v>
      </c>
      <c r="L682" s="2" t="str">
        <v>NHẬP</v>
      </c>
      <c r="M682" s="2" t="str"/>
      <c r="N682" s="2" t="str">
        <v>KHAC</v>
      </c>
    </row>
    <row r="683" ht="25" customHeight="1">
      <c r="A683" s="2" t="str">
        <v>Q716</v>
      </c>
      <c r="B683" s="2" t="str">
        <v>KH066</v>
      </c>
      <c r="C683" s="2" t="str">
        <v>KH066</v>
      </c>
      <c r="D683" s="2" t="str">
        <v>S2-00701-BH</v>
      </c>
      <c r="E683" s="2" t="str">
        <v>BAN_HANG</v>
      </c>
      <c r="F683" s="2" t="str">
        <v>INP3001</v>
      </c>
      <c r="G683" s="2" t="str">
        <v>18/12/2025</v>
      </c>
      <c r="H683" s="2" t="str">
        <v>4272000</v>
      </c>
      <c r="I683" s="28" t="n">
        <v>4272000</v>
      </c>
      <c r="J683" s="7" t="n">
        <v>4272000</v>
      </c>
      <c r="K683" s="28" t="n">
        <f>J683-I683</f>
        <v>0</v>
      </c>
      <c r="L683" s="2" t="str">
        <v>NHẬP</v>
      </c>
      <c r="M683" s="2" t="str"/>
      <c r="N683" s="2" t="str">
        <v>KHAC</v>
      </c>
    </row>
    <row r="684" ht="25" customHeight="1">
      <c r="A684" s="2" t="str">
        <v>Q717</v>
      </c>
      <c r="B684" s="2" t="str">
        <v>KH066</v>
      </c>
      <c r="C684" s="2" t="str">
        <v>KH066</v>
      </c>
      <c r="D684" s="2" t="str">
        <v>S2-00701-BH</v>
      </c>
      <c r="E684" s="2" t="str">
        <v>BAN_HANG</v>
      </c>
      <c r="F684" s="2" t="str">
        <v>INP3002</v>
      </c>
      <c r="G684" s="2" t="str">
        <v>18/12/2025</v>
      </c>
      <c r="H684" s="2" t="str">
        <v>3689999.9712</v>
      </c>
      <c r="I684" s="28" t="n">
        <v>3689999.9712</v>
      </c>
      <c r="J684" s="7" t="n">
        <v>3690000</v>
      </c>
      <c r="K684" s="28" t="n">
        <f>J684-I684</f>
        <v>0.028799999970942736</v>
      </c>
      <c r="L684" s="2" t="str">
        <v>NHẬP</v>
      </c>
      <c r="M684" s="2" t="str"/>
      <c r="N684" s="2" t="str">
        <v>KHAC</v>
      </c>
    </row>
    <row r="685" ht="25" customHeight="1">
      <c r="A685" s="2" t="str">
        <v>Q718</v>
      </c>
      <c r="B685" s="2" t="str">
        <v>KH066</v>
      </c>
      <c r="C685" s="2" t="str">
        <v>KH066</v>
      </c>
      <c r="D685" s="2" t="str">
        <v>S2-00701-BH</v>
      </c>
      <c r="E685" s="2" t="str">
        <v>BAN_HANG</v>
      </c>
      <c r="F685" s="2" t="str">
        <v>INP3003</v>
      </c>
      <c r="G685" s="2" t="str">
        <v>18/12/2025</v>
      </c>
      <c r="H685" s="2" t="str">
        <v>12199999.896</v>
      </c>
      <c r="I685" s="28" t="n">
        <v>12199999.896</v>
      </c>
      <c r="J685" s="7" t="n">
        <v>12200000</v>
      </c>
      <c r="K685" s="28" t="n">
        <f>J685-I685</f>
        <v>0.10400000028312206</v>
      </c>
      <c r="L685" s="2" t="str">
        <v>NHẬP</v>
      </c>
      <c r="M685" s="2" t="str"/>
      <c r="N685" s="2" t="str">
        <v>KHAC</v>
      </c>
    </row>
    <row r="686" ht="25" customHeight="1">
      <c r="A686" s="2" t="str">
        <v>Q719</v>
      </c>
      <c r="B686" s="2" t="str">
        <v>KH066</v>
      </c>
      <c r="C686" s="2" t="str">
        <v>KH066</v>
      </c>
      <c r="D686" s="2" t="str">
        <v>S2-00701-BH</v>
      </c>
      <c r="E686" s="2" t="str">
        <v>BAN_HANG</v>
      </c>
      <c r="F686" s="2" t="str">
        <v>INP3004</v>
      </c>
      <c r="G686" s="2" t="str">
        <v>18/12/2025</v>
      </c>
      <c r="H686" s="2" t="str">
        <v>7739999.928</v>
      </c>
      <c r="I686" s="28" t="n">
        <v>7739999.928</v>
      </c>
      <c r="J686" s="7" t="n">
        <v>7740000</v>
      </c>
      <c r="K686" s="28" t="n">
        <f>J686-I686</f>
        <v>0.0719999996945262</v>
      </c>
      <c r="L686" s="2" t="str">
        <v>NHẬP</v>
      </c>
      <c r="M686" s="2" t="str"/>
      <c r="N686" s="2" t="str">
        <v>KHAC</v>
      </c>
    </row>
    <row r="687" ht="25" customHeight="1">
      <c r="A687" s="2" t="str">
        <v>Q720</v>
      </c>
      <c r="B687" s="2" t="str">
        <v>KH066</v>
      </c>
      <c r="C687" s="2" t="str">
        <v>KH066</v>
      </c>
      <c r="D687" s="2" t="str">
        <v>S2-00701-BH</v>
      </c>
      <c r="E687" s="2" t="str">
        <v>BAN_HANG</v>
      </c>
      <c r="F687" s="2" t="str">
        <v>INP3005</v>
      </c>
      <c r="G687" s="2" t="str">
        <v>18/12/2025</v>
      </c>
      <c r="H687" s="2" t="str">
        <v>8600000.04</v>
      </c>
      <c r="I687" s="28" t="n">
        <v>8600000.04</v>
      </c>
      <c r="J687" s="7" t="n">
        <v>8600000</v>
      </c>
      <c r="K687" s="28" t="n">
        <f>J687-I687</f>
        <v>-0.03999999910593033</v>
      </c>
      <c r="L687" s="2" t="str">
        <v>NHẬP</v>
      </c>
      <c r="M687" s="2" t="str"/>
      <c r="N687" s="2" t="str">
        <v>KHAC</v>
      </c>
    </row>
    <row r="688" ht="25" customHeight="1">
      <c r="A688" s="2" t="str">
        <v>Q721</v>
      </c>
      <c r="B688" s="2" t="str">
        <v>KH066</v>
      </c>
      <c r="C688" s="2" t="str">
        <v>KH066</v>
      </c>
      <c r="D688" s="2" t="str">
        <v>S2-00701-BH</v>
      </c>
      <c r="E688" s="2" t="str">
        <v>BAN_HANG</v>
      </c>
      <c r="F688" s="2" t="str">
        <v>INP3201</v>
      </c>
      <c r="G688" s="2" t="str">
        <v>18/12/2025</v>
      </c>
      <c r="H688" s="2" t="str">
        <v>6299999.856</v>
      </c>
      <c r="I688" s="28" t="n">
        <v>6299999.856</v>
      </c>
      <c r="J688" s="7" t="n">
        <v>6300000</v>
      </c>
      <c r="K688" s="28" t="n">
        <f>J688-I688</f>
        <v>0.14400000032037497</v>
      </c>
      <c r="L688" s="2" t="str">
        <v>NHẬP</v>
      </c>
      <c r="M688" s="2" t="str"/>
      <c r="N688" s="2" t="str">
        <v>KHAC</v>
      </c>
    </row>
    <row r="689" ht="25" customHeight="1">
      <c r="A689" s="2" t="str">
        <v>Q722</v>
      </c>
      <c r="B689" s="2" t="str">
        <v>KH066</v>
      </c>
      <c r="C689" s="2" t="str">
        <v>KH066</v>
      </c>
      <c r="D689" s="2" t="str">
        <v>S2-00701-BH</v>
      </c>
      <c r="E689" s="2" t="str">
        <v>BAN_HANG</v>
      </c>
      <c r="F689" s="2" t="str">
        <v>INP6601</v>
      </c>
      <c r="G689" s="2" t="str">
        <v>18/12/2025</v>
      </c>
      <c r="H689" s="2" t="str">
        <v>12999999.96</v>
      </c>
      <c r="I689" s="28" t="n">
        <v>12999999.96</v>
      </c>
      <c r="J689" s="7" t="n">
        <v>13000000</v>
      </c>
      <c r="K689" s="28" t="n">
        <f>J689-I689</f>
        <v>0.03999999910593033</v>
      </c>
      <c r="L689" s="2" t="str">
        <v>NHẬP</v>
      </c>
      <c r="M689" s="2" t="str"/>
      <c r="N689" s="2" t="str">
        <v>KHAC</v>
      </c>
    </row>
    <row r="690" ht="25" customHeight="1">
      <c r="A690" s="2" t="str">
        <v>Q723</v>
      </c>
      <c r="B690" s="2" t="str">
        <v>KH066</v>
      </c>
      <c r="C690" s="2" t="str">
        <v>KH066</v>
      </c>
      <c r="D690" s="2" t="str">
        <v>S2-00701-BH</v>
      </c>
      <c r="E690" s="2" t="str">
        <v>BAN_HANG</v>
      </c>
      <c r="F690" s="2" t="str">
        <v>INP6602</v>
      </c>
      <c r="G690" s="2" t="str">
        <v>18/12/2025</v>
      </c>
      <c r="H690" s="2" t="str">
        <v>14699999.988</v>
      </c>
      <c r="I690" s="28" t="n">
        <v>14699999.988</v>
      </c>
      <c r="J690" s="7" t="n">
        <v>14700000</v>
      </c>
      <c r="K690" s="28" t="n">
        <f>J690-I690</f>
        <v>0.012000000104308128</v>
      </c>
      <c r="L690" s="2" t="str">
        <v>NHẬP</v>
      </c>
      <c r="M690" s="2" t="str"/>
      <c r="N690" s="2" t="str">
        <v>KHAC</v>
      </c>
    </row>
    <row r="691" ht="25" customHeight="1">
      <c r="A691" s="2" t="str">
        <v>Q724</v>
      </c>
      <c r="B691" s="2" t="str">
        <v>KH066</v>
      </c>
      <c r="C691" s="2" t="str">
        <v>KH066</v>
      </c>
      <c r="D691" s="2" t="str">
        <v>S2-00701-BH</v>
      </c>
      <c r="E691" s="2" t="str">
        <v>BAN_HANG</v>
      </c>
      <c r="F691" s="2" t="str">
        <v>INP1003</v>
      </c>
      <c r="G691" s="2" t="str">
        <v>18/12/2025</v>
      </c>
      <c r="H691" s="2" t="str">
        <v>13999996.8</v>
      </c>
      <c r="I691" s="28" t="n">
        <v>13999996.8</v>
      </c>
      <c r="J691" s="7" t="n">
        <v>13999996</v>
      </c>
      <c r="K691" s="28" t="n">
        <f>J691-I691</f>
        <v>-0.8000000007450581</v>
      </c>
      <c r="L691" s="2" t="str">
        <v>NHẬP</v>
      </c>
      <c r="M691" s="2" t="str"/>
      <c r="N691" s="2" t="str">
        <v>KHAC</v>
      </c>
    </row>
    <row r="692" ht="25" customHeight="1">
      <c r="A692" s="2" t="str">
        <v>S725</v>
      </c>
      <c r="B692" s="2" t="str">
        <v>KH066</v>
      </c>
      <c r="C692" s="2" t="str">
        <v>KH066</v>
      </c>
      <c r="D692" s="2" t="str">
        <v>S2-00725-VC</v>
      </c>
      <c r="E692" s="2" t="str">
        <v>PHI_VAN_CHUYEN</v>
      </c>
      <c r="F692" s="2" t="str"/>
      <c r="G692" s="2" t="str">
        <v>18/12/2025</v>
      </c>
      <c r="H692" s="2" t="str">
        <v>500000</v>
      </c>
      <c r="I692" s="28" t="n">
        <v>500000</v>
      </c>
      <c r="J692" s="7" t="n">
        <v>500000</v>
      </c>
      <c r="K692" s="28" t="n">
        <f>J692-I692</f>
        <v>0</v>
      </c>
      <c r="L692" s="2" t="str">
        <v>NHẬP</v>
      </c>
      <c r="M692" s="2" t="str"/>
      <c r="N692" s="2" t="str">
        <v>KHAC</v>
      </c>
    </row>
    <row r="693" ht="25" customHeight="1">
      <c r="A693" s="2" t="str">
        <v>Q726</v>
      </c>
      <c r="B693" s="2" t="str">
        <v>KH066</v>
      </c>
      <c r="C693" s="2" t="str">
        <v>KH066</v>
      </c>
      <c r="D693" s="2" t="str">
        <v>S2-00726-BH</v>
      </c>
      <c r="E693" s="2" t="str">
        <v>BAN_HANG</v>
      </c>
      <c r="F693" s="2" t="str">
        <v>INP1003</v>
      </c>
      <c r="G693" s="2" t="str">
        <v>30/12/2025</v>
      </c>
      <c r="H693" s="2" t="str">
        <v>34999999.56</v>
      </c>
      <c r="I693" s="28" t="n">
        <v>34999999.56</v>
      </c>
      <c r="J693" s="7" t="n">
        <v>34999999</v>
      </c>
      <c r="K693" s="28" t="n">
        <f>J693-I693</f>
        <v>-0.5600000023841858</v>
      </c>
      <c r="L693" s="2" t="str">
        <v>NHẬP</v>
      </c>
      <c r="M693" s="2" t="str"/>
      <c r="N693" s="2" t="str">
        <v>KHAC</v>
      </c>
    </row>
    <row r="694" ht="25" customHeight="1">
      <c r="A694" s="2" t="str">
        <v>S727</v>
      </c>
      <c r="B694" s="2" t="str">
        <v>KH066</v>
      </c>
      <c r="C694" s="2" t="str">
        <v>KH066</v>
      </c>
      <c r="D694" s="2" t="str">
        <v>S2-00727-VC</v>
      </c>
      <c r="E694" s="2" t="str">
        <v>PHI_VAN_CHUYEN</v>
      </c>
      <c r="F694" s="2" t="str"/>
      <c r="G694" s="2" t="str">
        <v>30/12/2025</v>
      </c>
      <c r="H694" s="2" t="str">
        <v>500000</v>
      </c>
      <c r="I694" s="28" t="n">
        <v>500000</v>
      </c>
      <c r="J694" s="7" t="n">
        <v>500000</v>
      </c>
      <c r="K694" s="28" t="n">
        <f>J694-I694</f>
        <v>0</v>
      </c>
      <c r="L694" s="2" t="str">
        <v>NHẬP</v>
      </c>
      <c r="M694" s="2" t="str"/>
      <c r="N694" s="2" t="str">
        <v>KHAC</v>
      </c>
    </row>
    <row r="695" ht="25" customHeight="1">
      <c r="A695" s="2" t="str">
        <v>R728</v>
      </c>
      <c r="B695" s="2" t="str">
        <v>KH066</v>
      </c>
      <c r="C695" s="2" t="str">
        <v>KH066</v>
      </c>
      <c r="D695" s="2" t="str">
        <v>S2-00728-TT</v>
      </c>
      <c r="E695" s="2" t="str">
        <v>THU_TIEN</v>
      </c>
      <c r="F695" s="2" t="str"/>
      <c r="G695" s="2" t="str">
        <v>30/12/2025</v>
      </c>
      <c r="H695" s="2" t="str">
        <v>50000000</v>
      </c>
      <c r="I695" s="28" t="n">
        <v>50000000</v>
      </c>
      <c r="J695" s="7" t="n">
        <v>50000000</v>
      </c>
      <c r="K695" s="28" t="n">
        <f>J695-I695</f>
        <v>0</v>
      </c>
      <c r="L695" s="2" t="str">
        <v>NHẬP</v>
      </c>
      <c r="M695" s="2" t="str"/>
      <c r="N695" s="2" t="str">
        <v>KHAC</v>
      </c>
    </row>
    <row r="696" ht="25" customHeight="1">
      <c r="A696" s="2" t="str">
        <v>Q729</v>
      </c>
      <c r="B696" s="2" t="str">
        <v>KH066</v>
      </c>
      <c r="C696" s="2" t="str">
        <v>KH066</v>
      </c>
      <c r="D696" s="2" t="str">
        <v>S2-00729-BH</v>
      </c>
      <c r="E696" s="2" t="str">
        <v>BAN_HANG</v>
      </c>
      <c r="F696" s="2" t="str">
        <v>INP1001</v>
      </c>
      <c r="G696" s="2" t="str">
        <v>2026-03-01</v>
      </c>
      <c r="H696" s="2" t="str">
        <v>10379999.88</v>
      </c>
      <c r="I696" s="28" t="n">
        <v>10379999.88</v>
      </c>
      <c r="J696" s="7" t="n">
        <v>10380000</v>
      </c>
      <c r="K696" s="28" t="n">
        <f>J696-I696</f>
        <v>0.11999999918043613</v>
      </c>
      <c r="L696" s="2" t="str">
        <v>NHẬP</v>
      </c>
      <c r="M696" s="2" t="str"/>
      <c r="N696" s="2" t="str">
        <v>KHAC</v>
      </c>
    </row>
    <row r="697" ht="25" customHeight="1">
      <c r="A697" s="2" t="str">
        <v>Q730</v>
      </c>
      <c r="B697" s="2" t="str">
        <v>KH066</v>
      </c>
      <c r="C697" s="2" t="str">
        <v>KH066</v>
      </c>
      <c r="D697" s="2" t="str">
        <v>S2-00729-BH</v>
      </c>
      <c r="E697" s="2" t="str">
        <v>BAN_HANG</v>
      </c>
      <c r="F697" s="2" t="str">
        <v>INP1101</v>
      </c>
      <c r="G697" s="2" t="str">
        <v>2026-03-01</v>
      </c>
      <c r="H697" s="2" t="str">
        <v>10439999.928</v>
      </c>
      <c r="I697" s="28" t="n">
        <v>10439999.928</v>
      </c>
      <c r="J697" s="7" t="n">
        <v>10440000</v>
      </c>
      <c r="K697" s="28" t="n">
        <f>J697-I697</f>
        <v>0.07200000062584877</v>
      </c>
      <c r="L697" s="2" t="str">
        <v>NHẬP</v>
      </c>
      <c r="M697" s="2" t="str"/>
      <c r="N697" s="2" t="str">
        <v>KHAC</v>
      </c>
    </row>
    <row r="698" ht="25" customHeight="1">
      <c r="A698" s="2" t="str">
        <v>Q731</v>
      </c>
      <c r="B698" s="2" t="str">
        <v>KH066</v>
      </c>
      <c r="C698" s="2" t="str">
        <v>KH066</v>
      </c>
      <c r="D698" s="2" t="str">
        <v>S2-00729-BH</v>
      </c>
      <c r="E698" s="2" t="str">
        <v>BAN_HANG</v>
      </c>
      <c r="F698" s="2" t="str">
        <v>INP1002</v>
      </c>
      <c r="G698" s="2" t="str">
        <v>2026-03-01</v>
      </c>
      <c r="H698" s="2" t="str">
        <v>6989999.976</v>
      </c>
      <c r="I698" s="28" t="n">
        <v>6989999.976</v>
      </c>
      <c r="J698" s="7" t="n">
        <v>6990000</v>
      </c>
      <c r="K698" s="28" t="n">
        <f>J698-I698</f>
        <v>0.024000000208616257</v>
      </c>
      <c r="L698" s="2" t="str">
        <v>NHẬP</v>
      </c>
      <c r="M698" s="2" t="str"/>
      <c r="N698" s="2" t="str">
        <v>KHAC</v>
      </c>
    </row>
    <row r="699" ht="25" customHeight="1">
      <c r="A699" s="2" t="str">
        <v>Q732</v>
      </c>
      <c r="B699" s="2" t="str">
        <v>KH066</v>
      </c>
      <c r="C699" s="2" t="str">
        <v>KH066</v>
      </c>
      <c r="D699" s="2" t="str">
        <v>S2-00729-BH</v>
      </c>
      <c r="E699" s="2" t="str">
        <v>BAN_HANG</v>
      </c>
      <c r="F699" s="2" t="str">
        <v>INP2003</v>
      </c>
      <c r="G699" s="2" t="str">
        <v>2026-03-01</v>
      </c>
      <c r="H699" s="2" t="str">
        <v>12799999.944</v>
      </c>
      <c r="I699" s="28" t="n">
        <v>12799999.944</v>
      </c>
      <c r="J699" s="7" t="n">
        <v>12800000</v>
      </c>
      <c r="K699" s="28" t="n">
        <f>J699-I699</f>
        <v>0.05599999986588955</v>
      </c>
      <c r="L699" s="2" t="str">
        <v>NHẬP</v>
      </c>
      <c r="M699" s="2" t="str"/>
      <c r="N699" s="2" t="str">
        <v>KHAC</v>
      </c>
    </row>
    <row r="700" ht="25" customHeight="1">
      <c r="A700" s="2" t="str">
        <v>Q733</v>
      </c>
      <c r="B700" s="2" t="str">
        <v>KH066</v>
      </c>
      <c r="C700" s="2" t="str">
        <v>KH066</v>
      </c>
      <c r="D700" s="2" t="str">
        <v>S2-00729-BH</v>
      </c>
      <c r="E700" s="2" t="str">
        <v>BAN_HANG</v>
      </c>
      <c r="F700" s="2" t="str">
        <v>INP1003</v>
      </c>
      <c r="G700" s="2" t="str">
        <v>2026-03-01</v>
      </c>
      <c r="H700" s="2" t="str">
        <v>34999999.56</v>
      </c>
      <c r="I700" s="28" t="n">
        <v>34999999.56</v>
      </c>
      <c r="J700" s="7" t="n">
        <v>34999999</v>
      </c>
      <c r="K700" s="28" t="n">
        <f>J700-I700</f>
        <v>-0.5600000023841858</v>
      </c>
      <c r="L700" s="2" t="str">
        <v>NHẬP</v>
      </c>
      <c r="M700" s="2" t="str"/>
      <c r="N700" s="2" t="str">
        <v>KHAC</v>
      </c>
    </row>
    <row r="701" ht="25" customHeight="1">
      <c r="A701" s="2" t="str">
        <v>S734</v>
      </c>
      <c r="B701" s="2" t="str">
        <v>KH066</v>
      </c>
      <c r="C701" s="2" t="str">
        <v>KH066</v>
      </c>
      <c r="D701" s="2" t="str">
        <v>S2-00734-VC</v>
      </c>
      <c r="E701" s="2" t="str">
        <v>PHI_VAN_CHUYEN</v>
      </c>
      <c r="F701" s="2" t="str"/>
      <c r="G701" s="2" t="str">
        <v>2026-03-01</v>
      </c>
      <c r="H701" s="2" t="str">
        <v>500000</v>
      </c>
      <c r="I701" s="28" t="n">
        <v>500000</v>
      </c>
      <c r="J701" s="7" t="n">
        <v>500000</v>
      </c>
      <c r="K701" s="28" t="n">
        <f>J701-I701</f>
        <v>0</v>
      </c>
      <c r="L701" s="2" t="str">
        <v>NHẬP</v>
      </c>
      <c r="M701" s="2" t="str"/>
      <c r="N701" s="2" t="str">
        <v>KHAC</v>
      </c>
    </row>
    <row r="702" ht="25" customHeight="1">
      <c r="A702" s="2" t="str">
        <v>Q735</v>
      </c>
      <c r="B702" s="2" t="str">
        <v>KH066</v>
      </c>
      <c r="C702" s="2" t="str">
        <v>KH066</v>
      </c>
      <c r="D702" s="2" t="str">
        <v>S2-00735-BH</v>
      </c>
      <c r="E702" s="2" t="str">
        <v>BAN_HANG</v>
      </c>
      <c r="F702" s="2" t="str">
        <v>INP2003</v>
      </c>
      <c r="G702" s="2" t="str">
        <v>2026-08-01</v>
      </c>
      <c r="H702" s="2" t="str">
        <v>25599999.888</v>
      </c>
      <c r="I702" s="28" t="n">
        <v>25599999.888</v>
      </c>
      <c r="J702" s="7" t="n">
        <v>25600000</v>
      </c>
      <c r="K702" s="28" t="n">
        <f>J702-I702</f>
        <v>0.1119999997317791</v>
      </c>
      <c r="L702" s="2" t="str">
        <v>NHẬP</v>
      </c>
      <c r="M702" s="2" t="str"/>
      <c r="N702" s="2" t="str">
        <v>KHAC</v>
      </c>
    </row>
    <row r="703" ht="25" customHeight="1">
      <c r="A703" s="2" t="str">
        <v>S736</v>
      </c>
      <c r="B703" s="2" t="str">
        <v>KH066</v>
      </c>
      <c r="C703" s="2" t="str">
        <v>KH066</v>
      </c>
      <c r="D703" s="2" t="str">
        <v>S2-00736-VC</v>
      </c>
      <c r="E703" s="2" t="str">
        <v>PHI_VAN_CHUYEN</v>
      </c>
      <c r="F703" s="2" t="str"/>
      <c r="G703" s="2" t="str">
        <v>2026-08-01</v>
      </c>
      <c r="H703" s="2" t="str">
        <v>500000</v>
      </c>
      <c r="I703" s="28" t="n">
        <v>500000</v>
      </c>
      <c r="J703" s="7" t="n">
        <v>500000</v>
      </c>
      <c r="K703" s="28" t="n">
        <f>J703-I703</f>
        <v>0</v>
      </c>
      <c r="L703" s="2" t="str">
        <v>NHẬP</v>
      </c>
      <c r="M703" s="2" t="str"/>
      <c r="N703" s="2" t="str">
        <v>KHAC</v>
      </c>
    </row>
    <row r="704" ht="25" customHeight="1">
      <c r="A704" s="2" t="str">
        <v>Q737</v>
      </c>
      <c r="B704" s="2" t="str">
        <v>KH066</v>
      </c>
      <c r="C704" s="2" t="str">
        <v>KH066</v>
      </c>
      <c r="D704" s="2" t="str">
        <v>S2-00737-BH</v>
      </c>
      <c r="E704" s="2" t="str">
        <v>BAN_HANG</v>
      </c>
      <c r="F704" s="2" t="str">
        <v>INP2202</v>
      </c>
      <c r="G704" s="2" t="str">
        <v>29/1/2026</v>
      </c>
      <c r="H704" s="2" t="str">
        <v>9120000.06</v>
      </c>
      <c r="I704" s="28" t="n">
        <v>9120000.06</v>
      </c>
      <c r="J704" s="7" t="n">
        <v>9120000</v>
      </c>
      <c r="K704" s="28" t="n">
        <f>J704-I704</f>
        <v>-0.06000000052154064</v>
      </c>
      <c r="L704" s="2" t="str">
        <v>NHẬP</v>
      </c>
      <c r="M704" s="2" t="str"/>
      <c r="N704" s="2" t="str">
        <v>KHAC</v>
      </c>
    </row>
    <row r="705" ht="25" customHeight="1">
      <c r="A705" s="2" t="str">
        <v>Q738</v>
      </c>
      <c r="B705" s="2" t="str">
        <v>KH066</v>
      </c>
      <c r="C705" s="2" t="str">
        <v>KH066</v>
      </c>
      <c r="D705" s="2" t="str">
        <v>S2-00737-BH</v>
      </c>
      <c r="E705" s="2" t="str">
        <v>BAN_HANG</v>
      </c>
      <c r="F705" s="2" t="str">
        <v>INP2003</v>
      </c>
      <c r="G705" s="2" t="str">
        <v>29/1/2026</v>
      </c>
      <c r="H705" s="2" t="str">
        <v>10239999.9552</v>
      </c>
      <c r="I705" s="28" t="n">
        <v>10239999.9552</v>
      </c>
      <c r="J705" s="7" t="n">
        <v>10240000</v>
      </c>
      <c r="K705" s="28" t="n">
        <f>J705-I705</f>
        <v>0.04480000026524067</v>
      </c>
      <c r="L705" s="2" t="str">
        <v>NHẬP</v>
      </c>
      <c r="M705" s="2" t="str"/>
      <c r="N705" s="2" t="str">
        <v>KHAC</v>
      </c>
    </row>
    <row r="706" ht="25" customHeight="1">
      <c r="A706" s="2" t="str">
        <v>Q739</v>
      </c>
      <c r="B706" s="2" t="str">
        <v>KH066</v>
      </c>
      <c r="C706" s="2" t="str">
        <v>KH066</v>
      </c>
      <c r="D706" s="2" t="str">
        <v>S2-00739-BH</v>
      </c>
      <c r="E706" s="2" t="str">
        <v>BAN_HANG</v>
      </c>
      <c r="F706" s="2" t="str">
        <v>INP6701</v>
      </c>
      <c r="G706" s="2" t="str">
        <v>29/1/2026</v>
      </c>
      <c r="H706" s="2" t="str">
        <v>24959999.9232</v>
      </c>
      <c r="I706" s="28" t="n">
        <v>24959999.9232</v>
      </c>
      <c r="J706" s="7" t="n">
        <v>24960000</v>
      </c>
      <c r="K706" s="28" t="n">
        <f>J706-I706</f>
        <v>0.07679999992251396</v>
      </c>
      <c r="L706" s="2" t="str">
        <v>NHẬP</v>
      </c>
      <c r="M706" s="2" t="str"/>
      <c r="N706" s="2" t="str">
        <v>KHAC</v>
      </c>
    </row>
    <row r="707" ht="25" customHeight="1">
      <c r="A707" s="2" t="str">
        <v>S740</v>
      </c>
      <c r="B707" s="2" t="str">
        <v>KH066</v>
      </c>
      <c r="C707" s="2" t="str">
        <v>KH066</v>
      </c>
      <c r="D707" s="2" t="str">
        <v>S2-00740-VC</v>
      </c>
      <c r="E707" s="2" t="str">
        <v>PHI_VAN_CHUYEN</v>
      </c>
      <c r="F707" s="2" t="str"/>
      <c r="G707" s="2" t="str">
        <v>29/1/2026</v>
      </c>
      <c r="H707" s="2" t="str">
        <v>500000</v>
      </c>
      <c r="I707" s="28" t="n">
        <v>500000</v>
      </c>
      <c r="J707" s="7" t="n">
        <v>500000</v>
      </c>
      <c r="K707" s="28" t="n">
        <f>J707-I707</f>
        <v>0</v>
      </c>
      <c r="L707" s="2" t="str">
        <v>NHẬP</v>
      </c>
      <c r="M707" s="2" t="str"/>
      <c r="N707" s="2" t="str">
        <v>KHAC</v>
      </c>
    </row>
    <row r="708" ht="25" customHeight="1">
      <c r="A708" s="2" t="str">
        <v>R741</v>
      </c>
      <c r="B708" s="2" t="str">
        <v>KH066</v>
      </c>
      <c r="C708" s="2" t="str">
        <v>KH066</v>
      </c>
      <c r="D708" s="2" t="str">
        <v>S2-00741-TT</v>
      </c>
      <c r="E708" s="2" t="str">
        <v>THU_TIEN</v>
      </c>
      <c r="F708" s="2" t="str"/>
      <c r="G708" s="2" t="str">
        <v>2026-11-02</v>
      </c>
      <c r="H708" s="2" t="str">
        <v>300000000</v>
      </c>
      <c r="I708" s="28" t="n">
        <v>300000000</v>
      </c>
      <c r="J708" s="7" t="n">
        <v>300000000</v>
      </c>
      <c r="K708" s="28" t="n">
        <f>J708-I708</f>
        <v>0</v>
      </c>
      <c r="L708" s="2" t="str">
        <v>NHẬP</v>
      </c>
      <c r="M708" s="2" t="str"/>
      <c r="N708" s="2" t="str">
        <v>KHAC</v>
      </c>
    </row>
    <row r="709" ht="25" customHeight="1">
      <c r="A709" s="2" t="str">
        <v>Q742</v>
      </c>
      <c r="B709" s="2" t="str">
        <v>KH066</v>
      </c>
      <c r="C709" s="2" t="str">
        <v>KH066</v>
      </c>
      <c r="D709" s="2" t="str">
        <v>S2-00742-BH</v>
      </c>
      <c r="E709" s="2" t="str">
        <v>BAN_HANG</v>
      </c>
      <c r="F709" s="2" t="str">
        <v>INP1003</v>
      </c>
      <c r="G709" s="2" t="str">
        <v>2026-10-03</v>
      </c>
      <c r="H709" s="2" t="str">
        <v>13999999.824</v>
      </c>
      <c r="I709" s="28" t="n">
        <v>13999999.824</v>
      </c>
      <c r="J709" s="7" t="n">
        <v>14000000</v>
      </c>
      <c r="K709" s="28" t="n">
        <f>J709-I709</f>
        <v>0.17600000090897083</v>
      </c>
      <c r="L709" s="2" t="str">
        <v>NHẬP</v>
      </c>
      <c r="M709" s="2" t="str"/>
      <c r="N709" s="2" t="str">
        <v>KHAC</v>
      </c>
    </row>
    <row r="710" ht="25" customHeight="1">
      <c r="A710" s="2" t="str">
        <v>S743</v>
      </c>
      <c r="B710" s="2" t="str">
        <v>KH066</v>
      </c>
      <c r="C710" s="2" t="str">
        <v>KH066</v>
      </c>
      <c r="D710" s="2" t="str">
        <v>S2-00743-VC</v>
      </c>
      <c r="E710" s="2" t="str">
        <v>PHI_VAN_CHUYEN</v>
      </c>
      <c r="F710" s="2" t="str"/>
      <c r="G710" s="2" t="str">
        <v>2026-10-03</v>
      </c>
      <c r="H710" s="2" t="str">
        <v>500000</v>
      </c>
      <c r="I710" s="28" t="n">
        <v>500000</v>
      </c>
      <c r="J710" s="7" t="n">
        <v>500000</v>
      </c>
      <c r="K710" s="28" t="n">
        <f>J710-I710</f>
        <v>0</v>
      </c>
      <c r="L710" s="2" t="str">
        <v>NHẬP</v>
      </c>
      <c r="M710" s="2" t="str"/>
      <c r="N710" s="2" t="str">
        <v>KHAC</v>
      </c>
    </row>
    <row r="711" ht="25" customHeight="1">
      <c r="A711" s="2" t="str">
        <v>Q744</v>
      </c>
      <c r="B711" s="2" t="str">
        <v>KH066</v>
      </c>
      <c r="C711" s="2" t="str">
        <v>KH066</v>
      </c>
      <c r="D711" s="2" t="str">
        <v>S2-00744-BH</v>
      </c>
      <c r="E711" s="2" t="str">
        <v>BAN_HANG</v>
      </c>
      <c r="F711" s="2" t="str">
        <v>INP6202</v>
      </c>
      <c r="G711" s="2" t="str">
        <v>13/3/2026</v>
      </c>
      <c r="H711" s="2" t="str">
        <v>12672000.1584</v>
      </c>
      <c r="I711" s="28" t="n">
        <v>12672000.1584</v>
      </c>
      <c r="J711" s="7" t="n">
        <v>12672000</v>
      </c>
      <c r="K711" s="28" t="n">
        <f>J711-I711</f>
        <v>-0.15839999914169312</v>
      </c>
      <c r="L711" s="2" t="str">
        <v>NHẬP</v>
      </c>
      <c r="M711" s="2" t="str"/>
      <c r="N711" s="2" t="str">
        <v>KHAC</v>
      </c>
    </row>
    <row r="712" ht="25" customHeight="1">
      <c r="A712" s="2" t="str">
        <v>Q745</v>
      </c>
      <c r="B712" s="2" t="str">
        <v>KH066</v>
      </c>
      <c r="C712" s="2" t="str">
        <v>KH066</v>
      </c>
      <c r="D712" s="2" t="str">
        <v>S2-00744-BH</v>
      </c>
      <c r="E712" s="2" t="str">
        <v>BAN_HANG</v>
      </c>
      <c r="F712" s="2" t="str">
        <v>INP6206</v>
      </c>
      <c r="G712" s="2" t="str">
        <v>13/3/2026</v>
      </c>
      <c r="H712" s="2" t="str">
        <v>10260000.0432</v>
      </c>
      <c r="I712" s="28" t="n">
        <v>10260000.0432</v>
      </c>
      <c r="J712" s="7" t="n">
        <v>10260000</v>
      </c>
      <c r="K712" s="28" t="n">
        <f>J712-I712</f>
        <v>-0.04319999925792217</v>
      </c>
      <c r="L712" s="2" t="str">
        <v>NHẬP</v>
      </c>
      <c r="M712" s="2" t="str"/>
      <c r="N712" s="2" t="str">
        <v>KHAC</v>
      </c>
    </row>
    <row r="713" ht="25" customHeight="1">
      <c r="A713" s="2" t="str">
        <v>Q746</v>
      </c>
      <c r="B713" s="2" t="str">
        <v>KH066</v>
      </c>
      <c r="C713" s="2" t="str">
        <v>KH066</v>
      </c>
      <c r="D713" s="2" t="str">
        <v>S2-00746-BH</v>
      </c>
      <c r="E713" s="2" t="str">
        <v>BAN_HANG</v>
      </c>
      <c r="F713" s="2" t="str">
        <v>INP1003</v>
      </c>
      <c r="G713" s="2" t="str">
        <v>13/3/2026</v>
      </c>
      <c r="H713" s="2" t="str">
        <v>13999999.824</v>
      </c>
      <c r="I713" s="28" t="n">
        <v>13999999.824</v>
      </c>
      <c r="J713" s="7" t="n">
        <v>14000000</v>
      </c>
      <c r="K713" s="28" t="n">
        <f>J713-I713</f>
        <v>0.17600000090897083</v>
      </c>
      <c r="L713" s="2" t="str">
        <v>NHẬP</v>
      </c>
      <c r="M713" s="2" t="str"/>
      <c r="N713" s="2" t="str">
        <v>KHAC</v>
      </c>
    </row>
    <row r="714" ht="25" customHeight="1">
      <c r="A714" s="2" t="str">
        <v>Q747</v>
      </c>
      <c r="B714" s="2" t="str">
        <v>KH066</v>
      </c>
      <c r="C714" s="2" t="str">
        <v>KH066</v>
      </c>
      <c r="D714" s="2" t="str">
        <v>S2-00746-BH</v>
      </c>
      <c r="E714" s="2" t="str">
        <v>BAN_HANG</v>
      </c>
      <c r="F714" s="2" t="str">
        <v>INP6001</v>
      </c>
      <c r="G714" s="2" t="str">
        <v>13/3/2026</v>
      </c>
      <c r="H714" s="2" t="str">
        <v>4920000.0048</v>
      </c>
      <c r="I714" s="28" t="n">
        <v>4920000.0048</v>
      </c>
      <c r="J714" s="7" t="n">
        <v>4920000</v>
      </c>
      <c r="K714" s="28" t="n">
        <f>J714-I714</f>
        <v>-0.004800000227987766</v>
      </c>
      <c r="L714" s="2" t="str">
        <v>NHẬP</v>
      </c>
      <c r="M714" s="2" t="str"/>
      <c r="N714" s="2" t="str">
        <v>KHAC</v>
      </c>
    </row>
    <row r="715" ht="25" customHeight="1">
      <c r="A715" s="2" t="str">
        <v>Q748</v>
      </c>
      <c r="B715" s="2" t="str">
        <v>KH066</v>
      </c>
      <c r="C715" s="2" t="str">
        <v>KH066</v>
      </c>
      <c r="D715" s="2" t="str">
        <v>S2-00746-BH</v>
      </c>
      <c r="E715" s="2" t="str">
        <v>BAN_HANG</v>
      </c>
      <c r="F715" s="2" t="str">
        <v>INP6003</v>
      </c>
      <c r="G715" s="2" t="str">
        <v>13/3/2026</v>
      </c>
      <c r="H715" s="2" t="str">
        <v>7359999.984</v>
      </c>
      <c r="I715" s="28" t="n">
        <v>7359999.984</v>
      </c>
      <c r="J715" s="7" t="n">
        <v>7360000</v>
      </c>
      <c r="K715" s="28" t="n">
        <f>J715-I715</f>
        <v>0.015999999828636646</v>
      </c>
      <c r="L715" s="2" t="str">
        <v>NHẬP</v>
      </c>
      <c r="M715" s="2" t="str"/>
      <c r="N715" s="2" t="str">
        <v>KHAC</v>
      </c>
    </row>
    <row r="716" ht="25" customHeight="1">
      <c r="A716" s="2" t="str">
        <v>Q749</v>
      </c>
      <c r="B716" s="2" t="str">
        <v>KH066</v>
      </c>
      <c r="C716" s="2" t="str">
        <v>KH066</v>
      </c>
      <c r="D716" s="2" t="str">
        <v>S2-00746-BH</v>
      </c>
      <c r="E716" s="2" t="str">
        <v>BAN_HANG</v>
      </c>
      <c r="F716" s="2" t="str">
        <v>INP2109</v>
      </c>
      <c r="G716" s="2" t="str">
        <v>13/3/2026</v>
      </c>
      <c r="H716" s="2" t="str">
        <v>7799999.976</v>
      </c>
      <c r="I716" s="28" t="n">
        <v>7799999.976</v>
      </c>
      <c r="J716" s="7" t="n">
        <v>7800000</v>
      </c>
      <c r="K716" s="28" t="n">
        <f>J716-I716</f>
        <v>0.024000000208616257</v>
      </c>
      <c r="L716" s="2" t="str">
        <v>NHẬP</v>
      </c>
      <c r="M716" s="2" t="str"/>
      <c r="N716" s="2" t="str">
        <v>KHAC</v>
      </c>
    </row>
    <row r="717" ht="25" customHeight="1">
      <c r="A717" s="2" t="str">
        <v>Q750</v>
      </c>
      <c r="B717" s="2" t="str">
        <v>KH066</v>
      </c>
      <c r="C717" s="2" t="str">
        <v>KH066</v>
      </c>
      <c r="D717" s="2" t="str">
        <v>S2-00746-BH</v>
      </c>
      <c r="E717" s="2" t="str">
        <v>BAN_HANG</v>
      </c>
      <c r="F717" s="2" t="str">
        <v>INP2110</v>
      </c>
      <c r="G717" s="2" t="str">
        <v>13/3/2026</v>
      </c>
      <c r="H717" s="2" t="str">
        <v>8400000.024</v>
      </c>
      <c r="I717" s="28" t="n">
        <v>8400000.024</v>
      </c>
      <c r="J717" s="7" t="n">
        <v>8400000</v>
      </c>
      <c r="K717" s="28" t="n">
        <f>J717-I717</f>
        <v>-0.024000000208616257</v>
      </c>
      <c r="L717" s="2" t="str">
        <v>NHẬP</v>
      </c>
      <c r="M717" s="2" t="str"/>
      <c r="N717" s="2" t="str">
        <v>KHAC</v>
      </c>
    </row>
    <row r="718" ht="25" customHeight="1">
      <c r="A718" s="2" t="str">
        <v>Q751</v>
      </c>
      <c r="B718" s="2" t="str">
        <v>KH066</v>
      </c>
      <c r="C718" s="2" t="str">
        <v>KH066</v>
      </c>
      <c r="D718" s="2" t="str">
        <v>S2-00746-BH</v>
      </c>
      <c r="E718" s="2" t="str">
        <v>BAN_HANG</v>
      </c>
      <c r="F718" s="2" t="str">
        <v>INP2111</v>
      </c>
      <c r="G718" s="2" t="str">
        <v>13/3/2026</v>
      </c>
      <c r="H718" s="2" t="str">
        <v>9000000.072</v>
      </c>
      <c r="I718" s="28" t="n">
        <v>9000000.072</v>
      </c>
      <c r="J718" s="7" t="n">
        <v>9000000</v>
      </c>
      <c r="K718" s="28" t="n">
        <f>J718-I718</f>
        <v>-0.07200000062584877</v>
      </c>
      <c r="L718" s="2" t="str">
        <v>NHẬP</v>
      </c>
      <c r="M718" s="2" t="str"/>
      <c r="N718" s="2" t="str">
        <v>KHAC</v>
      </c>
    </row>
    <row r="719" ht="25" customHeight="1">
      <c r="A719" s="2" t="str">
        <v>Q752</v>
      </c>
      <c r="B719" s="2" t="str">
        <v>KH066</v>
      </c>
      <c r="C719" s="2" t="str">
        <v>KH066</v>
      </c>
      <c r="D719" s="2" t="str">
        <v>S2-00746-BH</v>
      </c>
      <c r="E719" s="2" t="str">
        <v>BAN_HANG</v>
      </c>
      <c r="F719" s="2" t="str">
        <v>INP6101</v>
      </c>
      <c r="G719" s="2" t="str">
        <v>13/3/2026</v>
      </c>
      <c r="H719" s="2" t="str">
        <v>3899999.988</v>
      </c>
      <c r="I719" s="28" t="n">
        <v>3899999.988</v>
      </c>
      <c r="J719" s="7" t="n">
        <v>3900000</v>
      </c>
      <c r="K719" s="28" t="n">
        <f>J719-I719</f>
        <v>0.012000000104308128</v>
      </c>
      <c r="L719" s="2" t="str">
        <v>NHẬP</v>
      </c>
      <c r="M719" s="2" t="str"/>
      <c r="N719" s="2" t="str">
        <v>KHAC</v>
      </c>
    </row>
    <row r="720" ht="25" customHeight="1">
      <c r="A720" s="2" t="str">
        <v>Q753</v>
      </c>
      <c r="B720" s="2" t="str">
        <v>KH066</v>
      </c>
      <c r="C720" s="2" t="str">
        <v>KH066</v>
      </c>
      <c r="D720" s="2" t="str">
        <v>S2-00746-BH</v>
      </c>
      <c r="E720" s="2" t="str">
        <v>BAN_HANG</v>
      </c>
      <c r="F720" s="2" t="str">
        <v>INP6102</v>
      </c>
      <c r="G720" s="2" t="str">
        <v>13/3/2026</v>
      </c>
      <c r="H720" s="2" t="str">
        <v>6077999.9808</v>
      </c>
      <c r="I720" s="28" t="n">
        <v>6077999.9808</v>
      </c>
      <c r="J720" s="7" t="n">
        <v>6078000</v>
      </c>
      <c r="K720" s="28" t="n">
        <f>J720-I720</f>
        <v>0.01919999998062849</v>
      </c>
      <c r="L720" s="2" t="str">
        <v>NHẬP</v>
      </c>
      <c r="M720" s="2" t="str"/>
      <c r="N720" s="2" t="str">
        <v>KHAC</v>
      </c>
    </row>
    <row r="721" ht="25" customHeight="1">
      <c r="A721" s="2" t="str">
        <v>Q754</v>
      </c>
      <c r="B721" s="2" t="str">
        <v>KH066</v>
      </c>
      <c r="C721" s="2" t="str">
        <v>KH066</v>
      </c>
      <c r="D721" s="2" t="str">
        <v>S2-00746-BH</v>
      </c>
      <c r="E721" s="2" t="str">
        <v>BAN_HANG</v>
      </c>
      <c r="F721" s="2" t="str">
        <v>INP6103</v>
      </c>
      <c r="G721" s="2" t="str">
        <v>13/3/2026</v>
      </c>
      <c r="H721" s="2" t="str">
        <v>5177999.9736</v>
      </c>
      <c r="I721" s="28" t="n">
        <v>5177999.9736</v>
      </c>
      <c r="J721" s="7" t="n">
        <v>5178000</v>
      </c>
      <c r="K721" s="28" t="n">
        <f>J721-I721</f>
        <v>0.026399999856948853</v>
      </c>
      <c r="L721" s="2" t="str">
        <v>NHẬP</v>
      </c>
      <c r="M721" s="2" t="str"/>
      <c r="N721" s="2" t="str">
        <v>KHAC</v>
      </c>
    </row>
    <row r="722" ht="25" customHeight="1">
      <c r="A722" s="2" t="str">
        <v>Q755</v>
      </c>
      <c r="B722" s="2" t="str">
        <v>KH066</v>
      </c>
      <c r="C722" s="2" t="str">
        <v>KH066</v>
      </c>
      <c r="D722" s="2" t="str">
        <v>S2-00746-BH</v>
      </c>
      <c r="E722" s="2" t="str">
        <v>BAN_HANG</v>
      </c>
      <c r="F722" s="2" t="str">
        <v>INP6104</v>
      </c>
      <c r="G722" s="2" t="str">
        <v>13/3/2026</v>
      </c>
      <c r="H722" s="2" t="str">
        <v>6528000.0168</v>
      </c>
      <c r="I722" s="28" t="n">
        <v>6528000.0168</v>
      </c>
      <c r="J722" s="7" t="n">
        <v>6528000</v>
      </c>
      <c r="K722" s="28" t="n">
        <f>J722-I722</f>
        <v>-0.016800000332295895</v>
      </c>
      <c r="L722" s="2" t="str">
        <v>NHẬP</v>
      </c>
      <c r="M722" s="2" t="str"/>
      <c r="N722" s="2" t="str">
        <v>KHAC</v>
      </c>
    </row>
    <row r="723" ht="25" customHeight="1">
      <c r="A723" s="2" t="str">
        <v>Q756</v>
      </c>
      <c r="B723" s="2" t="str">
        <v>KH066</v>
      </c>
      <c r="C723" s="2" t="str">
        <v>KH066</v>
      </c>
      <c r="D723" s="2" t="str">
        <v>S2-00746-BH</v>
      </c>
      <c r="E723" s="2" t="str">
        <v>BAN_HANG</v>
      </c>
      <c r="F723" s="2" t="str">
        <v>INP6201</v>
      </c>
      <c r="G723" s="2" t="str">
        <v>13/3/2026</v>
      </c>
      <c r="H723" s="2" t="str">
        <v>4199999.9472</v>
      </c>
      <c r="I723" s="28" t="n">
        <v>4199999.9472</v>
      </c>
      <c r="J723" s="7" t="n">
        <v>4200000</v>
      </c>
      <c r="K723" s="28" t="n">
        <f>J723-I723</f>
        <v>0.052799999713897705</v>
      </c>
      <c r="L723" s="2" t="str">
        <v>NHẬP</v>
      </c>
      <c r="M723" s="2" t="str"/>
      <c r="N723" s="2" t="str">
        <v>KHAC</v>
      </c>
    </row>
    <row r="724" ht="25" customHeight="1">
      <c r="A724" s="2" t="str">
        <v>Q757</v>
      </c>
      <c r="B724" s="2" t="str">
        <v>KH066</v>
      </c>
      <c r="C724" s="2" t="str">
        <v>KH066</v>
      </c>
      <c r="D724" s="2" t="str">
        <v>S2-00746-BH</v>
      </c>
      <c r="E724" s="2" t="str">
        <v>BAN_HANG</v>
      </c>
      <c r="F724" s="2" t="str">
        <v>INP6203</v>
      </c>
      <c r="G724" s="2" t="str">
        <v>13/3/2026</v>
      </c>
      <c r="H724" s="2" t="str">
        <v>4523999.9472</v>
      </c>
      <c r="I724" s="28" t="n">
        <v>4523999.9472</v>
      </c>
      <c r="J724" s="7" t="n">
        <v>4524000</v>
      </c>
      <c r="K724" s="28" t="n">
        <f>J724-I724</f>
        <v>0.052799999713897705</v>
      </c>
      <c r="L724" s="2" t="str">
        <v>NHẬP</v>
      </c>
      <c r="M724" s="2" t="str"/>
      <c r="N724" s="2" t="str">
        <v>KHAC</v>
      </c>
    </row>
    <row r="725" ht="25" customHeight="1">
      <c r="A725" s="2" t="str">
        <v>Q758</v>
      </c>
      <c r="B725" s="2" t="str">
        <v>KH066</v>
      </c>
      <c r="C725" s="2" t="str">
        <v>KH066</v>
      </c>
      <c r="D725" s="2" t="str">
        <v>S2-00746-BH</v>
      </c>
      <c r="E725" s="2" t="str">
        <v>BAN_HANG</v>
      </c>
      <c r="F725" s="2" t="str">
        <v>INP6204</v>
      </c>
      <c r="G725" s="2" t="str">
        <v>13/3/2026</v>
      </c>
      <c r="H725" s="2" t="str">
        <v>3684000.0096</v>
      </c>
      <c r="I725" s="28" t="n">
        <v>3684000.0096</v>
      </c>
      <c r="J725" s="7" t="n">
        <v>3684000</v>
      </c>
      <c r="K725" s="28" t="n">
        <f>J725-I725</f>
        <v>-0.009599999990314245</v>
      </c>
      <c r="L725" s="2" t="str">
        <v>NHẬP</v>
      </c>
      <c r="M725" s="2" t="str"/>
      <c r="N725" s="2" t="str">
        <v>KHAC</v>
      </c>
    </row>
    <row r="726" ht="25" customHeight="1">
      <c r="A726" s="2" t="str">
        <v>Q759</v>
      </c>
      <c r="B726" s="2" t="str">
        <v>KH066</v>
      </c>
      <c r="C726" s="2" t="str">
        <v>KH066</v>
      </c>
      <c r="D726" s="2" t="str">
        <v>S2-00746-BH</v>
      </c>
      <c r="E726" s="2" t="str">
        <v>BAN_HANG</v>
      </c>
      <c r="F726" s="2" t="str">
        <v>INP6205</v>
      </c>
      <c r="G726" s="2" t="str">
        <v>13/3/2026</v>
      </c>
      <c r="H726" s="2" t="str">
        <v>3636000.0576</v>
      </c>
      <c r="I726" s="28" t="n">
        <v>3636000.0576</v>
      </c>
      <c r="J726" s="7" t="n">
        <v>3636000</v>
      </c>
      <c r="K726" s="28" t="n">
        <f>J726-I726</f>
        <v>-0.05759999994188547</v>
      </c>
      <c r="L726" s="2" t="str">
        <v>NHẬP</v>
      </c>
      <c r="M726" s="2" t="str"/>
      <c r="N726" s="2" t="str">
        <v>KHAC</v>
      </c>
    </row>
    <row r="727" ht="25" customHeight="1">
      <c r="A727" s="2" t="str">
        <v>S761</v>
      </c>
      <c r="B727" s="2" t="str">
        <v>KH066</v>
      </c>
      <c r="C727" s="2" t="str">
        <v>KH066</v>
      </c>
      <c r="D727" s="2" t="str">
        <v>S2-00761-VC</v>
      </c>
      <c r="E727" s="2" t="str">
        <v>PHI_VAN_CHUYEN</v>
      </c>
      <c r="F727" s="2" t="str"/>
      <c r="G727" s="2" t="str">
        <v>13/3/2026</v>
      </c>
      <c r="H727" s="2" t="str">
        <v>500000</v>
      </c>
      <c r="I727" s="28" t="n">
        <v>500000</v>
      </c>
      <c r="J727" s="7" t="n">
        <v>500000</v>
      </c>
      <c r="K727" s="28" t="n">
        <f>J727-I727</f>
        <v>0</v>
      </c>
      <c r="L727" s="2" t="str">
        <v>NHẬP</v>
      </c>
      <c r="M727" s="2" t="str"/>
      <c r="N727" s="2" t="str">
        <v>KHAC</v>
      </c>
    </row>
    <row r="728" ht="25" customHeight="1">
      <c r="A728" s="2" t="str">
        <v>Q762</v>
      </c>
      <c r="B728" s="2" t="str">
        <v>KH066</v>
      </c>
      <c r="C728" s="2" t="str">
        <v>KH066</v>
      </c>
      <c r="D728" s="2" t="str">
        <v>S2-00762-TH</v>
      </c>
      <c r="E728" s="2" t="str">
        <v>TRA_HANG</v>
      </c>
      <c r="F728" s="2" t="str">
        <v>INP3201</v>
      </c>
      <c r="G728" s="2" t="str">
        <v>25/04/2026</v>
      </c>
      <c r="H728" s="2" t="str">
        <v>4619999.8944</v>
      </c>
      <c r="I728" s="28" t="n">
        <v>4619999.8944</v>
      </c>
      <c r="J728" s="7" t="n">
        <v>4620000</v>
      </c>
      <c r="K728" s="28" t="n">
        <f>J728-I728</f>
        <v>0.10560000035911798</v>
      </c>
      <c r="L728" s="2" t="str">
        <v>NHẬP</v>
      </c>
      <c r="M728" s="2" t="str"/>
      <c r="N728" s="2" t="str">
        <v>KHAC</v>
      </c>
    </row>
    <row r="729" ht="25" customHeight="1">
      <c r="A729" s="2" t="str">
        <v>Q763</v>
      </c>
      <c r="B729" s="2" t="str">
        <v>KH066</v>
      </c>
      <c r="C729" s="2" t="str">
        <v>KH066</v>
      </c>
      <c r="D729" s="2" t="str">
        <v>S2-00763-BH</v>
      </c>
      <c r="E729" s="2" t="str">
        <v>BAN_HANG</v>
      </c>
      <c r="F729" s="2" t="str">
        <v>INP2101</v>
      </c>
      <c r="G729" s="2" t="str">
        <v>25/04/2026</v>
      </c>
      <c r="H729" s="2" t="str">
        <v>10120000.032</v>
      </c>
      <c r="I729" s="28" t="n">
        <v>10120000.032</v>
      </c>
      <c r="J729" s="7" t="n">
        <v>10120000</v>
      </c>
      <c r="K729" s="28" t="n">
        <f>J729-I729</f>
        <v>-0.03199999965727329</v>
      </c>
      <c r="L729" s="2" t="str">
        <v>NHẬP</v>
      </c>
      <c r="M729" s="2" t="str"/>
      <c r="N729" s="2" t="str">
        <v>KHAC</v>
      </c>
    </row>
    <row r="730" ht="25" customHeight="1">
      <c r="A730" s="2" t="str">
        <v>Q764</v>
      </c>
      <c r="B730" s="2" t="str">
        <v>KH066</v>
      </c>
      <c r="C730" s="2" t="str">
        <v>KH066</v>
      </c>
      <c r="D730" s="2" t="str">
        <v>S2-00763-BH</v>
      </c>
      <c r="E730" s="2" t="str">
        <v>BAN_HANG</v>
      </c>
      <c r="F730" s="2" t="str">
        <v>INP2102</v>
      </c>
      <c r="G730" s="2" t="str">
        <v>25/04/2026</v>
      </c>
      <c r="H730" s="2" t="str">
        <v>11079999.936</v>
      </c>
      <c r="I730" s="28" t="n">
        <v>11079999.936</v>
      </c>
      <c r="J730" s="7" t="n">
        <v>11080000</v>
      </c>
      <c r="K730" s="28" t="n">
        <f>J730-I730</f>
        <v>0.06399999931454659</v>
      </c>
      <c r="L730" s="2" t="str">
        <v>NHẬP</v>
      </c>
      <c r="M730" s="2" t="str"/>
      <c r="N730" s="2" t="str">
        <v>KHAC</v>
      </c>
    </row>
    <row r="731" ht="25" customHeight="1">
      <c r="A731" s="2" t="str">
        <v>Q765</v>
      </c>
      <c r="B731" s="2" t="str">
        <v>KH066</v>
      </c>
      <c r="C731" s="2" t="str">
        <v>KH066</v>
      </c>
      <c r="D731" s="2" t="str">
        <v>S2-00763-BH</v>
      </c>
      <c r="E731" s="2" t="str">
        <v>BAN_HANG</v>
      </c>
      <c r="F731" s="2" t="str">
        <v>INP2103</v>
      </c>
      <c r="G731" s="2" t="str">
        <v>25/04/2026</v>
      </c>
      <c r="H731" s="2" t="str">
        <v>12159999.936</v>
      </c>
      <c r="I731" s="28" t="n">
        <v>12159999.936</v>
      </c>
      <c r="J731" s="7" t="n">
        <v>12160000</v>
      </c>
      <c r="K731" s="28" t="n">
        <f>J731-I731</f>
        <v>0.06399999931454659</v>
      </c>
      <c r="L731" s="2" t="str">
        <v>NHẬP</v>
      </c>
      <c r="M731" s="2" t="str"/>
      <c r="N731" s="2" t="str">
        <v>KHAC</v>
      </c>
    </row>
    <row r="732" ht="25" customHeight="1">
      <c r="A732" s="2" t="str">
        <v>Q766</v>
      </c>
      <c r="B732" s="2" t="str">
        <v>KH066</v>
      </c>
      <c r="C732" s="2" t="str">
        <v>KH066</v>
      </c>
      <c r="D732" s="2" t="str">
        <v>S2-00763-BH</v>
      </c>
      <c r="E732" s="2" t="str">
        <v>BAN_HANG</v>
      </c>
      <c r="F732" s="2" t="str">
        <v>INP6001</v>
      </c>
      <c r="G732" s="2" t="str">
        <v>25/04/2026</v>
      </c>
      <c r="H732" s="2" t="str">
        <v>19680000.0192</v>
      </c>
      <c r="I732" s="28" t="n">
        <v>19680000.0192</v>
      </c>
      <c r="J732" s="7" t="n">
        <v>19680000</v>
      </c>
      <c r="K732" s="28" t="n">
        <f>J732-I732</f>
        <v>-0.019200000911951065</v>
      </c>
      <c r="L732" s="2" t="str">
        <v>NHẬP</v>
      </c>
      <c r="M732" s="2" t="str"/>
      <c r="N732" s="2" t="str">
        <v>KHAC</v>
      </c>
    </row>
    <row r="733" ht="25" customHeight="1">
      <c r="A733" s="2" t="str">
        <v>Q767</v>
      </c>
      <c r="B733" s="2" t="str">
        <v>KH066</v>
      </c>
      <c r="C733" s="2" t="str">
        <v>KH066</v>
      </c>
      <c r="D733" s="2" t="str">
        <v>S2-00763-BH</v>
      </c>
      <c r="E733" s="2" t="str">
        <v>BAN_HANG</v>
      </c>
      <c r="F733" s="2" t="str">
        <v>INP6002</v>
      </c>
      <c r="G733" s="2" t="str">
        <v>25/04/2026</v>
      </c>
      <c r="H733" s="2" t="str">
        <v>18959999.9616</v>
      </c>
      <c r="I733" s="28" t="n">
        <v>18959999.9616</v>
      </c>
      <c r="J733" s="7" t="n">
        <v>18960000</v>
      </c>
      <c r="K733" s="28" t="n">
        <f>J733-I733</f>
        <v>0.03840000182390213</v>
      </c>
      <c r="L733" s="2" t="str">
        <v>NHẬP</v>
      </c>
      <c r="M733" s="2" t="str"/>
      <c r="N733" s="2" t="str">
        <v>KHAC</v>
      </c>
    </row>
    <row r="734" ht="25" customHeight="1">
      <c r="A734" s="2" t="str">
        <v>Q768</v>
      </c>
      <c r="B734" s="2" t="str">
        <v>KH066</v>
      </c>
      <c r="C734" s="2" t="str">
        <v>KH066</v>
      </c>
      <c r="D734" s="2" t="str">
        <v>S2-00763-BH</v>
      </c>
      <c r="E734" s="2" t="str">
        <v>BAN_HANG</v>
      </c>
      <c r="F734" s="2" t="str">
        <v>INP6103</v>
      </c>
      <c r="G734" s="2" t="str"/>
      <c r="H734" s="2" t="str">
        <v>10355999.9472</v>
      </c>
      <c r="I734" s="28" t="n">
        <v>10355999.9472</v>
      </c>
      <c r="J734" s="7" t="n">
        <v>10356000</v>
      </c>
      <c r="K734" s="28" t="n">
        <f>J734-I734</f>
        <v>0.052799999713897705</v>
      </c>
      <c r="L734" s="2" t="str">
        <v>NHẬP</v>
      </c>
      <c r="M734" s="2" t="str"/>
      <c r="N734" s="2" t="str">
        <v>KHAC</v>
      </c>
    </row>
    <row r="735" ht="25" customHeight="1">
      <c r="A735" s="2" t="str">
        <v>Q770</v>
      </c>
      <c r="B735" s="2" t="str">
        <v>KH066</v>
      </c>
      <c r="C735" s="2" t="str">
        <v>KH066</v>
      </c>
      <c r="D735" s="2" t="str">
        <v>S2-00770-BH</v>
      </c>
      <c r="E735" s="2" t="str">
        <v>BAN_HANG</v>
      </c>
      <c r="F735" s="2" t="str">
        <v>INP2104</v>
      </c>
      <c r="G735" s="2" t="str">
        <v>25/04/2026</v>
      </c>
      <c r="H735" s="2" t="str">
        <v>12880000.08</v>
      </c>
      <c r="I735" s="28" t="n">
        <v>12880000.08</v>
      </c>
      <c r="J735" s="7" t="n">
        <v>12880000</v>
      </c>
      <c r="K735" s="28" t="n">
        <f>J735-I735</f>
        <v>-0.0800000000745058</v>
      </c>
      <c r="L735" s="2" t="str">
        <v>NHẬP</v>
      </c>
      <c r="M735" s="2" t="str"/>
      <c r="N735" s="2" t="str">
        <v>KHAC</v>
      </c>
    </row>
    <row r="736" ht="25" customHeight="1">
      <c r="A736" s="2" t="str">
        <v>S771</v>
      </c>
      <c r="B736" s="2" t="str">
        <v>KH066</v>
      </c>
      <c r="C736" s="2" t="str">
        <v>KH066</v>
      </c>
      <c r="D736" s="2" t="str">
        <v>S2-00771-VC</v>
      </c>
      <c r="E736" s="2" t="str">
        <v>PHI_VAN_CHUYEN</v>
      </c>
      <c r="F736" s="2" t="str"/>
      <c r="G736" s="2" t="str">
        <v>25/04/2026</v>
      </c>
      <c r="H736" s="2" t="str">
        <v>500000</v>
      </c>
      <c r="I736" s="28" t="n">
        <v>500000</v>
      </c>
      <c r="J736" s="7" t="n">
        <v>500000</v>
      </c>
      <c r="K736" s="28" t="n">
        <f>J736-I736</f>
        <v>0</v>
      </c>
      <c r="L736" s="2" t="str">
        <v>NHẬP</v>
      </c>
      <c r="M736" s="2" t="str"/>
      <c r="N736" s="2" t="str">
        <v>KHAC</v>
      </c>
    </row>
    <row r="737" ht="25" customHeight="1">
      <c r="A737" s="2" t="str">
        <v>Q772</v>
      </c>
      <c r="B737" s="2" t="str">
        <v>KH066</v>
      </c>
      <c r="C737" s="2" t="str">
        <v>KH066</v>
      </c>
      <c r="D737" s="2" t="str">
        <v>S2-00772-TH</v>
      </c>
      <c r="E737" s="2" t="str">
        <v>TRA_HANG</v>
      </c>
      <c r="F737" s="2" t="str">
        <v>INP1003</v>
      </c>
      <c r="G737" s="2" t="str">
        <v>2026-03-06</v>
      </c>
      <c r="H737" s="2" t="str">
        <v>6999999.912</v>
      </c>
      <c r="I737" s="28" t="n">
        <v>6999999.912</v>
      </c>
      <c r="J737" s="7" t="n">
        <v>7000000</v>
      </c>
      <c r="K737" s="28" t="n">
        <f>J737-I737</f>
        <v>0.08800000045448542</v>
      </c>
      <c r="L737" s="2" t="str">
        <v>NHẬP</v>
      </c>
      <c r="M737" s="2" t="str"/>
      <c r="N737" s="2" t="str">
        <v>KHAC</v>
      </c>
    </row>
    <row r="738" ht="25" customHeight="1">
      <c r="A738" s="2" t="str">
        <v>Q773</v>
      </c>
      <c r="B738" s="2" t="str">
        <v>KH066</v>
      </c>
      <c r="C738" s="2" t="str">
        <v>KH066</v>
      </c>
      <c r="D738" s="2" t="str">
        <v>S2-00773-BH</v>
      </c>
      <c r="E738" s="2" t="str">
        <v>BAN_HANG</v>
      </c>
      <c r="F738" s="2" t="str">
        <v>INP6701</v>
      </c>
      <c r="G738" s="2" t="str">
        <v>22/06/2026</v>
      </c>
      <c r="H738" s="2" t="str">
        <v>37439999.8848</v>
      </c>
      <c r="I738" s="28" t="n">
        <v>37439999.8848</v>
      </c>
      <c r="J738" s="7" t="n">
        <v>37440000</v>
      </c>
      <c r="K738" s="28" t="n">
        <f>J738-I738</f>
        <v>0.1151999980211258</v>
      </c>
      <c r="L738" s="2" t="str">
        <v>NHẬP</v>
      </c>
      <c r="M738" s="2" t="str"/>
      <c r="N738" s="2" t="str">
        <v>KHAC</v>
      </c>
    </row>
    <row r="739" ht="25" customHeight="1">
      <c r="A739" s="2" t="str">
        <v>Q774</v>
      </c>
      <c r="B739" s="2" t="str">
        <v>KH066</v>
      </c>
      <c r="C739" s="2" t="str">
        <v>KH066</v>
      </c>
      <c r="D739" s="2" t="str">
        <v>S2-00773-BH</v>
      </c>
      <c r="E739" s="2" t="str">
        <v>BAN_HANG</v>
      </c>
      <c r="F739" s="2" t="str">
        <v>INP2101</v>
      </c>
      <c r="G739" s="2" t="str">
        <v>22/06/2026</v>
      </c>
      <c r="H739" s="2" t="str">
        <v>7590000.024</v>
      </c>
      <c r="I739" s="28" t="n">
        <v>7590000.024</v>
      </c>
      <c r="J739" s="7" t="n">
        <v>7590000</v>
      </c>
      <c r="K739" s="28" t="n">
        <f>J739-I739</f>
        <v>-0.024000000208616257</v>
      </c>
      <c r="L739" s="2" t="str">
        <v>NHẬP</v>
      </c>
      <c r="M739" s="2" t="str"/>
      <c r="N739" s="2" t="str">
        <v>KHAC</v>
      </c>
    </row>
    <row r="740" ht="25" customHeight="1">
      <c r="A740" s="2" t="str">
        <v>Q775</v>
      </c>
      <c r="B740" s="2" t="str">
        <v>KH066</v>
      </c>
      <c r="C740" s="2" t="str">
        <v>KH066</v>
      </c>
      <c r="D740" s="2" t="str">
        <v>S2-00773-BH</v>
      </c>
      <c r="E740" s="2" t="str">
        <v>BAN_HANG</v>
      </c>
      <c r="F740" s="2" t="str">
        <v>INP2102</v>
      </c>
      <c r="G740" s="2" t="str">
        <v>22/06/2026</v>
      </c>
      <c r="H740" s="2" t="str">
        <v>8309999.952</v>
      </c>
      <c r="I740" s="28" t="n">
        <v>8309999.952</v>
      </c>
      <c r="J740" s="7" t="n">
        <v>8310000</v>
      </c>
      <c r="K740" s="28" t="n">
        <f>J740-I740</f>
        <v>0.04800000041723251</v>
      </c>
      <c r="L740" s="2" t="str">
        <v>NHẬP</v>
      </c>
      <c r="M740" s="2" t="str"/>
      <c r="N740" s="2" t="str">
        <v>KHAC</v>
      </c>
    </row>
    <row r="741" ht="25" customHeight="1">
      <c r="A741" s="2" t="str">
        <v>Q776</v>
      </c>
      <c r="B741" s="2" t="str">
        <v>KH066</v>
      </c>
      <c r="C741" s="2" t="str">
        <v>KH066</v>
      </c>
      <c r="D741" s="2" t="str">
        <v>S2-00773-BH</v>
      </c>
      <c r="E741" s="2" t="str">
        <v>BAN_HANG</v>
      </c>
      <c r="F741" s="2" t="str">
        <v>INP2103</v>
      </c>
      <c r="G741" s="2" t="str">
        <v>22/06/2026</v>
      </c>
      <c r="H741" s="2" t="str">
        <v>9119999.952</v>
      </c>
      <c r="I741" s="28" t="n">
        <v>9119999.952</v>
      </c>
      <c r="J741" s="7" t="n">
        <v>9120000</v>
      </c>
      <c r="K741" s="28" t="n">
        <f>J741-I741</f>
        <v>0.04800000041723251</v>
      </c>
      <c r="L741" s="2" t="str">
        <v>NHẬP</v>
      </c>
      <c r="M741" s="2" t="str"/>
      <c r="N741" s="2" t="str">
        <v>KHAC</v>
      </c>
    </row>
    <row r="742" ht="25" customHeight="1">
      <c r="A742" s="2" t="str">
        <v>Q777</v>
      </c>
      <c r="B742" s="2" t="str">
        <v>KH066</v>
      </c>
      <c r="C742" s="2" t="str">
        <v>KH066</v>
      </c>
      <c r="D742" s="2" t="str">
        <v>S2-00773-BH</v>
      </c>
      <c r="E742" s="2" t="str">
        <v>BAN_HANG</v>
      </c>
      <c r="F742" s="2" t="str">
        <v>INP2104</v>
      </c>
      <c r="G742" s="2" t="str">
        <v>22/06/2026</v>
      </c>
      <c r="H742" s="2" t="str">
        <v>9660000.06</v>
      </c>
      <c r="I742" s="28" t="n">
        <v>9660000.06</v>
      </c>
      <c r="J742" s="7" t="n">
        <v>9660000</v>
      </c>
      <c r="K742" s="28" t="n">
        <f>J742-I742</f>
        <v>-0.06000000052154064</v>
      </c>
      <c r="L742" s="2" t="str">
        <v>NHẬP</v>
      </c>
      <c r="M742" s="2" t="str"/>
      <c r="N742" s="2" t="str">
        <v>KHAC</v>
      </c>
    </row>
    <row r="743" ht="25" customHeight="1">
      <c r="A743" s="2" t="str">
        <v>Q778</v>
      </c>
      <c r="B743" s="2" t="str">
        <v>KH066</v>
      </c>
      <c r="C743" s="2" t="str">
        <v>KH066</v>
      </c>
      <c r="D743" s="2" t="str">
        <v>S2-00773-BH</v>
      </c>
      <c r="E743" s="2" t="str">
        <v>BAN_HANG</v>
      </c>
      <c r="F743" s="2" t="str">
        <v>INP6101</v>
      </c>
      <c r="G743" s="2" t="str">
        <v>22/06/2026</v>
      </c>
      <c r="H743" s="2" t="str">
        <v>11699999.964</v>
      </c>
      <c r="I743" s="28" t="n">
        <v>11699999.964</v>
      </c>
      <c r="J743" s="7" t="n">
        <v>11700000</v>
      </c>
      <c r="K743" s="28" t="n">
        <f>J743-I743</f>
        <v>0.036000000312924385</v>
      </c>
      <c r="L743" s="2" t="str">
        <v>NHẬP</v>
      </c>
      <c r="M743" s="2" t="str"/>
      <c r="N743" s="2" t="str">
        <v>KHAC</v>
      </c>
    </row>
    <row r="744" ht="25" customHeight="1">
      <c r="A744" s="2" t="str">
        <v>Q780</v>
      </c>
      <c r="B744" s="2" t="str">
        <v>KH066</v>
      </c>
      <c r="C744" s="2" t="str">
        <v>KH066</v>
      </c>
      <c r="D744" s="2" t="str">
        <v>S2-00780-BH</v>
      </c>
      <c r="E744" s="2" t="str">
        <v>BAN_HANG</v>
      </c>
      <c r="F744" s="2" t="str">
        <v>INP6403</v>
      </c>
      <c r="G744" s="2" t="str">
        <v>22/06/2026</v>
      </c>
      <c r="H744" s="2" t="str">
        <v>14999999.904</v>
      </c>
      <c r="I744" s="28" t="n">
        <v>14999999.904</v>
      </c>
      <c r="J744" s="7" t="n">
        <v>15000000</v>
      </c>
      <c r="K744" s="28" t="n">
        <f>J744-I744</f>
        <v>0.09600000083446503</v>
      </c>
      <c r="L744" s="2" t="str">
        <v>NHẬP</v>
      </c>
      <c r="M744" s="2" t="str"/>
      <c r="N744" s="2" t="str">
        <v>QUAT</v>
      </c>
    </row>
    <row r="745" ht="25" customHeight="1">
      <c r="A745" s="2" t="str">
        <v>Q781</v>
      </c>
      <c r="B745" s="2" t="str">
        <v>KH066</v>
      </c>
      <c r="C745" s="2" t="str">
        <v>KH066</v>
      </c>
      <c r="D745" s="2" t="str">
        <v>S2-00781-BH</v>
      </c>
      <c r="E745" s="2" t="str">
        <v>BAN_HANG</v>
      </c>
      <c r="F745" s="2" t="str">
        <v>INP6902</v>
      </c>
      <c r="G745" s="2" t="str">
        <v>22/06/2026</v>
      </c>
      <c r="H745" s="2" t="str">
        <v>8799999.948</v>
      </c>
      <c r="I745" s="28" t="n">
        <v>8799999.948</v>
      </c>
      <c r="J745" s="7" t="n">
        <v>8800000</v>
      </c>
      <c r="K745" s="28" t="n">
        <f>J745-I745</f>
        <v>0.05199999921023846</v>
      </c>
      <c r="L745" s="2" t="str">
        <v>NHẬP</v>
      </c>
      <c r="M745" s="2" t="str"/>
      <c r="N745" s="2" t="str">
        <v>KHAC</v>
      </c>
    </row>
    <row r="746" ht="25" customHeight="1">
      <c r="A746" s="2" t="str">
        <v>Q782</v>
      </c>
      <c r="B746" s="2" t="str">
        <v>KH066</v>
      </c>
      <c r="C746" s="2" t="str">
        <v>KH066</v>
      </c>
      <c r="D746" s="2" t="str">
        <v>S2-00781-BH</v>
      </c>
      <c r="E746" s="2" t="str">
        <v>BAN_HANG</v>
      </c>
      <c r="F746" s="2" t="str">
        <v>INP6903</v>
      </c>
      <c r="G746" s="2" t="str">
        <v>22/06/2026</v>
      </c>
      <c r="H746" s="2" t="str">
        <v>5879999.952</v>
      </c>
      <c r="I746" s="28" t="n">
        <v>5879999.952</v>
      </c>
      <c r="J746" s="7" t="n">
        <v>5880000</v>
      </c>
      <c r="K746" s="28" t="n">
        <f>J746-I746</f>
        <v>0.04800000041723251</v>
      </c>
      <c r="L746" s="2" t="str">
        <v>NHẬP</v>
      </c>
      <c r="M746" s="2" t="str"/>
      <c r="N746" s="2" t="str">
        <v>KHAC</v>
      </c>
    </row>
    <row r="747" ht="25" customHeight="1">
      <c r="A747" s="2" t="str">
        <v>S783</v>
      </c>
      <c r="B747" s="2" t="str">
        <v>KH066</v>
      </c>
      <c r="C747" s="2" t="str">
        <v>KH066</v>
      </c>
      <c r="D747" s="2" t="str">
        <v>S2-00783-VC</v>
      </c>
      <c r="E747" s="2" t="str">
        <v>PHI_VAN_CHUYEN</v>
      </c>
      <c r="F747" s="2" t="str"/>
      <c r="G747" s="2" t="str">
        <v>22/06/2026</v>
      </c>
      <c r="H747" s="2" t="str">
        <v>500000</v>
      </c>
      <c r="I747" s="28" t="n">
        <v>500000</v>
      </c>
      <c r="J747" s="7" t="n">
        <v>500000</v>
      </c>
      <c r="K747" s="28" t="n">
        <f>J747-I747</f>
        <v>0</v>
      </c>
      <c r="L747" s="2" t="str">
        <v>NHẬP</v>
      </c>
      <c r="M747" s="2" t="str"/>
      <c r="N747" s="2" t="str">
        <v>KHAC</v>
      </c>
    </row>
    <row r="748" ht="25" customHeight="1">
      <c r="A748" s="2" t="str">
        <v>R784</v>
      </c>
      <c r="B748" s="2" t="str">
        <v>KH066</v>
      </c>
      <c r="C748" s="2" t="str">
        <v>KH066</v>
      </c>
      <c r="D748" s="2" t="str">
        <v>S2-00784-TT</v>
      </c>
      <c r="E748" s="2" t="str">
        <v>THU_TIEN</v>
      </c>
      <c r="F748" s="2" t="str"/>
      <c r="G748" s="2" t="str">
        <v>23/06/2026</v>
      </c>
      <c r="H748" s="2" t="str">
        <v>150000000</v>
      </c>
      <c r="I748" s="28" t="n">
        <v>150000000</v>
      </c>
      <c r="J748" s="7" t="n">
        <v>150000000</v>
      </c>
      <c r="K748" s="28" t="n">
        <f>J748-I748</f>
        <v>0</v>
      </c>
      <c r="L748" s="2" t="str">
        <v>NHẬP</v>
      </c>
      <c r="M748" s="2" t="str"/>
      <c r="N748" s="2" t="str">
        <v>KHAC</v>
      </c>
    </row>
    <row r="749" ht="25" customHeight="1">
      <c r="A749" s="2" t="str">
        <v>Q785</v>
      </c>
      <c r="B749" s="2" t="str">
        <v>KH066</v>
      </c>
      <c r="C749" s="2" t="str">
        <v>KH066</v>
      </c>
      <c r="D749" s="2" t="str">
        <v>S2-00785-BH</v>
      </c>
      <c r="E749" s="2" t="str">
        <v>BAN_HANG</v>
      </c>
      <c r="F749" s="2" t="str">
        <v>INP6902</v>
      </c>
      <c r="G749" s="2" t="str">
        <v>2026-10-07</v>
      </c>
      <c r="H749" s="2" t="str">
        <v>17599999.896</v>
      </c>
      <c r="I749" s="28" t="n">
        <v>17599999.896</v>
      </c>
      <c r="J749" s="7" t="n">
        <v>17600000</v>
      </c>
      <c r="K749" s="28" t="n">
        <f>J749-I749</f>
        <v>0.10399999842047691</v>
      </c>
      <c r="L749" s="2" t="str">
        <v>NHẬP</v>
      </c>
      <c r="M749" s="2" t="str"/>
      <c r="N749" s="2" t="str">
        <v>KHAC</v>
      </c>
    </row>
    <row r="750" ht="25" customHeight="1">
      <c r="A750" s="2" t="str">
        <v>Q786</v>
      </c>
      <c r="B750" s="2" t="str">
        <v>KH066</v>
      </c>
      <c r="C750" s="2" t="str">
        <v>KH066</v>
      </c>
      <c r="D750" s="2" t="str">
        <v>S2-00786-BH</v>
      </c>
      <c r="E750" s="2" t="str">
        <v>BAN_HANG</v>
      </c>
      <c r="F750" s="2" t="str">
        <v>INP2202</v>
      </c>
      <c r="G750" s="2" t="str">
        <v>2026-10-07</v>
      </c>
      <c r="H750" s="2" t="str">
        <v>7296000.048</v>
      </c>
      <c r="I750" s="28" t="n">
        <v>7296000.048</v>
      </c>
      <c r="J750" s="7" t="n">
        <v>7296000</v>
      </c>
      <c r="K750" s="28" t="n">
        <f>J750-I750</f>
        <v>-0.04800000041723251</v>
      </c>
      <c r="L750" s="2" t="str">
        <v>NHẬP</v>
      </c>
      <c r="M750" s="2" t="str"/>
      <c r="N750" s="2" t="str">
        <v>KHAC</v>
      </c>
    </row>
    <row r="751" ht="25" customHeight="1">
      <c r="A751" s="2" t="str">
        <v>S787</v>
      </c>
      <c r="B751" s="2" t="str">
        <v>KH066</v>
      </c>
      <c r="C751" s="2" t="str">
        <v>KH066</v>
      </c>
      <c r="D751" s="2" t="str">
        <v>S2-00787-VC</v>
      </c>
      <c r="E751" s="2" t="str">
        <v>PHI_VAN_CHUYEN</v>
      </c>
      <c r="F751" s="2" t="str"/>
      <c r="G751" s="2" t="str">
        <v>2026-10-07</v>
      </c>
      <c r="H751" s="2" t="str">
        <v>500000</v>
      </c>
      <c r="I751" s="28" t="n">
        <v>500000</v>
      </c>
      <c r="J751" s="7" t="n">
        <v>500000</v>
      </c>
      <c r="K751" s="28" t="n">
        <f>J751-I751</f>
        <v>0</v>
      </c>
      <c r="L751" s="2" t="str">
        <v>NHẬP</v>
      </c>
      <c r="M751" s="2" t="str"/>
      <c r="N751" s="2" t="str">
        <v>KHAC</v>
      </c>
    </row>
    <row r="752" ht="25" customHeight="1">
      <c r="A752" s="2" t="str">
        <v>Q788</v>
      </c>
      <c r="B752" s="2" t="str">
        <v>KH066</v>
      </c>
      <c r="C752" s="2" t="str">
        <v>KH066</v>
      </c>
      <c r="D752" s="2" t="str">
        <v>S2-00788-BH</v>
      </c>
      <c r="E752" s="2" t="str">
        <v>BAN_HANG</v>
      </c>
      <c r="F752" s="2" t="str">
        <v>INP2104</v>
      </c>
      <c r="G752" s="2" t="str">
        <v>14/7/2026</v>
      </c>
      <c r="H752" s="2" t="str">
        <v>12880000.08</v>
      </c>
      <c r="I752" s="28" t="n">
        <v>12880000.08</v>
      </c>
      <c r="J752" s="7" t="n">
        <v>12880000</v>
      </c>
      <c r="K752" s="28" t="n">
        <f>J752-I752</f>
        <v>-0.0800000000745058</v>
      </c>
      <c r="L752" s="2" t="str">
        <v>NHẬP</v>
      </c>
      <c r="M752" s="2" t="str"/>
      <c r="N752" s="2" t="str">
        <v>KHAC</v>
      </c>
    </row>
    <row r="753" ht="25" customHeight="1">
      <c r="A753" s="2" t="str">
        <v>Q789</v>
      </c>
      <c r="B753" s="2" t="str">
        <v>KH066</v>
      </c>
      <c r="C753" s="2" t="str">
        <v>KH066</v>
      </c>
      <c r="D753" s="2" t="str">
        <v>S2-00788-BH</v>
      </c>
      <c r="E753" s="2" t="str">
        <v>BAN_HANG</v>
      </c>
      <c r="F753" s="2" t="str">
        <v>INP6403</v>
      </c>
      <c r="G753" s="2" t="str">
        <v>14/7/2026</v>
      </c>
      <c r="H753" s="2" t="str">
        <v>11999999.9232</v>
      </c>
      <c r="I753" s="28" t="n">
        <v>11999999.9232</v>
      </c>
      <c r="J753" s="7" t="n">
        <v>12000000</v>
      </c>
      <c r="K753" s="28" t="n">
        <f>J753-I753</f>
        <v>0.07679999992251396</v>
      </c>
      <c r="L753" s="2" t="str">
        <v>NHẬP</v>
      </c>
      <c r="M753" s="2" t="str"/>
      <c r="N753" s="2" t="str">
        <v>QUAT</v>
      </c>
    </row>
    <row r="754" ht="25" customHeight="1">
      <c r="A754" s="2" t="str">
        <v>Q790</v>
      </c>
      <c r="B754" s="2" t="str">
        <v>KH066</v>
      </c>
      <c r="C754" s="2" t="str">
        <v>KH066</v>
      </c>
      <c r="D754" s="2" t="str">
        <v>S2-00788-BH</v>
      </c>
      <c r="E754" s="2" t="str">
        <v>BAN_HANG</v>
      </c>
      <c r="F754" s="2" t="str">
        <v>INP6103</v>
      </c>
      <c r="G754" s="2" t="str">
        <v>14/7/2026</v>
      </c>
      <c r="H754" s="2" t="str">
        <v>10355999.9472</v>
      </c>
      <c r="I754" s="28" t="n">
        <v>10355999.9472</v>
      </c>
      <c r="J754" s="7" t="n">
        <v>10356000</v>
      </c>
      <c r="K754" s="28" t="n">
        <f>J754-I754</f>
        <v>0.052799999713897705</v>
      </c>
      <c r="L754" s="2" t="str">
        <v>NHẬP</v>
      </c>
      <c r="M754" s="2" t="str"/>
      <c r="N754" s="2" t="str">
        <v>KHAC</v>
      </c>
    </row>
    <row r="755" ht="25" customHeight="1">
      <c r="A755" s="2" t="str">
        <v>Q793</v>
      </c>
      <c r="B755" s="2" t="str">
        <v>KH066</v>
      </c>
      <c r="C755" s="2" t="str">
        <v>KH066</v>
      </c>
      <c r="D755" s="2" t="str">
        <v>S2-00793-BH</v>
      </c>
      <c r="E755" s="2" t="str">
        <v>BAN_HANG</v>
      </c>
      <c r="F755" s="2" t="str">
        <v>INP1202</v>
      </c>
      <c r="G755" s="2" t="str">
        <v>16/7/2026</v>
      </c>
      <c r="H755" s="2" t="str">
        <v>2039999.9904</v>
      </c>
      <c r="I755" s="28" t="n">
        <v>2039999.9904</v>
      </c>
      <c r="J755" s="7" t="n">
        <v>2040000</v>
      </c>
      <c r="K755" s="28" t="n">
        <f>J755-I755</f>
        <v>0.009599999990314245</v>
      </c>
      <c r="L755" s="2" t="str">
        <v>NHẬP</v>
      </c>
      <c r="M755" s="2" t="str"/>
      <c r="N755" s="2" t="str">
        <v>KHAC</v>
      </c>
    </row>
    <row r="756" ht="25" customHeight="1">
      <c r="A756" s="2" t="str">
        <v>Q794</v>
      </c>
      <c r="B756" s="2" t="str">
        <v>KH066</v>
      </c>
      <c r="C756" s="2" t="str">
        <v>KH066</v>
      </c>
      <c r="D756" s="2" t="str">
        <v>S2-00793-BH</v>
      </c>
      <c r="E756" s="2" t="str">
        <v>BAN_HANG</v>
      </c>
      <c r="F756" s="2" t="str">
        <v>INP1203</v>
      </c>
      <c r="G756" s="2" t="str">
        <v>16/7/2026</v>
      </c>
      <c r="H756" s="2" t="str">
        <v>2127999.9888</v>
      </c>
      <c r="I756" s="28" t="n">
        <v>2127999.9888</v>
      </c>
      <c r="J756" s="7" t="n">
        <v>2128000</v>
      </c>
      <c r="K756" s="28" t="n">
        <f>J756-I756</f>
        <v>0.011200000066310167</v>
      </c>
      <c r="L756" s="2" t="str">
        <v>NHẬP</v>
      </c>
      <c r="M756" s="2" t="str"/>
      <c r="N756" s="2" t="str">
        <v>KHAC</v>
      </c>
    </row>
    <row r="757" ht="25" customHeight="1">
      <c r="A757" s="2" t="str">
        <v>Q795</v>
      </c>
      <c r="B757" s="2" t="str">
        <v>KH066</v>
      </c>
      <c r="C757" s="2" t="str">
        <v>KH066</v>
      </c>
      <c r="D757" s="2" t="str">
        <v>S2-00793-BH</v>
      </c>
      <c r="E757" s="2" t="str">
        <v>BAN_HANG</v>
      </c>
      <c r="F757" s="2" t="str">
        <v>INP2002</v>
      </c>
      <c r="G757" s="2" t="str">
        <v>16/7/2026</v>
      </c>
      <c r="H757" s="2" t="str">
        <v>3679999.992</v>
      </c>
      <c r="I757" s="28" t="n">
        <v>3679999.992</v>
      </c>
      <c r="J757" s="7" t="n">
        <v>3680000</v>
      </c>
      <c r="K757" s="28" t="n">
        <f>J757-I757</f>
        <v>0.007999999914318323</v>
      </c>
      <c r="L757" s="2" t="str">
        <v>NHẬP</v>
      </c>
      <c r="M757" s="2" t="str"/>
      <c r="N757" s="2" t="str">
        <v>KHAC</v>
      </c>
    </row>
    <row r="758" ht="25" customHeight="1">
      <c r="A758" s="2" t="str">
        <v>Q796</v>
      </c>
      <c r="B758" s="2" t="str">
        <v>KH066</v>
      </c>
      <c r="C758" s="2" t="str">
        <v>KH066</v>
      </c>
      <c r="D758" s="2" t="str">
        <v>S2-00793-BH</v>
      </c>
      <c r="E758" s="2" t="str">
        <v>BAN_HANG</v>
      </c>
      <c r="F758" s="2" t="str">
        <v>INP2003</v>
      </c>
      <c r="G758" s="2" t="str">
        <v>16/7/2026</v>
      </c>
      <c r="H758" s="2" t="str">
        <v>20479999.9104</v>
      </c>
      <c r="I758" s="28" t="n">
        <v>20479999.9104</v>
      </c>
      <c r="J758" s="7" t="n">
        <v>20480000</v>
      </c>
      <c r="K758" s="28" t="n">
        <f>J758-I758</f>
        <v>0.08960000053048134</v>
      </c>
      <c r="L758" s="2" t="str">
        <v>NHẬP</v>
      </c>
      <c r="M758" s="2" t="str"/>
      <c r="N758" s="2" t="str">
        <v>KHAC</v>
      </c>
    </row>
    <row r="759" ht="25" customHeight="1">
      <c r="A759" s="2" t="str">
        <v>Q797</v>
      </c>
      <c r="B759" s="2" t="str">
        <v>KH066</v>
      </c>
      <c r="C759" s="2" t="str">
        <v>KH066</v>
      </c>
      <c r="D759" s="2" t="str">
        <v>S2-00793-BH</v>
      </c>
      <c r="E759" s="2" t="str">
        <v>BAN_HANG</v>
      </c>
      <c r="F759" s="2" t="str">
        <v>INP6403</v>
      </c>
      <c r="G759" s="2" t="str">
        <v>16/7/2026</v>
      </c>
      <c r="H759" s="2" t="str">
        <v>14999999.904</v>
      </c>
      <c r="I759" s="28" t="n">
        <v>14999999.904</v>
      </c>
      <c r="J759" s="7" t="n">
        <v>15000000</v>
      </c>
      <c r="K759" s="28" t="n">
        <f>J759-I759</f>
        <v>0.09600000083446503</v>
      </c>
      <c r="L759" s="2" t="str">
        <v>NHẬP</v>
      </c>
      <c r="M759" s="2" t="str"/>
      <c r="N759" s="2" t="str">
        <v>QUAT</v>
      </c>
    </row>
    <row r="760" ht="25" customHeight="1">
      <c r="A760" s="2" t="str">
        <v>Q798</v>
      </c>
      <c r="B760" s="2" t="str">
        <v>KH066</v>
      </c>
      <c r="C760" s="2" t="str">
        <v>KH066</v>
      </c>
      <c r="D760" s="2" t="str">
        <v>S2-00798-BH</v>
      </c>
      <c r="E760" s="2" t="str">
        <v>BAN_HANG</v>
      </c>
      <c r="F760" s="2" t="str">
        <v>INP6902</v>
      </c>
      <c r="G760" s="2" t="str">
        <v>16/7/2026</v>
      </c>
      <c r="H760" s="2" t="str">
        <v>10559999.9376</v>
      </c>
      <c r="I760" s="28" t="n">
        <v>10559999.9376</v>
      </c>
      <c r="J760" s="7" t="n">
        <v>10560000</v>
      </c>
      <c r="K760" s="28" t="n">
        <f>J760-I760</f>
        <v>0.06240000016987324</v>
      </c>
      <c r="L760" s="2" t="str">
        <v>NHẬP</v>
      </c>
      <c r="M760" s="2" t="str"/>
      <c r="N760" s="2" t="str">
        <v>KHAC</v>
      </c>
    </row>
    <row r="761" ht="25" customHeight="1">
      <c r="A761" s="2" t="str">
        <v>Q799</v>
      </c>
      <c r="B761" s="2" t="str">
        <v>KH066</v>
      </c>
      <c r="C761" s="2" t="str">
        <v>KH066</v>
      </c>
      <c r="D761" s="2" t="str">
        <v>S2-00799-BH</v>
      </c>
      <c r="E761" s="2" t="str">
        <v>BAN_HANG</v>
      </c>
      <c r="F761" s="2" t="str">
        <v>INP6901</v>
      </c>
      <c r="G761" s="2" t="str">
        <v>16/7/2026</v>
      </c>
      <c r="H761" s="2" t="str">
        <v>18599999.976</v>
      </c>
      <c r="I761" s="28" t="n">
        <v>18599999.976</v>
      </c>
      <c r="J761" s="7" t="n">
        <v>18600000</v>
      </c>
      <c r="K761" s="28" t="n">
        <f>J761-I761</f>
        <v>0.024000000208616257</v>
      </c>
      <c r="L761" s="2" t="str">
        <v>NHẬP</v>
      </c>
      <c r="M761" s="2" t="str"/>
      <c r="N761" s="2" t="str">
        <v>KHAC</v>
      </c>
    </row>
    <row r="762" ht="25" customHeight="1">
      <c r="A762" s="2" t="str">
        <v>S800</v>
      </c>
      <c r="B762" s="2" t="str">
        <v>KH066</v>
      </c>
      <c r="C762" s="2" t="str">
        <v>KH066</v>
      </c>
      <c r="D762" s="2" t="str">
        <v>S2-00800-VC</v>
      </c>
      <c r="E762" s="2" t="str">
        <v>PHI_VAN_CHUYEN</v>
      </c>
      <c r="F762" s="2" t="str"/>
      <c r="G762" s="2" t="str">
        <v>16/7/2026</v>
      </c>
      <c r="H762" s="2" t="str">
        <v>500000</v>
      </c>
      <c r="I762" s="28" t="n">
        <v>500000</v>
      </c>
      <c r="J762" s="7" t="n">
        <v>500000</v>
      </c>
      <c r="K762" s="28" t="n">
        <f>J762-I762</f>
        <v>0</v>
      </c>
      <c r="L762" s="2" t="str">
        <v>NHẬP</v>
      </c>
      <c r="M762" s="2" t="str"/>
      <c r="N762" s="2" t="str">
        <v>KHAC</v>
      </c>
    </row>
    <row r="763" ht="25" customHeight="1">
      <c r="A763" s="2" t="str">
        <v>Q801</v>
      </c>
      <c r="B763" s="2" t="str">
        <v>KH066</v>
      </c>
      <c r="C763" s="2" t="str">
        <v>KH066</v>
      </c>
      <c r="D763" s="2" t="str">
        <v>S2-00801-BH</v>
      </c>
      <c r="E763" s="2" t="str">
        <v>BAN_HANG</v>
      </c>
      <c r="F763" s="2" t="str">
        <v>INP6403</v>
      </c>
      <c r="G763" s="2" t="str">
        <v>22/7/2026</v>
      </c>
      <c r="H763" s="2" t="str">
        <v>4499999.9712</v>
      </c>
      <c r="I763" s="28" t="n">
        <v>4499999.9712</v>
      </c>
      <c r="J763" s="7" t="n">
        <v>4500000</v>
      </c>
      <c r="K763" s="28" t="n">
        <f>J763-I763</f>
        <v>0.028800000436604023</v>
      </c>
      <c r="L763" s="2" t="str">
        <v>NHẬP</v>
      </c>
      <c r="M763" s="2" t="str"/>
      <c r="N763" s="2" t="str">
        <v>QUAT</v>
      </c>
    </row>
    <row r="764" ht="25" customHeight="1">
      <c r="A764" s="2" t="str">
        <v>Q802</v>
      </c>
      <c r="B764" s="2" t="str">
        <v>KH066</v>
      </c>
      <c r="C764" s="2" t="str">
        <v>KH066</v>
      </c>
      <c r="D764" s="2" t="str">
        <v>S2-00802-BH</v>
      </c>
      <c r="E764" s="2" t="str">
        <v>BAN_HANG</v>
      </c>
      <c r="F764" s="2" t="str">
        <v>INP6902</v>
      </c>
      <c r="G764" s="2" t="str">
        <v>22/7/2026</v>
      </c>
      <c r="H764" s="2" t="str">
        <v>5279999.9688</v>
      </c>
      <c r="I764" s="28" t="n">
        <v>5279999.9688</v>
      </c>
      <c r="J764" s="7" t="n">
        <v>5280000</v>
      </c>
      <c r="K764" s="28" t="n">
        <f>J764-I764</f>
        <v>0.03120000008493662</v>
      </c>
      <c r="L764" s="2" t="str">
        <v>NHẬP</v>
      </c>
      <c r="M764" s="2" t="str"/>
      <c r="N764" s="2" t="str">
        <v>KHAC</v>
      </c>
    </row>
    <row r="765" ht="25" customHeight="1">
      <c r="A765" s="2" t="str">
        <v>Q803</v>
      </c>
      <c r="B765" s="2" t="str">
        <v>KH066</v>
      </c>
      <c r="C765" s="2" t="str">
        <v>KH066</v>
      </c>
      <c r="D765" s="2" t="str">
        <v>S2-00802-BH</v>
      </c>
      <c r="E765" s="2" t="str">
        <v>BAN_HANG</v>
      </c>
      <c r="F765" s="2" t="str">
        <v>INP6903</v>
      </c>
      <c r="G765" s="2" t="str">
        <v>22/7/2026</v>
      </c>
      <c r="H765" s="2" t="str">
        <v>3919999.968</v>
      </c>
      <c r="I765" s="28" t="n">
        <v>3919999.968</v>
      </c>
      <c r="J765" s="7" t="n">
        <v>3920000</v>
      </c>
      <c r="K765" s="28" t="n">
        <f>J765-I765</f>
        <v>0.03200000012293458</v>
      </c>
      <c r="L765" s="2" t="str">
        <v>NHẬP</v>
      </c>
      <c r="M765" s="2" t="str"/>
      <c r="N765" s="2" t="str">
        <v>KHAC</v>
      </c>
    </row>
    <row r="766" ht="25" customHeight="1">
      <c r="A766" s="2" t="str">
        <v>Q804</v>
      </c>
      <c r="B766" s="2" t="str">
        <v>KH066</v>
      </c>
      <c r="C766" s="2" t="str">
        <v>KH066</v>
      </c>
      <c r="D766" s="2" t="str">
        <v>S2-00804-BH</v>
      </c>
      <c r="E766" s="2" t="str">
        <v>BAN_HANG</v>
      </c>
      <c r="F766" s="2" t="str">
        <v>INP6901</v>
      </c>
      <c r="G766" s="2" t="str">
        <v>22/7/2026</v>
      </c>
      <c r="H766" s="2" t="str">
        <v>11159999.9856</v>
      </c>
      <c r="I766" s="28" t="n">
        <v>11159999.9856</v>
      </c>
      <c r="J766" s="7" t="n">
        <v>11160000</v>
      </c>
      <c r="K766" s="28" t="n">
        <f>J766-I766</f>
        <v>0.014399999752640724</v>
      </c>
      <c r="L766" s="2" t="str">
        <v>NHẬP</v>
      </c>
      <c r="M766" s="2" t="str"/>
      <c r="N766" s="2" t="str">
        <v>KHAC</v>
      </c>
    </row>
    <row r="767" ht="25" customHeight="1">
      <c r="A767" s="2" t="str">
        <v>Q805</v>
      </c>
      <c r="B767" s="2" t="str">
        <v>KH066</v>
      </c>
      <c r="C767" s="2" t="str">
        <v>KH066</v>
      </c>
      <c r="D767" s="2" t="str">
        <v>S2-00805-BH</v>
      </c>
      <c r="E767" s="2" t="str">
        <v>BAN_HANG</v>
      </c>
      <c r="F767" s="2" t="str">
        <v>INP6105</v>
      </c>
      <c r="G767" s="2" t="str">
        <v>22/7/2026</v>
      </c>
      <c r="H767" s="2" t="str">
        <v>16320000.0096</v>
      </c>
      <c r="I767" s="28" t="n">
        <v>16320000.0096</v>
      </c>
      <c r="J767" s="7" t="n">
        <v>16320000</v>
      </c>
      <c r="K767" s="28" t="n">
        <f>J767-I767</f>
        <v>-0.009600000455975533</v>
      </c>
      <c r="L767" s="2" t="str">
        <v>NHẬP</v>
      </c>
      <c r="M767" s="2" t="str"/>
      <c r="N767" s="2" t="str">
        <v>KHAC</v>
      </c>
    </row>
    <row r="768" ht="25" customHeight="1">
      <c r="A768" s="2" t="str">
        <v>Q807</v>
      </c>
      <c r="B768" s="2" t="str">
        <v>KH084</v>
      </c>
      <c r="C768" s="2" t="str">
        <v>KH084</v>
      </c>
      <c r="D768" s="2" t="str">
        <v>S2-00807-BH</v>
      </c>
      <c r="E768" s="2" t="str">
        <v>BAN_HANG</v>
      </c>
      <c r="F768" s="2" t="str">
        <v>INP1401</v>
      </c>
      <c r="G768" s="2" t="str">
        <v>21/01/2026</v>
      </c>
      <c r="H768" s="2" t="str">
        <v>3560000</v>
      </c>
      <c r="I768" s="28" t="n">
        <v>3560000</v>
      </c>
      <c r="J768" s="7" t="n">
        <v>3560000</v>
      </c>
      <c r="K768" s="28" t="n">
        <f>J768-I768</f>
        <v>0</v>
      </c>
      <c r="L768" s="2" t="str">
        <v>NHẬP</v>
      </c>
      <c r="M768" s="2" t="str"/>
      <c r="N768" s="2" t="str">
        <v>KHAC</v>
      </c>
    </row>
    <row r="769" ht="25" customHeight="1">
      <c r="A769" s="2" t="str">
        <v>Q808</v>
      </c>
      <c r="B769" s="2" t="str">
        <v>KH084</v>
      </c>
      <c r="C769" s="2" t="str">
        <v>KH084</v>
      </c>
      <c r="D769" s="2" t="str">
        <v>S2-00807-BH</v>
      </c>
      <c r="E769" s="2" t="str">
        <v>BAN_HANG</v>
      </c>
      <c r="F769" s="2" t="str">
        <v>INP1402</v>
      </c>
      <c r="G769" s="2" t="str">
        <v>21/01/2026</v>
      </c>
      <c r="H769" s="2" t="str">
        <v>4052000</v>
      </c>
      <c r="I769" s="28" t="n">
        <v>4052000</v>
      </c>
      <c r="J769" s="7" t="n">
        <v>4052000</v>
      </c>
      <c r="K769" s="28" t="n">
        <f>J769-I769</f>
        <v>0</v>
      </c>
      <c r="L769" s="2" t="str">
        <v>NHẬP</v>
      </c>
      <c r="M769" s="2" t="str"/>
      <c r="N769" s="2" t="str">
        <v>KHAC</v>
      </c>
    </row>
    <row r="770" ht="25" customHeight="1">
      <c r="A770" s="2" t="str">
        <v>Q809</v>
      </c>
      <c r="B770" s="2" t="str">
        <v>KH084</v>
      </c>
      <c r="C770" s="2" t="str">
        <v>KH084</v>
      </c>
      <c r="D770" s="2" t="str">
        <v>S2-00809-BH</v>
      </c>
      <c r="E770" s="2" t="str">
        <v>BAN_HANG</v>
      </c>
      <c r="F770" s="2" t="str">
        <v>INP6003</v>
      </c>
      <c r="G770" s="2" t="str">
        <v>21/01/2026</v>
      </c>
      <c r="H770" s="2" t="str">
        <v>3680000</v>
      </c>
      <c r="I770" s="28" t="n">
        <v>3680000</v>
      </c>
      <c r="J770" s="7" t="n">
        <v>3680000</v>
      </c>
      <c r="K770" s="28" t="n">
        <f>J770-I770</f>
        <v>0</v>
      </c>
      <c r="L770" s="2" t="str">
        <v>NHẬP</v>
      </c>
      <c r="M770" s="2" t="str"/>
      <c r="N770" s="2" t="str">
        <v>KHAC</v>
      </c>
    </row>
    <row r="771" ht="25" customHeight="1">
      <c r="A771" s="2" t="str">
        <v>Q810</v>
      </c>
      <c r="B771" s="2" t="str">
        <v>KH084</v>
      </c>
      <c r="C771" s="2" t="str">
        <v>KH084</v>
      </c>
      <c r="D771" s="2" t="str">
        <v>S2-00810-BH</v>
      </c>
      <c r="E771" s="2" t="str">
        <v>BAN_HANG</v>
      </c>
      <c r="F771" s="2" t="str">
        <v>INP6101</v>
      </c>
      <c r="G771" s="2" t="str">
        <v>21/01/2026</v>
      </c>
      <c r="H771" s="2" t="str">
        <v>3900000</v>
      </c>
      <c r="I771" s="28" t="n">
        <v>3900000</v>
      </c>
      <c r="J771" s="7" t="n">
        <v>3900000</v>
      </c>
      <c r="K771" s="28" t="n">
        <f>J771-I771</f>
        <v>0</v>
      </c>
      <c r="L771" s="2" t="str">
        <v>NHẬP</v>
      </c>
      <c r="M771" s="2" t="str"/>
      <c r="N771" s="2" t="str">
        <v>KHAC</v>
      </c>
    </row>
    <row r="772" ht="25" customHeight="1">
      <c r="A772" s="2" t="str">
        <v>Q811</v>
      </c>
      <c r="B772" s="2" t="str">
        <v>KH084</v>
      </c>
      <c r="C772" s="2" t="str">
        <v>KH084</v>
      </c>
      <c r="D772" s="2" t="str">
        <v>S2-00811-BH</v>
      </c>
      <c r="E772" s="2" t="str">
        <v>BAN_HANG</v>
      </c>
      <c r="F772" s="2" t="str">
        <v>INP6202</v>
      </c>
      <c r="G772" s="2" t="str">
        <v>21/01/2026</v>
      </c>
      <c r="H772" s="2" t="str">
        <v>12671999</v>
      </c>
      <c r="I772" s="28" t="n">
        <v>12671999</v>
      </c>
      <c r="J772" s="7" t="n">
        <v>12671999</v>
      </c>
      <c r="K772" s="28" t="n">
        <f>J772-I772</f>
        <v>0</v>
      </c>
      <c r="L772" s="2" t="str">
        <v>NHẬP</v>
      </c>
      <c r="M772" s="2" t="str"/>
      <c r="N772" s="2" t="str">
        <v>KHAC</v>
      </c>
    </row>
    <row r="773" ht="25" customHeight="1">
      <c r="A773" s="2" t="str">
        <v>Q812</v>
      </c>
      <c r="B773" s="2" t="str">
        <v>KH084</v>
      </c>
      <c r="C773" s="2" t="str">
        <v>KH084</v>
      </c>
      <c r="D773" s="2" t="str">
        <v>S2-00812-BH</v>
      </c>
      <c r="E773" s="2" t="str">
        <v>BAN_HANG</v>
      </c>
      <c r="F773" s="2" t="str">
        <v>INP6701</v>
      </c>
      <c r="G773" s="2" t="str">
        <v>21/01/2026</v>
      </c>
      <c r="H773" s="2" t="str">
        <v>3120000</v>
      </c>
      <c r="I773" s="28" t="n">
        <v>3120000</v>
      </c>
      <c r="J773" s="7" t="n">
        <v>3120000</v>
      </c>
      <c r="K773" s="28" t="n">
        <f>J773-I773</f>
        <v>0</v>
      </c>
      <c r="L773" s="2" t="str">
        <v>NHẬP</v>
      </c>
      <c r="M773" s="2" t="str"/>
      <c r="N773" s="2" t="str">
        <v>KHAC</v>
      </c>
    </row>
    <row r="774" ht="25" customHeight="1">
      <c r="A774" s="2" t="str">
        <v>Q814</v>
      </c>
      <c r="B774" s="2" t="str">
        <v>KH084</v>
      </c>
      <c r="C774" s="2" t="str">
        <v>KH084</v>
      </c>
      <c r="D774" s="2" t="str">
        <v>S2-00814-BH</v>
      </c>
      <c r="E774" s="2" t="str">
        <v>BAN_HANG</v>
      </c>
      <c r="F774" s="2" t="str">
        <v>INP1401</v>
      </c>
      <c r="G774" s="2" t="str">
        <v>30/01/2026</v>
      </c>
      <c r="H774" s="2" t="str">
        <v>5340000</v>
      </c>
      <c r="I774" s="28" t="n">
        <v>5340000</v>
      </c>
      <c r="J774" s="7" t="n">
        <v>5340000</v>
      </c>
      <c r="K774" s="28" t="n">
        <f>J774-I774</f>
        <v>0</v>
      </c>
      <c r="L774" s="2" t="str">
        <v>NHẬP</v>
      </c>
      <c r="M774" s="2" t="str"/>
      <c r="N774" s="2" t="str">
        <v>KHAC</v>
      </c>
    </row>
    <row r="775" ht="25" customHeight="1">
      <c r="A775" s="2" t="str">
        <v>Q815</v>
      </c>
      <c r="B775" s="2" t="str">
        <v>KH084</v>
      </c>
      <c r="C775" s="2" t="str">
        <v>KH084</v>
      </c>
      <c r="D775" s="2" t="str">
        <v>S2-00814-BH</v>
      </c>
      <c r="E775" s="2" t="str">
        <v>BAN_HANG</v>
      </c>
      <c r="F775" s="2" t="str">
        <v>INP1402</v>
      </c>
      <c r="G775" s="2" t="str">
        <v>30/01/2026</v>
      </c>
      <c r="H775" s="2" t="str">
        <v>6078000</v>
      </c>
      <c r="I775" s="28" t="n">
        <v>6078000</v>
      </c>
      <c r="J775" s="7" t="n">
        <v>6078000</v>
      </c>
      <c r="K775" s="28" t="n">
        <f>J775-I775</f>
        <v>0</v>
      </c>
      <c r="L775" s="2" t="str">
        <v>NHẬP</v>
      </c>
      <c r="M775" s="2" t="str"/>
      <c r="N775" s="2" t="str">
        <v>KHAC</v>
      </c>
    </row>
    <row r="776" ht="25" customHeight="1">
      <c r="A776" s="2" t="str">
        <v>Q816</v>
      </c>
      <c r="B776" s="2" t="str">
        <v>KH084</v>
      </c>
      <c r="C776" s="2" t="str">
        <v>KH084</v>
      </c>
      <c r="D776" s="2" t="str">
        <v>S2-00816-BH</v>
      </c>
      <c r="E776" s="2" t="str">
        <v>BAN_HANG</v>
      </c>
      <c r="F776" s="2" t="str">
        <v>INP6001</v>
      </c>
      <c r="G776" s="2" t="str">
        <v>30/01/2026</v>
      </c>
      <c r="H776" s="2" t="str">
        <v>9840000</v>
      </c>
      <c r="I776" s="28" t="n">
        <v>9840000</v>
      </c>
      <c r="J776" s="7" t="n">
        <v>9840000</v>
      </c>
      <c r="K776" s="28" t="n">
        <f>J776-I776</f>
        <v>0</v>
      </c>
      <c r="L776" s="2" t="str">
        <v>NHẬP</v>
      </c>
      <c r="M776" s="2" t="str"/>
      <c r="N776" s="2" t="str">
        <v>KHAC</v>
      </c>
    </row>
    <row r="777" ht="25" customHeight="1">
      <c r="A777" s="2" t="str">
        <v>Q817</v>
      </c>
      <c r="B777" s="2" t="str">
        <v>KH084</v>
      </c>
      <c r="C777" s="2" t="str">
        <v>KH084</v>
      </c>
      <c r="D777" s="2" t="str">
        <v>S2-00816-BH</v>
      </c>
      <c r="E777" s="2" t="str">
        <v>BAN_HANG</v>
      </c>
      <c r="F777" s="2" t="str">
        <v>INP6003</v>
      </c>
      <c r="G777" s="2" t="str">
        <v>30/01/2026</v>
      </c>
      <c r="H777" s="2" t="str">
        <v>7360000</v>
      </c>
      <c r="I777" s="28" t="n">
        <v>7360000</v>
      </c>
      <c r="J777" s="7" t="n">
        <v>7360000</v>
      </c>
      <c r="K777" s="28" t="n">
        <f>J777-I777</f>
        <v>0</v>
      </c>
      <c r="L777" s="2" t="str">
        <v>NHẬP</v>
      </c>
      <c r="M777" s="2" t="str"/>
      <c r="N777" s="2" t="str">
        <v>KHAC</v>
      </c>
    </row>
    <row r="778" ht="25" customHeight="1">
      <c r="A778" s="2" t="str">
        <v>Q818</v>
      </c>
      <c r="B778" s="2" t="str">
        <v>KH084</v>
      </c>
      <c r="C778" s="2" t="str">
        <v>KH084</v>
      </c>
      <c r="D778" s="2" t="str">
        <v>S2-00818-BH</v>
      </c>
      <c r="E778" s="2" t="str">
        <v>BAN_HANG</v>
      </c>
      <c r="F778" s="2" t="str">
        <v>INP6101</v>
      </c>
      <c r="G778" s="2" t="str">
        <v>30/01/2026</v>
      </c>
      <c r="H778" s="2" t="str">
        <v>3900000.1</v>
      </c>
      <c r="I778" s="28" t="n">
        <v>3900000.1</v>
      </c>
      <c r="J778" s="7" t="n">
        <v>3900000</v>
      </c>
      <c r="K778" s="28" t="n">
        <f>J778-I778</f>
        <v>-0.10000000009313226</v>
      </c>
      <c r="L778" s="2" t="str">
        <v>NHẬP</v>
      </c>
      <c r="M778" s="2" t="str"/>
      <c r="N778" s="2" t="str">
        <v>KHAC</v>
      </c>
    </row>
    <row r="779" ht="25" customHeight="1">
      <c r="A779" s="2" t="str">
        <v>Q819</v>
      </c>
      <c r="B779" s="2" t="str">
        <v>KH084</v>
      </c>
      <c r="C779" s="2" t="str">
        <v>KH084</v>
      </c>
      <c r="D779" s="2" t="str">
        <v>S2-00819-BH</v>
      </c>
      <c r="E779" s="2" t="str">
        <v>BAN_HANG</v>
      </c>
      <c r="F779" s="2" t="str">
        <v>INP6701</v>
      </c>
      <c r="G779" s="2" t="str">
        <v>30/01/2026</v>
      </c>
      <c r="H779" s="2" t="str">
        <v>3120000</v>
      </c>
      <c r="I779" s="28" t="n">
        <v>3120000</v>
      </c>
      <c r="J779" s="7" t="n">
        <v>3120000</v>
      </c>
      <c r="K779" s="28" t="n">
        <f>J779-I779</f>
        <v>0</v>
      </c>
      <c r="L779" s="2" t="str">
        <v>NHẬP</v>
      </c>
      <c r="M779" s="2" t="str"/>
      <c r="N779" s="2" t="str">
        <v>KHAC</v>
      </c>
    </row>
    <row r="780" ht="25" customHeight="1">
      <c r="A780" s="2" t="str">
        <v>R821</v>
      </c>
      <c r="B780" s="2" t="str">
        <v>KH084</v>
      </c>
      <c r="C780" s="2" t="str">
        <v>KH084</v>
      </c>
      <c r="D780" s="2" t="str">
        <v>S2-00821-TT</v>
      </c>
      <c r="E780" s="2" t="str">
        <v>THU_TIEN</v>
      </c>
      <c r="F780" s="2" t="str"/>
      <c r="G780" s="2" t="str">
        <v>30/01/2026</v>
      </c>
      <c r="H780" s="2" t="str">
        <v>19030000</v>
      </c>
      <c r="I780" s="28" t="n">
        <v>19030000</v>
      </c>
      <c r="J780" s="7" t="n">
        <v>19030000</v>
      </c>
      <c r="K780" s="28" t="n">
        <f>J780-I780</f>
        <v>0</v>
      </c>
      <c r="L780" s="2" t="str">
        <v>NHẬP</v>
      </c>
      <c r="M780" s="2" t="str"/>
      <c r="N780" s="2" t="str">
        <v>KHAC</v>
      </c>
    </row>
    <row r="781" ht="25" customHeight="1">
      <c r="A781" s="2" t="str">
        <v>R822</v>
      </c>
      <c r="B781" s="2" t="str">
        <v>KH084</v>
      </c>
      <c r="C781" s="2" t="str">
        <v>KH084</v>
      </c>
      <c r="D781" s="2" t="str">
        <v>S2-00822-TT</v>
      </c>
      <c r="E781" s="2" t="str">
        <v>THU_TIEN</v>
      </c>
      <c r="F781" s="2" t="str"/>
      <c r="G781" s="2" t="str">
        <v>2026-10-02</v>
      </c>
      <c r="H781" s="2" t="str">
        <v>17200000</v>
      </c>
      <c r="I781" s="28" t="n">
        <v>17200000</v>
      </c>
      <c r="J781" s="7" t="n">
        <v>17200000</v>
      </c>
      <c r="K781" s="28" t="n">
        <f>J781-I781</f>
        <v>0</v>
      </c>
      <c r="L781" s="2" t="str">
        <v>NHẬP</v>
      </c>
      <c r="M781" s="2" t="str"/>
      <c r="N781" s="2" t="str">
        <v>KHAC</v>
      </c>
    </row>
    <row r="782" ht="25" customHeight="1">
      <c r="A782" s="2" t="str">
        <v>Q823</v>
      </c>
      <c r="B782" s="2" t="str">
        <v>KH084</v>
      </c>
      <c r="C782" s="2" t="str">
        <v>KH084</v>
      </c>
      <c r="D782" s="2" t="str">
        <v>S2-00823-BH</v>
      </c>
      <c r="E782" s="2" t="str">
        <v>BAN_HANG</v>
      </c>
      <c r="F782" s="2" t="str">
        <v>INP1401</v>
      </c>
      <c r="G782" s="2" t="str">
        <v>26/02/2026</v>
      </c>
      <c r="H782" s="2" t="str">
        <v>3560000</v>
      </c>
      <c r="I782" s="28" t="n">
        <v>3560000</v>
      </c>
      <c r="J782" s="7" t="n">
        <v>3560000</v>
      </c>
      <c r="K782" s="28" t="n">
        <f>J782-I782</f>
        <v>0</v>
      </c>
      <c r="L782" s="2" t="str">
        <v>NHẬP</v>
      </c>
      <c r="M782" s="2" t="str"/>
      <c r="N782" s="2" t="str">
        <v>KHAC</v>
      </c>
    </row>
    <row r="783" ht="25" customHeight="1">
      <c r="A783" s="2" t="str">
        <v>Q824</v>
      </c>
      <c r="B783" s="2" t="str">
        <v>KH084</v>
      </c>
      <c r="C783" s="2" t="str">
        <v>KH084</v>
      </c>
      <c r="D783" s="2" t="str">
        <v>S2-00823-BH</v>
      </c>
      <c r="E783" s="2" t="str">
        <v>BAN_HANG</v>
      </c>
      <c r="F783" s="2" t="str">
        <v>INP1402</v>
      </c>
      <c r="G783" s="2" t="str">
        <v>26/02/2026</v>
      </c>
      <c r="H783" s="2" t="str">
        <v>2026000</v>
      </c>
      <c r="I783" s="28" t="n">
        <v>2026000</v>
      </c>
      <c r="J783" s="7" t="n">
        <v>2026000</v>
      </c>
      <c r="K783" s="28" t="n">
        <f>J783-I783</f>
        <v>0</v>
      </c>
      <c r="L783" s="2" t="str">
        <v>NHẬP</v>
      </c>
      <c r="M783" s="2" t="str"/>
      <c r="N783" s="2" t="str">
        <v>KHAC</v>
      </c>
    </row>
    <row r="784" ht="25" customHeight="1">
      <c r="A784" s="2" t="str">
        <v>Q825</v>
      </c>
      <c r="B784" s="2" t="str">
        <v>KH084</v>
      </c>
      <c r="C784" s="2" t="str">
        <v>KH084</v>
      </c>
      <c r="D784" s="2" t="str">
        <v>S2-00823-BH</v>
      </c>
      <c r="E784" s="2" t="str">
        <v>BAN_HANG</v>
      </c>
      <c r="F784" s="2" t="str">
        <v>INP6602</v>
      </c>
      <c r="G784" s="2" t="str">
        <v>26/02/2026</v>
      </c>
      <c r="H784" s="2" t="str">
        <v>4410000</v>
      </c>
      <c r="I784" s="28" t="n">
        <v>4410000</v>
      </c>
      <c r="J784" s="7" t="n">
        <v>4410000</v>
      </c>
      <c r="K784" s="28" t="n">
        <f>J784-I784</f>
        <v>0</v>
      </c>
      <c r="L784" s="2" t="str">
        <v>NHẬP</v>
      </c>
      <c r="M784" s="2" t="str"/>
      <c r="N784" s="2" t="str">
        <v>KHAC</v>
      </c>
    </row>
    <row r="785" ht="25" customHeight="1">
      <c r="A785" s="2" t="str">
        <v>Q826</v>
      </c>
      <c r="B785" s="2" t="str">
        <v>KH084</v>
      </c>
      <c r="C785" s="2" t="str">
        <v>KH084</v>
      </c>
      <c r="D785" s="2" t="str">
        <v>S2-00826-BH</v>
      </c>
      <c r="E785" s="2" t="str">
        <v>BAN_HANG</v>
      </c>
      <c r="F785" s="2" t="str">
        <v>INP6701</v>
      </c>
      <c r="G785" s="2" t="str">
        <v>26/02/2026</v>
      </c>
      <c r="H785" s="2" t="str">
        <v>3120000</v>
      </c>
      <c r="I785" s="28" t="n">
        <v>3120000</v>
      </c>
      <c r="J785" s="7" t="n">
        <v>3120000</v>
      </c>
      <c r="K785" s="28" t="n">
        <f>J785-I785</f>
        <v>0</v>
      </c>
      <c r="L785" s="2" t="str">
        <v>NHẬP</v>
      </c>
      <c r="M785" s="2" t="str"/>
      <c r="N785" s="2" t="str">
        <v>KHAC</v>
      </c>
    </row>
    <row r="786" ht="25" customHeight="1">
      <c r="A786" s="2" t="str">
        <v>Q827</v>
      </c>
      <c r="B786" s="2" t="str">
        <v>KH084</v>
      </c>
      <c r="C786" s="2" t="str">
        <v>KH084</v>
      </c>
      <c r="D786" s="2" t="str">
        <v>S2-00827-BH</v>
      </c>
      <c r="E786" s="2" t="str">
        <v>BAN_HANG</v>
      </c>
      <c r="F786" s="2" t="str">
        <v>INP6206</v>
      </c>
      <c r="G786" s="2" t="str">
        <v>26/02/2026</v>
      </c>
      <c r="H786" s="2" t="str">
        <v>3420000</v>
      </c>
      <c r="I786" s="28" t="n">
        <v>3420000</v>
      </c>
      <c r="J786" s="7" t="n">
        <v>3420000</v>
      </c>
      <c r="K786" s="28" t="n">
        <f>J786-I786</f>
        <v>0</v>
      </c>
      <c r="L786" s="2" t="str">
        <v>NHẬP</v>
      </c>
      <c r="M786" s="2" t="str"/>
      <c r="N786" s="2" t="str">
        <v>KHAC</v>
      </c>
    </row>
    <row r="787" ht="25" customHeight="1">
      <c r="A787" s="2" t="str">
        <v>Q828</v>
      </c>
      <c r="B787" s="2" t="str">
        <v>KH084</v>
      </c>
      <c r="C787" s="2" t="str">
        <v>KH084</v>
      </c>
      <c r="D787" s="2" t="str">
        <v>S2-00827-BH</v>
      </c>
      <c r="E787" s="2" t="str">
        <v>BAN_HANG</v>
      </c>
      <c r="F787" s="2" t="str">
        <v>INP6001</v>
      </c>
      <c r="G787" s="2" t="str">
        <v>26/02/2026</v>
      </c>
      <c r="H787" s="2" t="str">
        <v>9840000</v>
      </c>
      <c r="I787" s="28" t="n">
        <v>9840000</v>
      </c>
      <c r="J787" s="7" t="n">
        <v>9840000</v>
      </c>
      <c r="K787" s="28" t="n">
        <f>J787-I787</f>
        <v>0</v>
      </c>
      <c r="L787" s="2" t="str">
        <v>NHẬP</v>
      </c>
      <c r="M787" s="2" t="str"/>
      <c r="N787" s="2" t="str">
        <v>KHAC</v>
      </c>
    </row>
    <row r="788" ht="25" customHeight="1">
      <c r="A788" s="2" t="str">
        <v>Q829</v>
      </c>
      <c r="B788" s="2" t="str">
        <v>KH084</v>
      </c>
      <c r="C788" s="2" t="str">
        <v>KH084</v>
      </c>
      <c r="D788" s="2" t="str">
        <v>S2-00827-BH</v>
      </c>
      <c r="E788" s="2" t="str">
        <v>BAN_HANG</v>
      </c>
      <c r="F788" s="2" t="str">
        <v>INP6003</v>
      </c>
      <c r="G788" s="2" t="str">
        <v>26/02/2026</v>
      </c>
      <c r="H788" s="2" t="str">
        <v>3680000</v>
      </c>
      <c r="I788" s="28" t="n">
        <v>3680000</v>
      </c>
      <c r="J788" s="7" t="n">
        <v>3680000</v>
      </c>
      <c r="K788" s="28" t="n">
        <f>J788-I788</f>
        <v>0</v>
      </c>
      <c r="L788" s="2" t="str">
        <v>NHẬP</v>
      </c>
      <c r="M788" s="2" t="str"/>
      <c r="N788" s="2" t="str">
        <v>KHAC</v>
      </c>
    </row>
    <row r="789" ht="25" customHeight="1">
      <c r="A789" s="2" t="str">
        <v>R830</v>
      </c>
      <c r="B789" s="2" t="str">
        <v>KH084</v>
      </c>
      <c r="C789" s="2" t="str">
        <v>KH084</v>
      </c>
      <c r="D789" s="2" t="str">
        <v>S2-00830-TT</v>
      </c>
      <c r="E789" s="2" t="str">
        <v>THU_TIEN</v>
      </c>
      <c r="F789" s="2" t="str"/>
      <c r="G789" s="2" t="str">
        <v>27/02/2026</v>
      </c>
      <c r="H789" s="2" t="str">
        <v>29611999</v>
      </c>
      <c r="I789" s="28" t="n">
        <v>29611999</v>
      </c>
      <c r="J789" s="7" t="n">
        <v>29611999</v>
      </c>
      <c r="K789" s="28" t="n">
        <f>J789-I789</f>
        <v>0</v>
      </c>
      <c r="L789" s="2" t="str">
        <v>NHẬP</v>
      </c>
      <c r="M789" s="2" t="str"/>
      <c r="N789" s="2" t="str">
        <v>KHAC</v>
      </c>
    </row>
    <row r="790" ht="25" customHeight="1">
      <c r="A790" s="2" t="str">
        <v>R831</v>
      </c>
      <c r="B790" s="2" t="str">
        <v>KH084</v>
      </c>
      <c r="C790" s="2" t="str">
        <v>KH084</v>
      </c>
      <c r="D790" s="2" t="str">
        <v>S2-00831-TT</v>
      </c>
      <c r="E790" s="2" t="str">
        <v>THU_TIEN</v>
      </c>
      <c r="F790" s="2" t="str"/>
      <c r="G790" s="2" t="str">
        <v>28/02/2026</v>
      </c>
      <c r="H790" s="2" t="str">
        <v>13676000</v>
      </c>
      <c r="I790" s="28" t="n">
        <v>13676000</v>
      </c>
      <c r="J790" s="7" t="n">
        <v>13676000</v>
      </c>
      <c r="K790" s="28" t="n">
        <f>J790-I790</f>
        <v>0</v>
      </c>
      <c r="L790" s="2" t="str">
        <v>NHẬP</v>
      </c>
      <c r="M790" s="2" t="str"/>
      <c r="N790" s="2" t="str">
        <v>KHAC</v>
      </c>
    </row>
    <row r="791" ht="25" customHeight="1">
      <c r="A791" s="2" t="str">
        <v>R832</v>
      </c>
      <c r="B791" s="2" t="str">
        <v>KH084</v>
      </c>
      <c r="C791" s="2" t="str">
        <v>KH084</v>
      </c>
      <c r="D791" s="2" t="str">
        <v>S2-00832-TT</v>
      </c>
      <c r="E791" s="2" t="str">
        <v>THU_TIEN</v>
      </c>
      <c r="F791" s="2" t="str"/>
      <c r="G791" s="2" t="str">
        <v>2026-09-04</v>
      </c>
      <c r="H791" s="2" t="str">
        <v>17160000</v>
      </c>
      <c r="I791" s="28" t="n">
        <v>17160000</v>
      </c>
      <c r="J791" s="7" t="n">
        <v>17160000</v>
      </c>
      <c r="K791" s="28" t="n">
        <f>J791-I791</f>
        <v>0</v>
      </c>
      <c r="L791" s="2" t="str">
        <v>NHẬP</v>
      </c>
      <c r="M791" s="2" t="str"/>
      <c r="N791" s="2" t="str">
        <v>KHAC</v>
      </c>
    </row>
    <row r="792" ht="25" customHeight="1">
      <c r="A792" s="2" t="str">
        <v>Q833</v>
      </c>
      <c r="B792" s="2" t="str">
        <v>KH084</v>
      </c>
      <c r="C792" s="2" t="str">
        <v>KH084</v>
      </c>
      <c r="D792" s="2" t="str">
        <v>S2-00833-BH</v>
      </c>
      <c r="E792" s="2" t="str">
        <v>BAN_HANG</v>
      </c>
      <c r="F792" s="2" t="str">
        <v>INP1401</v>
      </c>
      <c r="G792" s="2" t="str">
        <v>18/06/2026</v>
      </c>
      <c r="H792" s="2" t="str">
        <v>7120000</v>
      </c>
      <c r="I792" s="28" t="n">
        <v>7120000</v>
      </c>
      <c r="J792" s="7" t="n">
        <v>7120000</v>
      </c>
      <c r="K792" s="28" t="n">
        <f>J792-I792</f>
        <v>0</v>
      </c>
      <c r="L792" s="2" t="str">
        <v>NHẬP</v>
      </c>
      <c r="M792" s="2" t="str"/>
      <c r="N792" s="2" t="str">
        <v>KHAC</v>
      </c>
    </row>
    <row r="793" ht="25" customHeight="1">
      <c r="A793" s="2" t="str">
        <v>Q834</v>
      </c>
      <c r="B793" s="2" t="str">
        <v>KH084</v>
      </c>
      <c r="C793" s="2" t="str">
        <v>KH084</v>
      </c>
      <c r="D793" s="2" t="str">
        <v>S2-00833-BH</v>
      </c>
      <c r="E793" s="2" t="str">
        <v>BAN_HANG</v>
      </c>
      <c r="F793" s="2" t="str">
        <v>INP1402</v>
      </c>
      <c r="G793" s="2" t="str">
        <v>18/06/2026</v>
      </c>
      <c r="H793" s="2" t="str">
        <v>10130000</v>
      </c>
      <c r="I793" s="28" t="n">
        <v>10130000</v>
      </c>
      <c r="J793" s="7" t="n">
        <v>10130000</v>
      </c>
      <c r="K793" s="28" t="n">
        <f>J793-I793</f>
        <v>0</v>
      </c>
      <c r="L793" s="2" t="str">
        <v>NHẬP</v>
      </c>
      <c r="M793" s="2" t="str"/>
      <c r="N793" s="2" t="str">
        <v>KHAC</v>
      </c>
    </row>
    <row r="794" ht="25" customHeight="1">
      <c r="A794" s="2" t="str">
        <v>Q835</v>
      </c>
      <c r="B794" s="2" t="str">
        <v>KH084</v>
      </c>
      <c r="C794" s="2" t="str">
        <v>KH084</v>
      </c>
      <c r="D794" s="2" t="str">
        <v>S2-00833-BH</v>
      </c>
      <c r="E794" s="2" t="str">
        <v>BAN_HANG</v>
      </c>
      <c r="F794" s="2" t="str">
        <v>INP6001</v>
      </c>
      <c r="G794" s="2" t="str">
        <v>18/06/2026</v>
      </c>
      <c r="H794" s="2" t="str">
        <v>4920000</v>
      </c>
      <c r="I794" s="28" t="n">
        <v>4920000</v>
      </c>
      <c r="J794" s="7" t="n">
        <v>4920000</v>
      </c>
      <c r="K794" s="28" t="n">
        <f>J794-I794</f>
        <v>0</v>
      </c>
      <c r="L794" s="2" t="str">
        <v>NHẬP</v>
      </c>
      <c r="M794" s="2" t="str"/>
      <c r="N794" s="2" t="str">
        <v>KHAC</v>
      </c>
    </row>
    <row r="795" ht="25" customHeight="1">
      <c r="A795" s="2" t="str">
        <v>Q836</v>
      </c>
      <c r="B795" s="2" t="str">
        <v>KH084</v>
      </c>
      <c r="C795" s="2" t="str">
        <v>KH084</v>
      </c>
      <c r="D795" s="2" t="str">
        <v>S2-00833-BH</v>
      </c>
      <c r="E795" s="2" t="str">
        <v>BAN_HANG</v>
      </c>
      <c r="F795" s="2" t="str">
        <v>INP6202</v>
      </c>
      <c r="G795" s="2" t="str">
        <v>18/06/2026</v>
      </c>
      <c r="H795" s="2" t="str">
        <v>4224000</v>
      </c>
      <c r="I795" s="28" t="n">
        <v>4224000</v>
      </c>
      <c r="J795" s="7" t="n">
        <v>4224000</v>
      </c>
      <c r="K795" s="28" t="n">
        <f>J795-I795</f>
        <v>0</v>
      </c>
      <c r="L795" s="2" t="str">
        <v>NHẬP</v>
      </c>
      <c r="M795" s="2" t="str"/>
      <c r="N795" s="2" t="str">
        <v>KHAC</v>
      </c>
    </row>
    <row r="796" ht="25" customHeight="1">
      <c r="A796" s="2" t="str">
        <v>Q837</v>
      </c>
      <c r="B796" s="2" t="str">
        <v>KH084</v>
      </c>
      <c r="C796" s="2" t="str">
        <v>KH084</v>
      </c>
      <c r="D796" s="2" t="str">
        <v>S2-00837-BH</v>
      </c>
      <c r="E796" s="2" t="str">
        <v>BAN_HANG</v>
      </c>
      <c r="F796" s="2" t="str">
        <v>INP6902</v>
      </c>
      <c r="G796" s="2" t="str">
        <v>18/06/2026</v>
      </c>
      <c r="H796" s="2" t="str">
        <v>8900000</v>
      </c>
      <c r="I796" s="28" t="n">
        <v>8900000</v>
      </c>
      <c r="J796" s="7" t="n">
        <v>8900000</v>
      </c>
      <c r="K796" s="28" t="n">
        <f>J796-I796</f>
        <v>0</v>
      </c>
      <c r="L796" s="2" t="str">
        <v>NHẬP</v>
      </c>
      <c r="M796" s="2" t="str"/>
      <c r="N796" s="2" t="str">
        <v>KHAC</v>
      </c>
    </row>
    <row r="797" ht="25" customHeight="1">
      <c r="A797" s="2" t="str">
        <v>R838</v>
      </c>
      <c r="B797" s="2" t="str">
        <v>KH084</v>
      </c>
      <c r="C797" s="2" t="str">
        <v>KH084</v>
      </c>
      <c r="D797" s="2" t="str">
        <v>S2-00838-TT</v>
      </c>
      <c r="E797" s="2" t="str">
        <v>THU_TIEN</v>
      </c>
      <c r="F797" s="2" t="str"/>
      <c r="G797" s="2" t="str">
        <v>22/6/2026</v>
      </c>
      <c r="H797" s="2" t="str">
        <v>26394001</v>
      </c>
      <c r="I797" s="28" t="n">
        <v>26394001</v>
      </c>
      <c r="J797" s="7" t="n">
        <v>26394001</v>
      </c>
      <c r="K797" s="28" t="n">
        <f>J797-I797</f>
        <v>0</v>
      </c>
      <c r="L797" s="2" t="str">
        <v>NHẬP</v>
      </c>
      <c r="M797" s="2" t="str"/>
      <c r="N797" s="2" t="str">
        <v>KHAC</v>
      </c>
    </row>
    <row r="798" ht="25" customHeight="1">
      <c r="A798" s="2" t="str">
        <v>R839</v>
      </c>
      <c r="B798" s="2" t="str">
        <v>KH084</v>
      </c>
      <c r="C798" s="2" t="str">
        <v>KH084</v>
      </c>
      <c r="D798" s="2" t="str">
        <v>S2-00839-TT</v>
      </c>
      <c r="E798" s="2" t="str">
        <v>THU_TIEN</v>
      </c>
      <c r="F798" s="2" t="str"/>
      <c r="G798" s="2" t="str">
        <v>27/7/2026</v>
      </c>
      <c r="H798" s="2" t="str">
        <v>8900000</v>
      </c>
      <c r="I798" s="28" t="n">
        <v>8900000</v>
      </c>
      <c r="J798" s="7" t="n">
        <v>8900000</v>
      </c>
      <c r="K798" s="28" t="n">
        <f>J798-I798</f>
        <v>0</v>
      </c>
      <c r="L798" s="2" t="str">
        <v>NHẬP</v>
      </c>
      <c r="M798" s="2" t="str"/>
      <c r="N798" s="2" t="str">
        <v>KHAC</v>
      </c>
    </row>
    <row r="799" ht="25" customHeight="1">
      <c r="A799" s="2" t="str">
        <v>Q840</v>
      </c>
      <c r="B799" s="2" t="str">
        <v>KH071</v>
      </c>
      <c r="C799" s="2" t="str">
        <v>KH071</v>
      </c>
      <c r="D799" s="2" t="str">
        <v>S2-00840-BH</v>
      </c>
      <c r="E799" s="2" t="str">
        <v>BAN_HANG</v>
      </c>
      <c r="F799" s="2" t="str">
        <v>INP6003</v>
      </c>
      <c r="G799" s="2" t="str">
        <v>2025-12-22</v>
      </c>
      <c r="H799" s="2" t="str">
        <v>3760000.0416</v>
      </c>
      <c r="I799" s="28" t="n">
        <v>3760000.0416</v>
      </c>
      <c r="J799" s="7" t="n">
        <v>3760000</v>
      </c>
      <c r="K799" s="28" t="n">
        <f>J799-I799</f>
        <v>-0.041600000113248825</v>
      </c>
      <c r="L799" s="2" t="str">
        <v>NHẬP</v>
      </c>
      <c r="M799" s="2" t="str"/>
      <c r="N799" s="2" t="str">
        <v>KHAC</v>
      </c>
    </row>
    <row r="800" ht="25" customHeight="1">
      <c r="A800" s="2" t="str">
        <v>Q841</v>
      </c>
      <c r="B800" s="2" t="str">
        <v>KH071</v>
      </c>
      <c r="C800" s="2" t="str">
        <v>KH071</v>
      </c>
      <c r="D800" s="2" t="str">
        <v>S2-00841-BH</v>
      </c>
      <c r="E800" s="2" t="str">
        <v>BAN_HANG</v>
      </c>
      <c r="F800" s="2" t="str">
        <v>INP1402</v>
      </c>
      <c r="G800" s="2" t="str">
        <v>2025-12-30</v>
      </c>
      <c r="H800" s="2" t="str">
        <v>4052000.16</v>
      </c>
      <c r="I800" s="28" t="n">
        <v>4052000.16</v>
      </c>
      <c r="J800" s="7" t="n">
        <v>4052000</v>
      </c>
      <c r="K800" s="28" t="n">
        <f>J800-I800</f>
        <v>-0.1600000001490116</v>
      </c>
      <c r="L800" s="2" t="str">
        <v>NHẬP</v>
      </c>
      <c r="M800" s="2" t="str"/>
      <c r="N800" s="2" t="str">
        <v>KHAC</v>
      </c>
    </row>
    <row r="801" ht="25" customHeight="1">
      <c r="A801" s="2" t="str">
        <v>Q842</v>
      </c>
      <c r="B801" s="2" t="str">
        <v>KH071</v>
      </c>
      <c r="C801" s="2" t="str">
        <v>KH071</v>
      </c>
      <c r="D801" s="2" t="str">
        <v>S2-00841-BH</v>
      </c>
      <c r="E801" s="2" t="str">
        <v>BAN_HANG</v>
      </c>
      <c r="F801" s="2" t="str">
        <v>INP2003</v>
      </c>
      <c r="G801" s="2" t="str">
        <v>2025-12-30</v>
      </c>
      <c r="H801" s="2" t="str">
        <v>6864004.8</v>
      </c>
      <c r="I801" s="28" t="n">
        <v>6864004.8</v>
      </c>
      <c r="J801" s="7" t="n">
        <v>6864005</v>
      </c>
      <c r="K801" s="28" t="n">
        <f>J801-I801</f>
        <v>0.20000000018626451</v>
      </c>
      <c r="L801" s="2" t="str">
        <v>NHẬP</v>
      </c>
      <c r="M801" s="2" t="str"/>
      <c r="N801" s="2" t="str">
        <v>KHAC</v>
      </c>
    </row>
    <row r="802" ht="25" customHeight="1">
      <c r="A802" s="2" t="str">
        <v>Q843</v>
      </c>
      <c r="B802" s="2" t="str">
        <v>KH071</v>
      </c>
      <c r="C802" s="2" t="str">
        <v>KH071</v>
      </c>
      <c r="D802" s="2" t="str">
        <v>S2-00841-BH</v>
      </c>
      <c r="E802" s="2" t="str">
        <v>BAN_HANG</v>
      </c>
      <c r="F802" s="2" t="str">
        <v>INP2102</v>
      </c>
      <c r="G802" s="2" t="str">
        <v>2025-12-30</v>
      </c>
      <c r="H802" s="2" t="str">
        <v>2769994.8</v>
      </c>
      <c r="I802" s="28" t="n">
        <v>2769994.8</v>
      </c>
      <c r="J802" s="7" t="n">
        <v>2769995</v>
      </c>
      <c r="K802" s="28" t="n">
        <f>J802-I802</f>
        <v>0.20000000018626451</v>
      </c>
      <c r="L802" s="2" t="str">
        <v>NHẬP</v>
      </c>
      <c r="M802" s="2" t="str"/>
      <c r="N802" s="2" t="str">
        <v>KHAC</v>
      </c>
    </row>
    <row r="803" ht="25" customHeight="1">
      <c r="A803" s="2" t="str">
        <v>Q844</v>
      </c>
      <c r="B803" s="2" t="str">
        <v>KH071</v>
      </c>
      <c r="C803" s="2" t="str">
        <v>KH071</v>
      </c>
      <c r="D803" s="2" t="str">
        <v>S2-00841-BH</v>
      </c>
      <c r="E803" s="2" t="str">
        <v>BAN_HANG</v>
      </c>
      <c r="F803" s="2" t="str">
        <v>INP2103</v>
      </c>
      <c r="G803" s="2" t="str">
        <v>2025-12-30</v>
      </c>
      <c r="H803" s="2" t="str">
        <v>3039994.8</v>
      </c>
      <c r="I803" s="28" t="n">
        <v>3039994.8</v>
      </c>
      <c r="J803" s="7" t="n">
        <v>3039995</v>
      </c>
      <c r="K803" s="28" t="n">
        <f>J803-I803</f>
        <v>0.20000000018626451</v>
      </c>
      <c r="L803" s="2" t="str">
        <v>NHẬP</v>
      </c>
      <c r="M803" s="2" t="str"/>
      <c r="N803" s="2" t="str">
        <v>KHAC</v>
      </c>
    </row>
    <row r="804" ht="25" customHeight="1">
      <c r="A804" s="2" t="str">
        <v>Q845</v>
      </c>
      <c r="B804" s="2" t="str">
        <v>KH071</v>
      </c>
      <c r="C804" s="2" t="str">
        <v>KH071</v>
      </c>
      <c r="D804" s="2" t="str">
        <v>S2-00841-BH</v>
      </c>
      <c r="E804" s="2" t="str">
        <v>BAN_HANG</v>
      </c>
      <c r="F804" s="2" t="str">
        <v>INP2106</v>
      </c>
      <c r="G804" s="2" t="str">
        <v>2025-12-30</v>
      </c>
      <c r="H804" s="2" t="str">
        <v>2730002.4</v>
      </c>
      <c r="I804" s="28" t="n">
        <v>2730002.4</v>
      </c>
      <c r="J804" s="7" t="n">
        <v>2730003</v>
      </c>
      <c r="K804" s="28" t="n">
        <f>J804-I804</f>
        <v>0.6000000000931323</v>
      </c>
      <c r="L804" s="2" t="str">
        <v>NHẬP</v>
      </c>
      <c r="M804" s="2" t="str"/>
      <c r="N804" s="2" t="str">
        <v>KHAC</v>
      </c>
    </row>
    <row r="805" ht="25" customHeight="1">
      <c r="A805" s="2" t="str">
        <v>Q846</v>
      </c>
      <c r="B805" s="2" t="str">
        <v>KH071</v>
      </c>
      <c r="C805" s="2" t="str">
        <v>KH071</v>
      </c>
      <c r="D805" s="2" t="str">
        <v>S2-00841-BH</v>
      </c>
      <c r="E805" s="2" t="str">
        <v>BAN_HANG</v>
      </c>
      <c r="F805" s="2" t="str">
        <v>INP2108</v>
      </c>
      <c r="G805" s="2" t="str">
        <v>2025-12-30</v>
      </c>
      <c r="H805" s="2" t="str">
        <v>2769994.8</v>
      </c>
      <c r="I805" s="28" t="n">
        <v>2769994.8</v>
      </c>
      <c r="J805" s="7" t="n">
        <v>2769995</v>
      </c>
      <c r="K805" s="28" t="n">
        <f>J805-I805</f>
        <v>0.20000000018626451</v>
      </c>
      <c r="L805" s="2" t="str">
        <v>NHẬP</v>
      </c>
      <c r="M805" s="2" t="str"/>
      <c r="N805" s="2" t="str">
        <v>KHAC</v>
      </c>
    </row>
    <row r="806" ht="25" customHeight="1">
      <c r="A806" s="2" t="str">
        <v>Q847</v>
      </c>
      <c r="B806" s="2" t="str">
        <v>KH071</v>
      </c>
      <c r="C806" s="2" t="str">
        <v>KH071</v>
      </c>
      <c r="D806" s="2" t="str">
        <v>S2-00841-BH</v>
      </c>
      <c r="E806" s="2" t="str">
        <v>BAN_HANG</v>
      </c>
      <c r="F806" s="2" t="str">
        <v>INP2109</v>
      </c>
      <c r="G806" s="2" t="str">
        <v>2025-12-30</v>
      </c>
      <c r="H806" s="2" t="str">
        <v>2460002.4</v>
      </c>
      <c r="I806" s="28" t="n">
        <v>2460002.4</v>
      </c>
      <c r="J806" s="7" t="n">
        <v>2460002</v>
      </c>
      <c r="K806" s="28" t="n">
        <f>J806-I806</f>
        <v>-0.39999999990686774</v>
      </c>
      <c r="L806" s="2" t="str">
        <v>NHẬP</v>
      </c>
      <c r="M806" s="2" t="str"/>
      <c r="N806" s="2" t="str">
        <v>KHAC</v>
      </c>
    </row>
    <row r="807" ht="25" customHeight="1">
      <c r="A807" s="2" t="str">
        <v>Q848</v>
      </c>
      <c r="B807" s="2" t="str">
        <v>KH071</v>
      </c>
      <c r="C807" s="2" t="str">
        <v>KH071</v>
      </c>
      <c r="D807" s="2" t="str">
        <v>S2-00841-BH</v>
      </c>
      <c r="E807" s="2" t="str">
        <v>BAN_HANG</v>
      </c>
      <c r="F807" s="2" t="str">
        <v>INP2110</v>
      </c>
      <c r="G807" s="2" t="str">
        <v>2025-12-30</v>
      </c>
      <c r="H807" s="2" t="str">
        <v>2730002.4</v>
      </c>
      <c r="I807" s="28" t="n">
        <v>2730002.4</v>
      </c>
      <c r="J807" s="7" t="n">
        <v>2730002</v>
      </c>
      <c r="K807" s="28" t="n">
        <f>J807-I807</f>
        <v>-0.39999999990686774</v>
      </c>
      <c r="L807" s="2" t="str">
        <v>NHẬP</v>
      </c>
      <c r="M807" s="2" t="str"/>
      <c r="N807" s="2" t="str">
        <v>KHAC</v>
      </c>
    </row>
    <row r="808" ht="25" customHeight="1">
      <c r="A808" s="2" t="str">
        <v>Q849</v>
      </c>
      <c r="B808" s="2" t="str">
        <v>KH071</v>
      </c>
      <c r="C808" s="2" t="str">
        <v>KH071</v>
      </c>
      <c r="D808" s="2" t="str">
        <v>S2-00841-BH</v>
      </c>
      <c r="E808" s="2" t="str">
        <v>BAN_HANG</v>
      </c>
      <c r="F808" s="2" t="str">
        <v>INP2111</v>
      </c>
      <c r="G808" s="2" t="str">
        <v>2025-12-30</v>
      </c>
      <c r="H808" s="2" t="str">
        <v>3000002.4</v>
      </c>
      <c r="I808" s="28" t="n">
        <v>3000002.4</v>
      </c>
      <c r="J808" s="7" t="n">
        <v>3000002</v>
      </c>
      <c r="K808" s="28" t="n">
        <f>J808-I808</f>
        <v>-0.39999999990686774</v>
      </c>
      <c r="L808" s="2" t="str">
        <v>NHẬP</v>
      </c>
      <c r="M808" s="2" t="str"/>
      <c r="N808" s="2" t="str">
        <v>KHAC</v>
      </c>
    </row>
    <row r="809" ht="25" customHeight="1">
      <c r="A809" s="2" t="str">
        <v>Q850</v>
      </c>
      <c r="B809" s="2" t="str">
        <v>KH071</v>
      </c>
      <c r="C809" s="2" t="str">
        <v>KH071</v>
      </c>
      <c r="D809" s="2" t="str">
        <v>S2-00841-BH</v>
      </c>
      <c r="E809" s="2" t="str">
        <v>BAN_HANG</v>
      </c>
      <c r="F809" s="2" t="str">
        <v>INP2202</v>
      </c>
      <c r="G809" s="2" t="str">
        <v>2025-12-30</v>
      </c>
      <c r="H809" s="2" t="str">
        <v>5471997.12</v>
      </c>
      <c r="I809" s="28" t="n">
        <v>5471997.12</v>
      </c>
      <c r="J809" s="7" t="n">
        <v>5471997</v>
      </c>
      <c r="K809" s="28" t="n">
        <f>J809-I809</f>
        <v>-0.12000000011175871</v>
      </c>
      <c r="L809" s="2" t="str">
        <v>NHẬP</v>
      </c>
      <c r="M809" s="2" t="str"/>
      <c r="N809" s="2" t="str">
        <v>KHAC</v>
      </c>
    </row>
    <row r="810" ht="25" customHeight="1">
      <c r="A810" s="2" t="str">
        <v>Q851</v>
      </c>
      <c r="B810" s="2" t="str">
        <v>KH071</v>
      </c>
      <c r="C810" s="2" t="str">
        <v>KH071</v>
      </c>
      <c r="D810" s="2" t="str">
        <v>S2-00841-BH</v>
      </c>
      <c r="E810" s="2" t="str">
        <v>BAN_HANG</v>
      </c>
      <c r="F810" s="2" t="str">
        <v>INP3002</v>
      </c>
      <c r="G810" s="2" t="str">
        <v>2025-12-30</v>
      </c>
      <c r="H810" s="2" t="str">
        <v>1229999.04</v>
      </c>
      <c r="I810" s="28" t="n">
        <v>1229999.04</v>
      </c>
      <c r="J810" s="7" t="n">
        <v>1229999</v>
      </c>
      <c r="K810" s="28" t="n">
        <f>J810-I810</f>
        <v>-0.0400000000372529</v>
      </c>
      <c r="L810" s="2" t="str">
        <v>NHẬP</v>
      </c>
      <c r="M810" s="2" t="str"/>
      <c r="N810" s="2" t="str">
        <v>KHAC</v>
      </c>
    </row>
    <row r="811" ht="25" customHeight="1">
      <c r="A811" s="2" t="str">
        <v>Q852</v>
      </c>
      <c r="B811" s="2" t="str">
        <v>KH071</v>
      </c>
      <c r="C811" s="2" t="str">
        <v>KH071</v>
      </c>
      <c r="D811" s="2" t="str">
        <v>S2-00841-BH</v>
      </c>
      <c r="E811" s="2" t="str">
        <v>BAN_HANG</v>
      </c>
      <c r="F811" s="2" t="str">
        <v>INP3003</v>
      </c>
      <c r="G811" s="2" t="str">
        <v>2025-12-30</v>
      </c>
      <c r="H811" s="2" t="str">
        <v>1219998.24</v>
      </c>
      <c r="I811" s="28" t="n">
        <v>1219998.24</v>
      </c>
      <c r="J811" s="7" t="n">
        <v>1219998</v>
      </c>
      <c r="K811" s="28" t="n">
        <f>J811-I811</f>
        <v>-0.23999999999068677</v>
      </c>
      <c r="L811" s="2" t="str">
        <v>NHẬP</v>
      </c>
      <c r="M811" s="2" t="str"/>
      <c r="N811" s="2" t="str">
        <v>KHAC</v>
      </c>
    </row>
    <row r="812" ht="25" customHeight="1">
      <c r="A812" s="2" t="str">
        <v>Q853</v>
      </c>
      <c r="B812" s="2" t="str">
        <v>KH071</v>
      </c>
      <c r="C812" s="2" t="str">
        <v>KH071</v>
      </c>
      <c r="D812" s="2" t="str">
        <v>S2-00841-BH</v>
      </c>
      <c r="E812" s="2" t="str">
        <v>BAN_HANG</v>
      </c>
      <c r="F812" s="2" t="str">
        <v>INP3201</v>
      </c>
      <c r="G812" s="2" t="str">
        <v>2025-12-30</v>
      </c>
      <c r="H812" s="2" t="str">
        <v>1259997.12</v>
      </c>
      <c r="I812" s="28" t="n">
        <v>1259997.12</v>
      </c>
      <c r="J812" s="7" t="n">
        <v>1259997</v>
      </c>
      <c r="K812" s="28" t="n">
        <f>J812-I812</f>
        <v>-0.12000000011175871</v>
      </c>
      <c r="L812" s="2" t="str">
        <v>NHẬP</v>
      </c>
      <c r="M812" s="2" t="str"/>
      <c r="N812" s="2" t="str">
        <v>KHAC</v>
      </c>
    </row>
    <row r="813" ht="25" customHeight="1">
      <c r="A813" s="2" t="str">
        <v>Q854</v>
      </c>
      <c r="B813" s="2" t="str">
        <v>KH071</v>
      </c>
      <c r="C813" s="2" t="str">
        <v>KH071</v>
      </c>
      <c r="D813" s="2" t="str">
        <v>S2-00841-BH</v>
      </c>
      <c r="E813" s="2" t="str">
        <v>BAN_HANG</v>
      </c>
      <c r="F813" s="2" t="str">
        <v>INP6003</v>
      </c>
      <c r="G813" s="2" t="str">
        <v>2025-12-30</v>
      </c>
      <c r="H813" s="2" t="str">
        <v>1840000.32</v>
      </c>
      <c r="I813" s="28" t="n">
        <v>1840000.32</v>
      </c>
      <c r="J813" s="7" t="n">
        <v>1840000</v>
      </c>
      <c r="K813" s="28" t="n">
        <f>J813-I813</f>
        <v>-0.3200000000651926</v>
      </c>
      <c r="L813" s="2" t="str">
        <v>NHẬP</v>
      </c>
      <c r="M813" s="2" t="str"/>
      <c r="N813" s="2" t="str">
        <v>KHAC</v>
      </c>
    </row>
    <row r="814" ht="25" customHeight="1">
      <c r="A814" s="2" t="str">
        <v>Q855</v>
      </c>
      <c r="B814" s="2" t="str">
        <v>KH071</v>
      </c>
      <c r="C814" s="2" t="str">
        <v>KH071</v>
      </c>
      <c r="D814" s="2" t="str">
        <v>S2-00841-BH</v>
      </c>
      <c r="E814" s="2" t="str">
        <v>BAN_HANG</v>
      </c>
      <c r="F814" s="2" t="str">
        <v>INP6101</v>
      </c>
      <c r="G814" s="2" t="str">
        <v>2025-12-30</v>
      </c>
      <c r="H814" s="2" t="str">
        <v>7800001.92</v>
      </c>
      <c r="I814" s="28" t="n">
        <v>7800001.92</v>
      </c>
      <c r="J814" s="7" t="n">
        <v>7800002</v>
      </c>
      <c r="K814" s="28" t="n">
        <f>J814-I814</f>
        <v>0.0800000000745058</v>
      </c>
      <c r="L814" s="2" t="str">
        <v>NHẬP</v>
      </c>
      <c r="M814" s="2" t="str"/>
      <c r="N814" s="2" t="str">
        <v>KHAC</v>
      </c>
    </row>
    <row r="815" ht="25" customHeight="1">
      <c r="A815" s="2" t="str">
        <v>Q856</v>
      </c>
      <c r="B815" s="2" t="str">
        <v>KH071</v>
      </c>
      <c r="C815" s="2" t="str">
        <v>KH071</v>
      </c>
      <c r="D815" s="2" t="str">
        <v>S2-00841-BH</v>
      </c>
      <c r="E815" s="2" t="str">
        <v>BAN_HANG</v>
      </c>
      <c r="F815" s="2" t="str">
        <v>INP6102</v>
      </c>
      <c r="G815" s="2" t="str">
        <v>2025-12-30</v>
      </c>
      <c r="H815" s="2" t="str">
        <v>12156000.48</v>
      </c>
      <c r="I815" s="28" t="n">
        <v>12156000.48</v>
      </c>
      <c r="J815" s="7" t="n">
        <v>12156001</v>
      </c>
      <c r="K815" s="28" t="n">
        <f>J815-I815</f>
        <v>0.5199999995529652</v>
      </c>
      <c r="L815" s="2" t="str">
        <v>NHẬP</v>
      </c>
      <c r="M815" s="2" t="str"/>
      <c r="N815" s="2" t="str">
        <v>KHAC</v>
      </c>
    </row>
    <row r="816" ht="25" customHeight="1">
      <c r="A816" s="2" t="str">
        <v>Q857</v>
      </c>
      <c r="B816" s="2" t="str">
        <v>KH071</v>
      </c>
      <c r="C816" s="2" t="str">
        <v>KH071</v>
      </c>
      <c r="D816" s="2" t="str">
        <v>S2-00841-BH</v>
      </c>
      <c r="E816" s="2" t="str">
        <v>BAN_HANG</v>
      </c>
      <c r="F816" s="2" t="str">
        <v>INP6104</v>
      </c>
      <c r="G816" s="2" t="str">
        <v>2025-12-30</v>
      </c>
      <c r="H816" s="2" t="str">
        <v>6527997.36</v>
      </c>
      <c r="I816" s="28" t="n">
        <v>6527997.36</v>
      </c>
      <c r="J816" s="7" t="n">
        <v>6527997</v>
      </c>
      <c r="K816" s="28" t="n">
        <f>J816-I816</f>
        <v>-0.3600000003352761</v>
      </c>
      <c r="L816" s="2" t="str">
        <v>NHẬP</v>
      </c>
      <c r="M816" s="2" t="str"/>
      <c r="N816" s="2" t="str">
        <v>KHAC</v>
      </c>
    </row>
    <row r="817" ht="25" customHeight="1">
      <c r="A817" s="2" t="str">
        <v>Q858</v>
      </c>
      <c r="B817" s="2" t="str">
        <v>KH071</v>
      </c>
      <c r="C817" s="2" t="str">
        <v>KH071</v>
      </c>
      <c r="D817" s="2" t="str">
        <v>S2-00841-BH</v>
      </c>
      <c r="E817" s="2" t="str">
        <v>BAN_HANG</v>
      </c>
      <c r="F817" s="2" t="str">
        <v>INP6201</v>
      </c>
      <c r="G817" s="2" t="str">
        <v>2025-12-30</v>
      </c>
      <c r="H817" s="2" t="str">
        <v>4199999.04</v>
      </c>
      <c r="I817" s="28" t="n">
        <v>4199999.04</v>
      </c>
      <c r="J817" s="7" t="n">
        <v>4199999</v>
      </c>
      <c r="K817" s="28" t="n">
        <f>J817-I817</f>
        <v>-0.0400000000372529</v>
      </c>
      <c r="L817" s="2" t="str">
        <v>NHẬP</v>
      </c>
      <c r="M817" s="2" t="str"/>
      <c r="N817" s="2" t="str">
        <v>KHAC</v>
      </c>
    </row>
    <row r="818" ht="25" customHeight="1">
      <c r="A818" s="2" t="str">
        <v>Q859</v>
      </c>
      <c r="B818" s="2" t="str">
        <v>KH071</v>
      </c>
      <c r="C818" s="2" t="str">
        <v>KH071</v>
      </c>
      <c r="D818" s="2" t="str">
        <v>S2-00841-BH</v>
      </c>
      <c r="E818" s="2" t="str">
        <v>BAN_HANG</v>
      </c>
      <c r="F818" s="2" t="str">
        <v>INP6202</v>
      </c>
      <c r="G818" s="2" t="str">
        <v>2025-12-30</v>
      </c>
      <c r="H818" s="2" t="str">
        <v>4224000.96</v>
      </c>
      <c r="I818" s="28" t="n">
        <v>4224000.96</v>
      </c>
      <c r="J818" s="7" t="n">
        <v>4224001</v>
      </c>
      <c r="K818" s="28" t="n">
        <f>J818-I818</f>
        <v>0.0400000000372529</v>
      </c>
      <c r="L818" s="2" t="str">
        <v>NHẬP</v>
      </c>
      <c r="M818" s="2" t="str"/>
      <c r="N818" s="2" t="str">
        <v>KHAC</v>
      </c>
    </row>
    <row r="819" ht="25" customHeight="1">
      <c r="A819" s="2" t="str">
        <v>Q860</v>
      </c>
      <c r="B819" s="2" t="str">
        <v>KH071</v>
      </c>
      <c r="C819" s="2" t="str">
        <v>KH071</v>
      </c>
      <c r="D819" s="2" t="str">
        <v>S2-00841-BH</v>
      </c>
      <c r="E819" s="2" t="str">
        <v>BAN_HANG</v>
      </c>
      <c r="F819" s="2" t="str">
        <v>INP6602</v>
      </c>
      <c r="G819" s="2" t="str">
        <v>2025-12-30</v>
      </c>
      <c r="H819" s="2" t="str">
        <v>7349999.4</v>
      </c>
      <c r="I819" s="28" t="n">
        <v>7349999.4</v>
      </c>
      <c r="J819" s="7" t="n">
        <v>7349999</v>
      </c>
      <c r="K819" s="28" t="n">
        <f>J819-I819</f>
        <v>-0.40000000037252903</v>
      </c>
      <c r="L819" s="2" t="str">
        <v>NHẬP</v>
      </c>
      <c r="M819" s="2" t="str"/>
      <c r="N819" s="2" t="str">
        <v>KHAC</v>
      </c>
    </row>
    <row r="820" ht="25" customHeight="1">
      <c r="A820" s="2" t="str">
        <v>Q861</v>
      </c>
      <c r="B820" s="2" t="str">
        <v>KH071</v>
      </c>
      <c r="C820" s="2" t="str">
        <v>KH071</v>
      </c>
      <c r="D820" s="2" t="str">
        <v>S2-00841-BH</v>
      </c>
      <c r="E820" s="2" t="str">
        <v>BAN_HANG</v>
      </c>
      <c r="F820" s="2" t="str">
        <v>INP6001</v>
      </c>
      <c r="G820" s="2" t="str">
        <v>2025-12-30</v>
      </c>
      <c r="H820" s="2" t="str">
        <v>2460000.24</v>
      </c>
      <c r="I820" s="28" t="n">
        <v>2460000.24</v>
      </c>
      <c r="J820" s="7" t="n">
        <v>2460000</v>
      </c>
      <c r="K820" s="28" t="n">
        <f>J820-I820</f>
        <v>-0.24000000022351742</v>
      </c>
      <c r="L820" s="2" t="str">
        <v>NHẬP</v>
      </c>
      <c r="M820" s="2" t="str"/>
      <c r="N820" s="2" t="str">
        <v>KHAC</v>
      </c>
    </row>
    <row r="821" ht="25" customHeight="1">
      <c r="A821" s="2" t="str">
        <v>Q862</v>
      </c>
      <c r="B821" s="2" t="str">
        <v>KH071</v>
      </c>
      <c r="C821" s="2" t="str">
        <v>KH071</v>
      </c>
      <c r="D821" s="2" t="str">
        <v>S2-00841-BH</v>
      </c>
      <c r="E821" s="2" t="str">
        <v>BAN_HANG</v>
      </c>
      <c r="F821" s="2" t="str">
        <v>INP6003</v>
      </c>
      <c r="G821" s="2" t="str">
        <v>2025-12-30</v>
      </c>
      <c r="H821" s="2" t="str">
        <v>3931999.2</v>
      </c>
      <c r="I821" s="28" t="n">
        <v>3931999.2</v>
      </c>
      <c r="J821" s="7" t="n">
        <v>3931999</v>
      </c>
      <c r="K821" s="28" t="n">
        <f>J821-I821</f>
        <v>-0.20000000018626451</v>
      </c>
      <c r="L821" s="2" t="str">
        <v>NHẬP</v>
      </c>
      <c r="M821" s="2" t="str"/>
      <c r="N821" s="2" t="str">
        <v>KHAC</v>
      </c>
    </row>
    <row r="822" ht="25" customHeight="1">
      <c r="A822" s="2" t="str">
        <v>R864</v>
      </c>
      <c r="B822" s="2" t="str">
        <v>KH071</v>
      </c>
      <c r="C822" s="2" t="str">
        <v>KH071</v>
      </c>
      <c r="D822" s="2" t="str">
        <v>S2-00864-TT</v>
      </c>
      <c r="E822" s="2" t="str">
        <v>THU_TIEN</v>
      </c>
      <c r="F822" s="2" t="str"/>
      <c r="G822" s="2" t="str">
        <v>2026-01-16</v>
      </c>
      <c r="H822" s="2" t="str">
        <v>9000000</v>
      </c>
      <c r="I822" s="28" t="n">
        <v>9000000</v>
      </c>
      <c r="J822" s="7" t="n">
        <v>9000000</v>
      </c>
      <c r="K822" s="28" t="n">
        <f>J822-I822</f>
        <v>0</v>
      </c>
      <c r="L822" s="2" t="str">
        <v>NHẬP</v>
      </c>
      <c r="M822" s="2" t="str"/>
      <c r="N822" s="2" t="str">
        <v>KHAC</v>
      </c>
    </row>
    <row r="823" ht="25" customHeight="1">
      <c r="A823" s="2" t="str">
        <v>Q865</v>
      </c>
      <c r="B823" s="2" t="str">
        <v>KH071</v>
      </c>
      <c r="C823" s="2" t="str">
        <v>KH071</v>
      </c>
      <c r="D823" s="2" t="str">
        <v>S2-00865-BH</v>
      </c>
      <c r="E823" s="2" t="str">
        <v>BAN_HANG</v>
      </c>
      <c r="F823" s="2" t="str">
        <v>INP1501</v>
      </c>
      <c r="G823" s="2" t="str">
        <v>2026-01-16</v>
      </c>
      <c r="H823" s="2" t="str">
        <v>1439999.9856</v>
      </c>
      <c r="I823" s="28" t="n">
        <v>1439999.9856</v>
      </c>
      <c r="J823" s="7" t="n">
        <v>1440000</v>
      </c>
      <c r="K823" s="28" t="n">
        <f>J823-I823</f>
        <v>0.014399999985471368</v>
      </c>
      <c r="L823" s="2" t="str">
        <v>NHẬP</v>
      </c>
      <c r="M823" s="2" t="str"/>
      <c r="N823" s="2" t="str">
        <v>KHAC</v>
      </c>
    </row>
    <row r="824" ht="25" customHeight="1">
      <c r="A824" s="2" t="str">
        <v>Q866</v>
      </c>
      <c r="B824" s="2" t="str">
        <v>KH071</v>
      </c>
      <c r="C824" s="2" t="str">
        <v>KH071</v>
      </c>
      <c r="D824" s="2" t="str">
        <v>S2-00865-BH</v>
      </c>
      <c r="E824" s="2" t="str">
        <v>BAN_HANG</v>
      </c>
      <c r="F824" s="2" t="str">
        <v>INP1502</v>
      </c>
      <c r="G824" s="2" t="str">
        <v>2026-01-16</v>
      </c>
      <c r="H824" s="2" t="str">
        <v>1559999.4768</v>
      </c>
      <c r="I824" s="28" t="n">
        <v>1559999.4768</v>
      </c>
      <c r="J824" s="7" t="n">
        <v>1560000</v>
      </c>
      <c r="K824" s="28" t="n">
        <f>J824-I824</f>
        <v>0.5231999999377877</v>
      </c>
      <c r="L824" s="2" t="str">
        <v>NHẬP</v>
      </c>
      <c r="M824" s="2" t="str"/>
      <c r="N824" s="2" t="str">
        <v>KHAC</v>
      </c>
    </row>
    <row r="825" ht="25" customHeight="1">
      <c r="A825" s="2" t="str">
        <v>Q867</v>
      </c>
      <c r="B825" s="2" t="str">
        <v>KH071</v>
      </c>
      <c r="C825" s="2" t="str">
        <v>KH071</v>
      </c>
      <c r="D825" s="2" t="str">
        <v>S2-00865-BH</v>
      </c>
      <c r="E825" s="2" t="str">
        <v>BAN_HANG</v>
      </c>
      <c r="F825" s="2" t="str">
        <v>INP1503</v>
      </c>
      <c r="G825" s="2" t="str">
        <v>2026-01-16</v>
      </c>
      <c r="H825" s="2" t="str">
        <v>1680000.0048</v>
      </c>
      <c r="I825" s="28" t="n">
        <v>1680000.0048</v>
      </c>
      <c r="J825" s="7" t="n">
        <v>1680000</v>
      </c>
      <c r="K825" s="28" t="n">
        <f>J825-I825</f>
        <v>-0.004799999995157123</v>
      </c>
      <c r="L825" s="2" t="str">
        <v>NHẬP</v>
      </c>
      <c r="M825" s="2" t="str"/>
      <c r="N825" s="2" t="str">
        <v>KHAC</v>
      </c>
    </row>
    <row r="826" ht="25" customHeight="1">
      <c r="A826" s="2" t="str">
        <v>Q868</v>
      </c>
      <c r="B826" s="2" t="str">
        <v>KH071</v>
      </c>
      <c r="C826" s="2" t="str">
        <v>KH071</v>
      </c>
      <c r="D826" s="2" t="str">
        <v>S2-00865-BH</v>
      </c>
      <c r="E826" s="2" t="str">
        <v>BAN_HANG</v>
      </c>
      <c r="F826" s="2" t="str">
        <v>INP2106</v>
      </c>
      <c r="G826" s="2" t="str">
        <v>2026-01-16</v>
      </c>
      <c r="H826" s="2" t="str">
        <v>2730000.024</v>
      </c>
      <c r="I826" s="28" t="n">
        <v>2730000.024</v>
      </c>
      <c r="J826" s="7" t="n">
        <v>2730000</v>
      </c>
      <c r="K826" s="28" t="n">
        <f>J826-I826</f>
        <v>-0.024000000208616257</v>
      </c>
      <c r="L826" s="2" t="str">
        <v>NHẬP</v>
      </c>
      <c r="M826" s="2" t="str"/>
      <c r="N826" s="2" t="str">
        <v>KHAC</v>
      </c>
    </row>
    <row r="827" ht="25" customHeight="1">
      <c r="A827" s="2" t="str">
        <v>Q869</v>
      </c>
      <c r="B827" s="2" t="str">
        <v>KH071</v>
      </c>
      <c r="C827" s="2" t="str">
        <v>KH071</v>
      </c>
      <c r="D827" s="2" t="str">
        <v>S2-00865-BH</v>
      </c>
      <c r="E827" s="2" t="str">
        <v>BAN_HANG</v>
      </c>
      <c r="F827" s="2" t="str">
        <v>INP2108</v>
      </c>
      <c r="G827" s="2" t="str">
        <v>2026-01-16</v>
      </c>
      <c r="H827" s="2" t="str">
        <v>5539999.968</v>
      </c>
      <c r="I827" s="28" t="n">
        <v>5539999.968</v>
      </c>
      <c r="J827" s="7" t="n">
        <v>5540000</v>
      </c>
      <c r="K827" s="28" t="n">
        <f>J827-I827</f>
        <v>0.03199999965727329</v>
      </c>
      <c r="L827" s="2" t="str">
        <v>NHẬP</v>
      </c>
      <c r="M827" s="2" t="str"/>
      <c r="N827" s="2" t="str">
        <v>KHAC</v>
      </c>
    </row>
    <row r="828" ht="25" customHeight="1">
      <c r="A828" s="2" t="str">
        <v>Q870</v>
      </c>
      <c r="B828" s="2" t="str">
        <v>KH071</v>
      </c>
      <c r="C828" s="2" t="str">
        <v>KH071</v>
      </c>
      <c r="D828" s="2" t="str">
        <v>S2-00865-BH</v>
      </c>
      <c r="E828" s="2" t="str">
        <v>BAN_HANG</v>
      </c>
      <c r="F828" s="2" t="str">
        <v>INP2109</v>
      </c>
      <c r="G828" s="2" t="str">
        <v>2026-01-16</v>
      </c>
      <c r="H828" s="2" t="str">
        <v>2460000.024</v>
      </c>
      <c r="I828" s="28" t="n">
        <v>2460000.024</v>
      </c>
      <c r="J828" s="7" t="n">
        <v>2460000</v>
      </c>
      <c r="K828" s="28" t="n">
        <f>J828-I828</f>
        <v>-0.024000000208616257</v>
      </c>
      <c r="L828" s="2" t="str">
        <v>NHẬP</v>
      </c>
      <c r="M828" s="2" t="str"/>
      <c r="N828" s="2" t="str">
        <v>KHAC</v>
      </c>
    </row>
    <row r="829" ht="25" customHeight="1">
      <c r="A829" s="2" t="str">
        <v>Q871</v>
      </c>
      <c r="B829" s="2" t="str">
        <v>KH071</v>
      </c>
      <c r="C829" s="2" t="str">
        <v>KH071</v>
      </c>
      <c r="D829" s="2" t="str">
        <v>S2-00865-BH</v>
      </c>
      <c r="E829" s="2" t="str">
        <v>BAN_HANG</v>
      </c>
      <c r="F829" s="2" t="str">
        <v>INP2110</v>
      </c>
      <c r="G829" s="2" t="str">
        <v>2026-01-16</v>
      </c>
      <c r="H829" s="2" t="str">
        <v>5460000.048</v>
      </c>
      <c r="I829" s="28" t="n">
        <v>5460000.048</v>
      </c>
      <c r="J829" s="7" t="n">
        <v>5460000</v>
      </c>
      <c r="K829" s="28" t="n">
        <f>J829-I829</f>
        <v>-0.04800000041723251</v>
      </c>
      <c r="L829" s="2" t="str">
        <v>NHẬP</v>
      </c>
      <c r="M829" s="2" t="str"/>
      <c r="N829" s="2" t="str">
        <v>KHAC</v>
      </c>
    </row>
    <row r="830" ht="25" customHeight="1">
      <c r="A830" s="2" t="str">
        <v>Q872</v>
      </c>
      <c r="B830" s="2" t="str">
        <v>KH071</v>
      </c>
      <c r="C830" s="2" t="str">
        <v>KH071</v>
      </c>
      <c r="D830" s="2" t="str">
        <v>S2-00865-BH</v>
      </c>
      <c r="E830" s="2" t="str">
        <v>BAN_HANG</v>
      </c>
      <c r="F830" s="2" t="str">
        <v>INP2111</v>
      </c>
      <c r="G830" s="2" t="str">
        <v>2026-01-16</v>
      </c>
      <c r="H830" s="2" t="str">
        <v>6000000.048</v>
      </c>
      <c r="I830" s="28" t="n">
        <v>6000000.048</v>
      </c>
      <c r="J830" s="7" t="n">
        <v>6000000</v>
      </c>
      <c r="K830" s="28" t="n">
        <f>J830-I830</f>
        <v>-0.04800000041723251</v>
      </c>
      <c r="L830" s="2" t="str">
        <v>NHẬP</v>
      </c>
      <c r="M830" s="2" t="str"/>
      <c r="N830" s="2" t="str">
        <v>KHAC</v>
      </c>
    </row>
    <row r="831" ht="25" customHeight="1">
      <c r="A831" s="2" t="str">
        <v>Q873</v>
      </c>
      <c r="B831" s="2" t="str">
        <v>KH071</v>
      </c>
      <c r="C831" s="2" t="str">
        <v>KH071</v>
      </c>
      <c r="D831" s="2" t="str">
        <v>S2-00873-BH</v>
      </c>
      <c r="E831" s="2" t="str">
        <v>BAN_HANG</v>
      </c>
      <c r="F831" s="2" t="str">
        <v>INP6701</v>
      </c>
      <c r="G831" s="2" t="str">
        <v>2026-01-16</v>
      </c>
      <c r="H831" s="2" t="str">
        <v>3119999.9904</v>
      </c>
      <c r="I831" s="28" t="n">
        <v>3119999.9904</v>
      </c>
      <c r="J831" s="7" t="n">
        <v>3120000</v>
      </c>
      <c r="K831" s="28" t="n">
        <f>J831-I831</f>
        <v>0.009599999990314245</v>
      </c>
      <c r="L831" s="2" t="str">
        <v>NHẬP</v>
      </c>
      <c r="M831" s="2" t="str"/>
      <c r="N831" s="2" t="str">
        <v>KHAC</v>
      </c>
    </row>
    <row r="832" ht="25" customHeight="1">
      <c r="A832" s="2" t="str">
        <v>Q874</v>
      </c>
      <c r="B832" s="2" t="str">
        <v>KH071</v>
      </c>
      <c r="C832" s="2" t="str">
        <v>KH071</v>
      </c>
      <c r="D832" s="2" t="str">
        <v>S2-00874-BH</v>
      </c>
      <c r="E832" s="2" t="str">
        <v>BAN_HANG</v>
      </c>
      <c r="F832" s="2" t="str">
        <v>INP1003</v>
      </c>
      <c r="G832" s="2" t="str">
        <v>2026-02-02</v>
      </c>
      <c r="H832" s="2" t="str">
        <v>1399999.9824</v>
      </c>
      <c r="I832" s="28" t="n">
        <v>1399999.9824</v>
      </c>
      <c r="J832" s="7" t="n">
        <v>1400000</v>
      </c>
      <c r="K832" s="28" t="n">
        <f>J832-I832</f>
        <v>0.01759999990463257</v>
      </c>
      <c r="L832" s="2" t="str">
        <v>NHẬP</v>
      </c>
      <c r="M832" s="2" t="str"/>
      <c r="N832" s="2" t="str">
        <v>KHAC</v>
      </c>
    </row>
    <row r="833" ht="25" customHeight="1">
      <c r="A833" s="2" t="str">
        <v>Q875</v>
      </c>
      <c r="B833" s="2" t="str">
        <v>KH071</v>
      </c>
      <c r="C833" s="2" t="str">
        <v>KH071</v>
      </c>
      <c r="D833" s="2" t="str">
        <v>S2-00874-BH</v>
      </c>
      <c r="E833" s="2" t="str">
        <v>BAN_HANG</v>
      </c>
      <c r="F833" s="2" t="str">
        <v>INP1501</v>
      </c>
      <c r="G833" s="2" t="str">
        <v>2026-02-02</v>
      </c>
      <c r="H833" s="2" t="str">
        <v>5759999.9424</v>
      </c>
      <c r="I833" s="28" t="n">
        <v>5759999.9424</v>
      </c>
      <c r="J833" s="7" t="n">
        <v>5760000</v>
      </c>
      <c r="K833" s="28" t="n">
        <f>J833-I833</f>
        <v>0.05759999994188547</v>
      </c>
      <c r="L833" s="2" t="str">
        <v>NHẬP</v>
      </c>
      <c r="M833" s="2" t="str"/>
      <c r="N833" s="2" t="str">
        <v>KHAC</v>
      </c>
    </row>
    <row r="834" ht="25" customHeight="1">
      <c r="A834" s="2" t="str">
        <v>Q876</v>
      </c>
      <c r="B834" s="2" t="str">
        <v>KH071</v>
      </c>
      <c r="C834" s="2" t="str">
        <v>KH071</v>
      </c>
      <c r="D834" s="2" t="str">
        <v>S2-00874-BH</v>
      </c>
      <c r="E834" s="2" t="str">
        <v>BAN_HANG</v>
      </c>
      <c r="F834" s="2" t="str">
        <v>INP1502</v>
      </c>
      <c r="G834" s="2" t="str">
        <v>2026-02-02</v>
      </c>
      <c r="H834" s="2" t="str">
        <v>6239997.9072</v>
      </c>
      <c r="I834" s="28" t="n">
        <v>6239997.9072</v>
      </c>
      <c r="J834" s="7" t="n">
        <v>6239998</v>
      </c>
      <c r="K834" s="28" t="n">
        <f>J834-I834</f>
        <v>0.09279999975115061</v>
      </c>
      <c r="L834" s="2" t="str">
        <v>NHẬP</v>
      </c>
      <c r="M834" s="2" t="str"/>
      <c r="N834" s="2" t="str">
        <v>KHAC</v>
      </c>
    </row>
    <row r="835" ht="25" customHeight="1">
      <c r="A835" s="2" t="str">
        <v>Q877</v>
      </c>
      <c r="B835" s="2" t="str">
        <v>KH071</v>
      </c>
      <c r="C835" s="2" t="str">
        <v>KH071</v>
      </c>
      <c r="D835" s="2" t="str">
        <v>S2-00874-BH</v>
      </c>
      <c r="E835" s="2" t="str">
        <v>BAN_HANG</v>
      </c>
      <c r="F835" s="2" t="str">
        <v>INP1503</v>
      </c>
      <c r="G835" s="2" t="str">
        <v>2026-02-02</v>
      </c>
      <c r="H835" s="2" t="str">
        <v>6720000.0192</v>
      </c>
      <c r="I835" s="28" t="n">
        <v>6720000.0192</v>
      </c>
      <c r="J835" s="7" t="n">
        <v>6720000</v>
      </c>
      <c r="K835" s="28" t="n">
        <f>J835-I835</f>
        <v>-0.01919999998062849</v>
      </c>
      <c r="L835" s="2" t="str">
        <v>NHẬP</v>
      </c>
      <c r="M835" s="2" t="str"/>
      <c r="N835" s="2" t="str">
        <v>KHAC</v>
      </c>
    </row>
    <row r="836" ht="25" customHeight="1">
      <c r="A836" s="2" t="str">
        <v>Q878</v>
      </c>
      <c r="B836" s="2" t="str">
        <v>KH071</v>
      </c>
      <c r="C836" s="2" t="str">
        <v>KH071</v>
      </c>
      <c r="D836" s="2" t="str">
        <v>S2-00874-BH</v>
      </c>
      <c r="E836" s="2" t="str">
        <v>BAN_HANG</v>
      </c>
      <c r="F836" s="2" t="str">
        <v>INP2202</v>
      </c>
      <c r="G836" s="2" t="str">
        <v>2026-02-02</v>
      </c>
      <c r="H836" s="2" t="str">
        <v>3647999.9808</v>
      </c>
      <c r="I836" s="28" t="n">
        <v>3647999.9808</v>
      </c>
      <c r="J836" s="7" t="n">
        <v>3648000</v>
      </c>
      <c r="K836" s="28" t="n">
        <f>J836-I836</f>
        <v>0.01919999998062849</v>
      </c>
      <c r="L836" s="2" t="str">
        <v>NHẬP</v>
      </c>
      <c r="M836" s="2" t="str"/>
      <c r="N836" s="2" t="str">
        <v>KHAC</v>
      </c>
    </row>
    <row r="837" ht="25" customHeight="1">
      <c r="A837" s="2" t="str">
        <v>Q879</v>
      </c>
      <c r="B837" s="2" t="str">
        <v>KH071</v>
      </c>
      <c r="C837" s="2" t="str">
        <v>KH071</v>
      </c>
      <c r="D837" s="2" t="str">
        <v>S2-00874-BH</v>
      </c>
      <c r="E837" s="2" t="str">
        <v>BAN_HANG</v>
      </c>
      <c r="F837" s="2" t="str">
        <v>INP6602</v>
      </c>
      <c r="G837" s="2" t="str">
        <v>2026-02-02</v>
      </c>
      <c r="H837" s="2" t="str">
        <v>23519999.9808</v>
      </c>
      <c r="I837" s="28" t="n">
        <v>23519999.9808</v>
      </c>
      <c r="J837" s="7" t="n">
        <v>23520000</v>
      </c>
      <c r="K837" s="28" t="n">
        <f>J837-I837</f>
        <v>0.019200000911951065</v>
      </c>
      <c r="L837" s="2" t="str">
        <v>NHẬP</v>
      </c>
      <c r="M837" s="2" t="str"/>
      <c r="N837" s="2" t="str">
        <v>KHAC</v>
      </c>
    </row>
    <row r="838" ht="25" customHeight="1">
      <c r="A838" s="2" t="str">
        <v>R880</v>
      </c>
      <c r="B838" s="2" t="str">
        <v>KH071</v>
      </c>
      <c r="C838" s="2" t="str">
        <v>KH071</v>
      </c>
      <c r="D838" s="2" t="str">
        <v>S2-00880-TT</v>
      </c>
      <c r="E838" s="2" t="str">
        <v>THU_TIEN</v>
      </c>
      <c r="F838" s="2" t="str"/>
      <c r="G838" s="2" t="str">
        <v>2026-02-11</v>
      </c>
      <c r="H838" s="2" t="str">
        <v>35000000</v>
      </c>
      <c r="I838" s="28" t="n">
        <v>35000000</v>
      </c>
      <c r="J838" s="7" t="n">
        <v>35000000</v>
      </c>
      <c r="K838" s="28" t="n">
        <f>J838-I838</f>
        <v>0</v>
      </c>
      <c r="L838" s="2" t="str">
        <v>NHẬP</v>
      </c>
      <c r="M838" s="2" t="str"/>
      <c r="N838" s="2" t="str">
        <v>KHAC</v>
      </c>
    </row>
    <row r="839" ht="25" customHeight="1">
      <c r="A839" s="2" t="str">
        <v>Q881</v>
      </c>
      <c r="B839" s="2" t="str">
        <v>KH071</v>
      </c>
      <c r="C839" s="2" t="str">
        <v>KH071</v>
      </c>
      <c r="D839" s="2" t="str">
        <v>S2-00881-BH</v>
      </c>
      <c r="E839" s="2" t="str">
        <v>BAN_HANG</v>
      </c>
      <c r="F839" s="2" t="str">
        <v>INP1401</v>
      </c>
      <c r="G839" s="2" t="str">
        <v>2026-06-10</v>
      </c>
      <c r="H839" s="2" t="str">
        <v>3559999.9824</v>
      </c>
      <c r="I839" s="28" t="n">
        <v>3559999.9824</v>
      </c>
      <c r="J839" s="7" t="n">
        <v>3560000</v>
      </c>
      <c r="K839" s="28" t="n">
        <f>J839-I839</f>
        <v>0.01759999990463257</v>
      </c>
      <c r="L839" s="2" t="str">
        <v>NHẬP</v>
      </c>
      <c r="M839" s="2" t="str"/>
      <c r="N839" s="2" t="str">
        <v>KHAC</v>
      </c>
    </row>
    <row r="840" ht="25" customHeight="1">
      <c r="A840" s="2" t="str">
        <v>Q882</v>
      </c>
      <c r="B840" s="2" t="str">
        <v>KH071</v>
      </c>
      <c r="C840" s="2" t="str">
        <v>KH071</v>
      </c>
      <c r="D840" s="2" t="str">
        <v>S2-00881-BH</v>
      </c>
      <c r="E840" s="2" t="str">
        <v>BAN_HANG</v>
      </c>
      <c r="F840" s="2" t="str">
        <v>INP2003</v>
      </c>
      <c r="G840" s="2" t="str">
        <v>2026-06-10</v>
      </c>
      <c r="H840" s="2" t="str">
        <v>4575999.96</v>
      </c>
      <c r="I840" s="28" t="n">
        <v>4575999.96</v>
      </c>
      <c r="J840" s="7" t="n">
        <v>4576000</v>
      </c>
      <c r="K840" s="28" t="n">
        <f>J840-I840</f>
        <v>0.0400000000372529</v>
      </c>
      <c r="L840" s="2" t="str">
        <v>NHẬP</v>
      </c>
      <c r="M840" s="2" t="str"/>
      <c r="N840" s="2" t="str">
        <v>KHAC</v>
      </c>
    </row>
    <row r="841" ht="25" customHeight="1">
      <c r="A841" s="2" t="str">
        <v>Q883</v>
      </c>
      <c r="B841" s="2" t="str">
        <v>KH071</v>
      </c>
      <c r="C841" s="2" t="str">
        <v>KH071</v>
      </c>
      <c r="D841" s="2" t="str">
        <v>S2-00881-BH</v>
      </c>
      <c r="E841" s="2" t="str">
        <v>BAN_HANG</v>
      </c>
      <c r="F841" s="2" t="str">
        <v>INP2106</v>
      </c>
      <c r="G841" s="2" t="str">
        <v>2026-06-10</v>
      </c>
      <c r="H841" s="2" t="str">
        <v>2730000.024</v>
      </c>
      <c r="I841" s="28" t="n">
        <v>2730000.024</v>
      </c>
      <c r="J841" s="7" t="n">
        <v>2730000</v>
      </c>
      <c r="K841" s="28" t="n">
        <f>J841-I841</f>
        <v>-0.024000000208616257</v>
      </c>
      <c r="L841" s="2" t="str">
        <v>NHẬP</v>
      </c>
      <c r="M841" s="2" t="str"/>
      <c r="N841" s="2" t="str">
        <v>KHAC</v>
      </c>
    </row>
    <row r="842" ht="25" customHeight="1">
      <c r="A842" s="2" t="str">
        <v>Q884</v>
      </c>
      <c r="B842" s="2" t="str">
        <v>KH071</v>
      </c>
      <c r="C842" s="2" t="str">
        <v>KH071</v>
      </c>
      <c r="D842" s="2" t="str">
        <v>S2-00881-BH</v>
      </c>
      <c r="E842" s="2" t="str">
        <v>BAN_HANG</v>
      </c>
      <c r="F842" s="2" t="str">
        <v>INP2202</v>
      </c>
      <c r="G842" s="2" t="str">
        <v>2026-06-10</v>
      </c>
      <c r="H842" s="2" t="str">
        <v>1823999.9904</v>
      </c>
      <c r="I842" s="28" t="n">
        <v>1823999.9904</v>
      </c>
      <c r="J842" s="7" t="n">
        <v>1824000</v>
      </c>
      <c r="K842" s="28" t="n">
        <f>J842-I842</f>
        <v>0.009599999990314245</v>
      </c>
      <c r="L842" s="2" t="str">
        <v>NHẬP</v>
      </c>
      <c r="M842" s="2" t="str"/>
      <c r="N842" s="2" t="str">
        <v>KHAC</v>
      </c>
    </row>
    <row r="843" ht="25" customHeight="1">
      <c r="A843" s="2" t="str">
        <v>Q885</v>
      </c>
      <c r="B843" s="2" t="str">
        <v>KH071</v>
      </c>
      <c r="C843" s="2" t="str">
        <v>KH071</v>
      </c>
      <c r="D843" s="2" t="str">
        <v>S2-00881-BH</v>
      </c>
      <c r="E843" s="2" t="str">
        <v>BAN_HANG</v>
      </c>
      <c r="F843" s="2" t="str">
        <v>INP6002</v>
      </c>
      <c r="G843" s="2" t="str">
        <v>2026-06-10</v>
      </c>
      <c r="H843" s="2" t="str">
        <v>4739999.9904</v>
      </c>
      <c r="I843" s="28" t="n">
        <v>4739999.9904</v>
      </c>
      <c r="J843" s="7" t="n">
        <v>4740000</v>
      </c>
      <c r="K843" s="28" t="n">
        <f>J843-I843</f>
        <v>0.009600000455975533</v>
      </c>
      <c r="L843" s="2" t="str">
        <v>NHẬP</v>
      </c>
      <c r="M843" s="2" t="str"/>
      <c r="N843" s="2" t="str">
        <v>KHAC</v>
      </c>
    </row>
    <row r="844" ht="25" customHeight="1">
      <c r="A844" s="2" t="str">
        <v>Q886</v>
      </c>
      <c r="B844" s="2" t="str">
        <v>KH071</v>
      </c>
      <c r="C844" s="2" t="str">
        <v>KH071</v>
      </c>
      <c r="D844" s="2" t="str">
        <v>S2-00881-BH</v>
      </c>
      <c r="E844" s="2" t="str">
        <v>BAN_HANG</v>
      </c>
      <c r="F844" s="2" t="str">
        <v>INP6701</v>
      </c>
      <c r="G844" s="2" t="str">
        <v>2026-06-10</v>
      </c>
      <c r="H844" s="2" t="str">
        <v>3119999.9904</v>
      </c>
      <c r="I844" s="28" t="n">
        <v>3119999.9904</v>
      </c>
      <c r="J844" s="7" t="n">
        <v>3120000</v>
      </c>
      <c r="K844" s="28" t="n">
        <f>J844-I844</f>
        <v>0.009599999990314245</v>
      </c>
      <c r="L844" s="2" t="str">
        <v>NHẬP</v>
      </c>
      <c r="M844" s="2" t="str"/>
      <c r="N844" s="2" t="str">
        <v>KHAC</v>
      </c>
    </row>
    <row r="845" ht="25" customHeight="1">
      <c r="A845" s="2" t="str">
        <v>Q887</v>
      </c>
      <c r="B845" s="2" t="str">
        <v>KH071</v>
      </c>
      <c r="C845" s="2" t="str">
        <v>KH071</v>
      </c>
      <c r="D845" s="2" t="str">
        <v>S2-00887-BH</v>
      </c>
      <c r="E845" s="2" t="str">
        <v>BAN_HANG</v>
      </c>
      <c r="F845" s="2" t="str">
        <v>INP6401</v>
      </c>
      <c r="G845" s="2" t="str">
        <v>2026-06-10</v>
      </c>
      <c r="H845" s="2" t="str">
        <v>56099998.98</v>
      </c>
      <c r="I845" s="28" t="n">
        <v>56099998.98</v>
      </c>
      <c r="J845" s="7" t="n">
        <v>56099999</v>
      </c>
      <c r="K845" s="28" t="n">
        <f>J845-I845</f>
        <v>0.020000003278255463</v>
      </c>
      <c r="L845" s="2" t="str">
        <v>NHẬP</v>
      </c>
      <c r="M845" s="2" t="str"/>
      <c r="N845" s="2" t="str">
        <v>QUAT</v>
      </c>
    </row>
    <row r="846" ht="25" customHeight="1">
      <c r="A846" s="2" t="str">
        <v>R888</v>
      </c>
      <c r="B846" s="2" t="str">
        <v>KH071</v>
      </c>
      <c r="C846" s="2" t="str">
        <v>KH071</v>
      </c>
      <c r="D846" s="2" t="str">
        <v>S2-00888-TT</v>
      </c>
      <c r="E846" s="2" t="str">
        <v>THU_TIEN</v>
      </c>
      <c r="F846" s="2" t="str"/>
      <c r="G846" s="2" t="str">
        <v>2026-06-16</v>
      </c>
      <c r="H846" s="2" t="str">
        <v>15000000</v>
      </c>
      <c r="I846" s="28" t="n">
        <v>15000000</v>
      </c>
      <c r="J846" s="7" t="n">
        <v>15000000</v>
      </c>
      <c r="K846" s="28" t="n">
        <f>J846-I846</f>
        <v>0</v>
      </c>
      <c r="L846" s="2" t="str">
        <v>NHẬP</v>
      </c>
      <c r="M846" s="2" t="str"/>
      <c r="N846" s="2" t="str">
        <v>KHAC</v>
      </c>
    </row>
    <row r="847" ht="25" customHeight="1">
      <c r="A847" s="2" t="str">
        <v>R889</v>
      </c>
      <c r="B847" s="2" t="str">
        <v>KH071</v>
      </c>
      <c r="C847" s="2" t="str">
        <v>KH071</v>
      </c>
      <c r="D847" s="2" t="str">
        <v>S2-00889-TT</v>
      </c>
      <c r="E847" s="2" t="str">
        <v>THU_TIEN</v>
      </c>
      <c r="F847" s="2" t="str"/>
      <c r="G847" s="2" t="str">
        <v>2026-06-17</v>
      </c>
      <c r="H847" s="2" t="str">
        <v>18300000</v>
      </c>
      <c r="I847" s="28" t="n">
        <v>18300000</v>
      </c>
      <c r="J847" s="7" t="n">
        <v>18300000</v>
      </c>
      <c r="K847" s="28" t="n">
        <f>J847-I847</f>
        <v>0</v>
      </c>
      <c r="L847" s="2" t="str">
        <v>NHẬP</v>
      </c>
      <c r="M847" s="2" t="str"/>
      <c r="N847" s="2" t="str">
        <v>KHAC</v>
      </c>
    </row>
    <row r="848" ht="25" customHeight="1">
      <c r="A848" s="2" t="str">
        <v>Q890</v>
      </c>
      <c r="B848" s="2" t="str">
        <v>KH071</v>
      </c>
      <c r="C848" s="2" t="str">
        <v>KH071</v>
      </c>
      <c r="D848" s="2" t="str">
        <v>S2-00890-BH</v>
      </c>
      <c r="E848" s="2" t="str">
        <v>BAN_HANG</v>
      </c>
      <c r="F848" s="2" t="str">
        <v>INP6701</v>
      </c>
      <c r="G848" s="2" t="str">
        <v>2026-06-17</v>
      </c>
      <c r="H848" s="2" t="str">
        <v>6239999.9808</v>
      </c>
      <c r="I848" s="28" t="n">
        <v>6239999.9808</v>
      </c>
      <c r="J848" s="7" t="n">
        <v>6240000</v>
      </c>
      <c r="K848" s="28" t="n">
        <f>J848-I848</f>
        <v>0.01919999998062849</v>
      </c>
      <c r="L848" s="2" t="str">
        <v>NHẬP</v>
      </c>
      <c r="M848" s="2" t="str"/>
      <c r="N848" s="2" t="str">
        <v>KHAC</v>
      </c>
    </row>
    <row r="849" ht="25" customHeight="1">
      <c r="A849" s="2" t="str">
        <v>Q891</v>
      </c>
      <c r="B849" s="2" t="str">
        <v>KH071</v>
      </c>
      <c r="C849" s="2" t="str">
        <v>KH071</v>
      </c>
      <c r="D849" s="2" t="str">
        <v>S2-00891-BH</v>
      </c>
      <c r="E849" s="2" t="str">
        <v>BAN_HANG</v>
      </c>
      <c r="F849" s="2" t="str">
        <v>INP6902</v>
      </c>
      <c r="G849" s="2" t="str">
        <v>2026-06-17</v>
      </c>
      <c r="H849" s="2" t="str">
        <v>17599999.896</v>
      </c>
      <c r="I849" s="28" t="n">
        <v>17599999.896</v>
      </c>
      <c r="J849" s="7" t="n">
        <v>17600000</v>
      </c>
      <c r="K849" s="28" t="n">
        <f>J849-I849</f>
        <v>0.10399999842047691</v>
      </c>
      <c r="L849" s="2" t="str">
        <v>NHẬP</v>
      </c>
      <c r="M849" s="2" t="str"/>
      <c r="N849" s="2" t="str">
        <v>KHAC</v>
      </c>
    </row>
    <row r="850" ht="25" customHeight="1">
      <c r="A850" s="2" t="str">
        <v>Q892</v>
      </c>
      <c r="B850" s="2" t="str">
        <v>KH071</v>
      </c>
      <c r="C850" s="2" t="str">
        <v>KH071</v>
      </c>
      <c r="D850" s="2" t="str">
        <v>S2-00891-BH</v>
      </c>
      <c r="E850" s="2" t="str">
        <v>BAN_HANG</v>
      </c>
      <c r="F850" s="2" t="str">
        <v>INP6903</v>
      </c>
      <c r="G850" s="2" t="str">
        <v>2026-06-17</v>
      </c>
      <c r="H850" s="2" t="str">
        <v>3920000.0112</v>
      </c>
      <c r="I850" s="28" t="n">
        <v>3920000.0112</v>
      </c>
      <c r="J850" s="7" t="n">
        <v>3920000</v>
      </c>
      <c r="K850" s="28" t="n">
        <f>J850-I850</f>
        <v>-0.011200000066310167</v>
      </c>
      <c r="L850" s="2" t="str">
        <v>NHẬP</v>
      </c>
      <c r="M850" s="2" t="str"/>
      <c r="N850" s="2" t="str">
        <v>KHAC</v>
      </c>
    </row>
    <row r="851" ht="25" customHeight="1">
      <c r="A851" s="2" t="str">
        <v>Q893</v>
      </c>
      <c r="B851" s="2" t="str">
        <v>KH071</v>
      </c>
      <c r="C851" s="2" t="str">
        <v>KH071</v>
      </c>
      <c r="D851" s="2" t="str">
        <v>S2-00890-BH</v>
      </c>
      <c r="E851" s="2" t="str">
        <v>BAN_HANG</v>
      </c>
      <c r="F851" s="2" t="str">
        <v>INP1401</v>
      </c>
      <c r="G851" s="2" t="str">
        <v>2026-06-17</v>
      </c>
      <c r="H851" s="2" t="str">
        <v>1779999.9912</v>
      </c>
      <c r="I851" s="28" t="n">
        <v>1779999.9912</v>
      </c>
      <c r="J851" s="7" t="n">
        <v>1780000</v>
      </c>
      <c r="K851" s="28" t="n">
        <f>J851-I851</f>
        <v>0.008799999952316284</v>
      </c>
      <c r="L851" s="2" t="str">
        <v>NHẬP</v>
      </c>
      <c r="M851" s="2" t="str"/>
      <c r="N851" s="2" t="str">
        <v>KHAC</v>
      </c>
    </row>
    <row r="852" ht="25" customHeight="1">
      <c r="A852" s="2" t="str">
        <v>Q894</v>
      </c>
      <c r="B852" s="2" t="str">
        <v>KH071</v>
      </c>
      <c r="C852" s="2" t="str">
        <v>KH071</v>
      </c>
      <c r="D852" s="2" t="str">
        <v>S2-00890-BH</v>
      </c>
      <c r="E852" s="2" t="str">
        <v>BAN_HANG</v>
      </c>
      <c r="F852" s="2" t="str">
        <v>INP2003</v>
      </c>
      <c r="G852" s="2" t="str">
        <v>2026-06-17</v>
      </c>
      <c r="H852" s="2" t="str">
        <v>4575999.96</v>
      </c>
      <c r="I852" s="28" t="n">
        <v>4575999.96</v>
      </c>
      <c r="J852" s="7" t="n">
        <v>4576000</v>
      </c>
      <c r="K852" s="28" t="n">
        <f>J852-I852</f>
        <v>0.0400000000372529</v>
      </c>
      <c r="L852" s="2" t="str">
        <v>NHẬP</v>
      </c>
      <c r="M852" s="2" t="str"/>
      <c r="N852" s="2" t="str">
        <v>KHAC</v>
      </c>
    </row>
    <row r="853" ht="25" customHeight="1">
      <c r="A853" s="2" t="str">
        <v>Q895</v>
      </c>
      <c r="B853" s="2" t="str">
        <v>KH071</v>
      </c>
      <c r="C853" s="2" t="str">
        <v>KH071</v>
      </c>
      <c r="D853" s="2" t="str">
        <v>S2-00890-BH</v>
      </c>
      <c r="E853" s="2" t="str">
        <v>BAN_HANG</v>
      </c>
      <c r="F853" s="2" t="str">
        <v>INP2202</v>
      </c>
      <c r="G853" s="2" t="str">
        <v>2026-06-17</v>
      </c>
      <c r="H853" s="2" t="str">
        <v>1823999.9904</v>
      </c>
      <c r="I853" s="28" t="n">
        <v>1823999.9904</v>
      </c>
      <c r="J853" s="7" t="n">
        <v>1824000</v>
      </c>
      <c r="K853" s="28" t="n">
        <f>J853-I853</f>
        <v>0.009599999990314245</v>
      </c>
      <c r="L853" s="2" t="str">
        <v>NHẬP</v>
      </c>
      <c r="M853" s="2" t="str"/>
      <c r="N853" s="2" t="str">
        <v>KHAC</v>
      </c>
    </row>
    <row r="854" ht="25" customHeight="1">
      <c r="A854" s="2" t="str">
        <v>Q896</v>
      </c>
      <c r="B854" s="2" t="str">
        <v>KH071</v>
      </c>
      <c r="C854" s="2" t="str">
        <v>KH071</v>
      </c>
      <c r="D854" s="2" t="str">
        <v>S2-00896-BH</v>
      </c>
      <c r="E854" s="2" t="str">
        <v>BAN_HANG</v>
      </c>
      <c r="F854" s="2" t="str">
        <v>INP2003</v>
      </c>
      <c r="G854" s="2" t="str">
        <v>2026-06-23</v>
      </c>
      <c r="H854" s="2" t="str">
        <v>4575999.96</v>
      </c>
      <c r="I854" s="28" t="n">
        <v>4575999.96</v>
      </c>
      <c r="J854" s="7" t="n">
        <v>4576000</v>
      </c>
      <c r="K854" s="28" t="n">
        <f>J854-I854</f>
        <v>0.0400000000372529</v>
      </c>
      <c r="L854" s="2" t="str">
        <v>NHẬP</v>
      </c>
      <c r="M854" s="2" t="str"/>
      <c r="N854" s="2" t="str">
        <v>KHAC</v>
      </c>
    </row>
    <row r="855" ht="25" customHeight="1">
      <c r="A855" s="2" t="str">
        <v>Q897</v>
      </c>
      <c r="B855" s="2" t="str">
        <v>KH071</v>
      </c>
      <c r="C855" s="2" t="str">
        <v>KH071</v>
      </c>
      <c r="D855" s="2" t="str">
        <v>S2-00896-BH</v>
      </c>
      <c r="E855" s="2" t="str">
        <v>BAN_HANG</v>
      </c>
      <c r="F855" s="2" t="str">
        <v>INP1401</v>
      </c>
      <c r="G855" s="2" t="str">
        <v>2026-06-23</v>
      </c>
      <c r="H855" s="2" t="str">
        <v>3559999.9824</v>
      </c>
      <c r="I855" s="28" t="n">
        <v>3559999.9824</v>
      </c>
      <c r="J855" s="7" t="n">
        <v>3560000</v>
      </c>
      <c r="K855" s="28" t="n">
        <f>J855-I855</f>
        <v>0.01759999990463257</v>
      </c>
      <c r="L855" s="2" t="str">
        <v>NHẬP</v>
      </c>
      <c r="M855" s="2" t="str"/>
      <c r="N855" s="2" t="str">
        <v>KHAC</v>
      </c>
    </row>
    <row r="856" ht="25" customHeight="1">
      <c r="A856" s="2" t="str">
        <v>Q898</v>
      </c>
      <c r="B856" s="2" t="str">
        <v>KH071</v>
      </c>
      <c r="C856" s="2" t="str">
        <v>KH071</v>
      </c>
      <c r="D856" s="2" t="str">
        <v>S2-00898-BH</v>
      </c>
      <c r="E856" s="2" t="str">
        <v>BAN_HANG</v>
      </c>
      <c r="F856" s="2" t="str">
        <v>INP6402</v>
      </c>
      <c r="G856" s="2" t="str">
        <v>2026-06-23</v>
      </c>
      <c r="H856" s="2" t="str">
        <v>6199999.956</v>
      </c>
      <c r="I856" s="28" t="n">
        <v>6199999.956</v>
      </c>
      <c r="J856" s="7" t="n">
        <v>6200000</v>
      </c>
      <c r="K856" s="28" t="n">
        <f>J856-I856</f>
        <v>0.04399999976158142</v>
      </c>
      <c r="L856" s="2" t="str">
        <v>NHẬP</v>
      </c>
      <c r="M856" s="2" t="str"/>
      <c r="N856" s="2" t="str">
        <v>QUAT</v>
      </c>
    </row>
    <row r="857" ht="25" customHeight="1">
      <c r="A857" s="2" t="str">
        <v>Q899</v>
      </c>
      <c r="B857" s="2" t="str">
        <v>KH071</v>
      </c>
      <c r="C857" s="2" t="str">
        <v>KH071</v>
      </c>
      <c r="D857" s="2" t="str">
        <v>S2-00899-BH</v>
      </c>
      <c r="E857" s="2" t="str">
        <v>BAN_HANG</v>
      </c>
      <c r="F857" s="2" t="str">
        <v>INP6403</v>
      </c>
      <c r="G857" s="2" t="str">
        <v>2026-06-23</v>
      </c>
      <c r="H857" s="2" t="str">
        <v>37499999.76</v>
      </c>
      <c r="I857" s="28" t="n">
        <v>37499999.76</v>
      </c>
      <c r="J857" s="7" t="n">
        <v>37500000</v>
      </c>
      <c r="K857" s="28" t="n">
        <f>J857-I857</f>
        <v>0.24000000208616257</v>
      </c>
      <c r="L857" s="2" t="str">
        <v>NHẬP</v>
      </c>
      <c r="M857" s="2" t="str"/>
      <c r="N857" s="2" t="str">
        <v>QUAT</v>
      </c>
    </row>
    <row r="858" ht="25" customHeight="1">
      <c r="A858" s="2" t="str">
        <v>Q900</v>
      </c>
      <c r="B858" s="2" t="str">
        <v>KH071</v>
      </c>
      <c r="C858" s="2" t="str">
        <v>KH071</v>
      </c>
      <c r="D858" s="2" t="str">
        <v>S2-00900-BH</v>
      </c>
      <c r="E858" s="2" t="str">
        <v>BAN_HANG</v>
      </c>
      <c r="F858" s="2" t="str">
        <v>INP6901</v>
      </c>
      <c r="G858" s="2" t="str">
        <v>2026-07-16</v>
      </c>
      <c r="H858" s="2" t="str">
        <v>11760000.0336</v>
      </c>
      <c r="I858" s="28" t="n">
        <v>11760000.0336</v>
      </c>
      <c r="J858" s="7" t="n">
        <v>11760000</v>
      </c>
      <c r="K858" s="28" t="n">
        <f>J858-I858</f>
        <v>-0.03360000066459179</v>
      </c>
      <c r="L858" s="2" t="str">
        <v>NHẬP</v>
      </c>
      <c r="M858" s="2" t="str"/>
      <c r="N858" s="2" t="str">
        <v>KHAC</v>
      </c>
    </row>
    <row r="859" ht="25" customHeight="1">
      <c r="A859" s="2" t="str">
        <v>Q901</v>
      </c>
      <c r="B859" s="2" t="str">
        <v>KH071</v>
      </c>
      <c r="C859" s="2" t="str">
        <v>KH071</v>
      </c>
      <c r="D859" s="2" t="str">
        <v>S2-00901-BH</v>
      </c>
      <c r="E859" s="2" t="str">
        <v>BAN_HANG</v>
      </c>
      <c r="F859" s="2" t="str">
        <v>INP6903</v>
      </c>
      <c r="G859" s="2" t="str">
        <v>2026-07-16</v>
      </c>
      <c r="H859" s="2" t="str">
        <v>7840000.0224</v>
      </c>
      <c r="I859" s="28" t="n">
        <v>7840000.0224</v>
      </c>
      <c r="J859" s="7" t="n">
        <v>7840000</v>
      </c>
      <c r="K859" s="28" t="n">
        <f>J859-I859</f>
        <v>-0.022400000132620335</v>
      </c>
      <c r="L859" s="2" t="str">
        <v>NHẬP</v>
      </c>
      <c r="M859" s="2" t="str"/>
      <c r="N859" s="2" t="str">
        <v>KHAC</v>
      </c>
    </row>
    <row r="860" ht="25" customHeight="1">
      <c r="A860" s="2" t="str">
        <v>Q902</v>
      </c>
      <c r="B860" s="2" t="str">
        <v>KH071</v>
      </c>
      <c r="C860" s="2" t="str">
        <v>KH071</v>
      </c>
      <c r="D860" s="2" t="str">
        <v>S2-00900-BH</v>
      </c>
      <c r="E860" s="2" t="str">
        <v>BAN_HANG</v>
      </c>
      <c r="F860" s="2" t="str">
        <v>INP6105</v>
      </c>
      <c r="G860" s="2" t="str">
        <v>2026-07-16</v>
      </c>
      <c r="H860" s="2" t="str">
        <v>14039999.9568</v>
      </c>
      <c r="I860" s="28" t="n">
        <v>14039999.9568</v>
      </c>
      <c r="J860" s="7" t="n">
        <v>14040000</v>
      </c>
      <c r="K860" s="28" t="n">
        <f>J860-I860</f>
        <v>0.04319999925792217</v>
      </c>
      <c r="L860" s="2" t="str">
        <v>NHẬP</v>
      </c>
      <c r="M860" s="2" t="str"/>
      <c r="N860" s="2" t="str">
        <v>KHAC</v>
      </c>
    </row>
    <row r="861" ht="25" customHeight="1">
      <c r="A861" s="2" t="str">
        <v>Q904</v>
      </c>
      <c r="B861" s="2" t="str">
        <v>KH071</v>
      </c>
      <c r="C861" s="2" t="str">
        <v>KH071</v>
      </c>
      <c r="D861" s="2" t="str">
        <v>S2-00904-BH</v>
      </c>
      <c r="E861" s="2" t="str">
        <v>BAN_HANG</v>
      </c>
      <c r="F861" s="2" t="str">
        <v>INP2202</v>
      </c>
      <c r="G861" s="2" t="str">
        <v>2026-07-16</v>
      </c>
      <c r="H861" s="2" t="str">
        <v>7295999.9616</v>
      </c>
      <c r="I861" s="28" t="n">
        <v>7295999.9616</v>
      </c>
      <c r="J861" s="7" t="n">
        <v>7296000</v>
      </c>
      <c r="K861" s="28" t="n">
        <f>J861-I861</f>
        <v>0.03839999996125698</v>
      </c>
      <c r="L861" s="2" t="str">
        <v>NHẬP</v>
      </c>
      <c r="M861" s="2" t="str"/>
      <c r="N861" s="2" t="str">
        <v>KHAC</v>
      </c>
    </row>
    <row r="862" ht="25" customHeight="1">
      <c r="A862" s="2" t="str">
        <v>Q905</v>
      </c>
      <c r="B862" s="2" t="str">
        <v>KH071</v>
      </c>
      <c r="C862" s="2" t="str">
        <v>KH071</v>
      </c>
      <c r="D862" s="2" t="str">
        <v>S2-00904-BH</v>
      </c>
      <c r="E862" s="2" t="str">
        <v>BAN_HANG</v>
      </c>
      <c r="F862" s="2" t="str">
        <v>INP1402</v>
      </c>
      <c r="G862" s="2" t="str">
        <v>2026-07-16</v>
      </c>
      <c r="H862" s="2" t="str">
        <v>6077999.9808</v>
      </c>
      <c r="I862" s="28" t="n">
        <v>6077999.9808</v>
      </c>
      <c r="J862" s="7" t="n">
        <v>6078000</v>
      </c>
      <c r="K862" s="28" t="n">
        <f>J862-I862</f>
        <v>0.01919999998062849</v>
      </c>
      <c r="L862" s="2" t="str">
        <v>NHẬP</v>
      </c>
      <c r="M862" s="2" t="str"/>
      <c r="N862" s="2" t="str">
        <v>KHAC</v>
      </c>
    </row>
    <row r="863" ht="25" customHeight="1">
      <c r="A863" s="2" t="str">
        <v>Q907</v>
      </c>
      <c r="B863" s="2" t="str">
        <v>KH076</v>
      </c>
      <c r="C863" s="2" t="str">
        <v>(trống)</v>
      </c>
      <c r="D863" s="2" t="str">
        <v>S2-00907-BH</v>
      </c>
      <c r="E863" s="2" t="str">
        <v>BAN_HANG</v>
      </c>
      <c r="F863" s="2" t="str">
        <v>INP1401</v>
      </c>
      <c r="G863" s="2" t="str">
        <v>31/12/2025</v>
      </c>
      <c r="H863" s="2" t="str">
        <v>3559999.68</v>
      </c>
      <c r="I863" s="28" t="n">
        <v>3559999.68</v>
      </c>
      <c r="J863" s="7" t="n">
        <v>3560000</v>
      </c>
      <c r="K863" s="28" t="n">
        <f>J863-I863</f>
        <v>0.31999999983236194</v>
      </c>
      <c r="L863" s="2" t="str">
        <v>NHẬP</v>
      </c>
      <c r="M863" s="2" t="str"/>
      <c r="N863" s="2" t="str">
        <v>KHAC</v>
      </c>
    </row>
    <row r="864" ht="25" customHeight="1">
      <c r="A864" s="2" t="str">
        <v>Q908</v>
      </c>
      <c r="B864" s="2" t="str">
        <v>KH076</v>
      </c>
      <c r="C864" s="2" t="str">
        <v>(trống)</v>
      </c>
      <c r="D864" s="2" t="str">
        <v>S2-00907-BH</v>
      </c>
      <c r="E864" s="2" t="str">
        <v>BAN_HANG</v>
      </c>
      <c r="F864" s="2" t="str">
        <v>INP1402</v>
      </c>
      <c r="G864" s="2" t="str">
        <v>31/12/2025</v>
      </c>
      <c r="H864" s="2" t="str">
        <v>4052000.16</v>
      </c>
      <c r="I864" s="28" t="n">
        <v>4052000.16</v>
      </c>
      <c r="J864" s="7" t="n">
        <v>4052000</v>
      </c>
      <c r="K864" s="28" t="n">
        <f>J864-I864</f>
        <v>-0.1600000001490116</v>
      </c>
      <c r="L864" s="2" t="str">
        <v>NHẬP</v>
      </c>
      <c r="M864" s="2" t="str"/>
      <c r="N864" s="2" t="str">
        <v>KHAC</v>
      </c>
    </row>
    <row r="865" ht="25" customHeight="1">
      <c r="A865" s="2" t="str">
        <v>Q909</v>
      </c>
      <c r="B865" s="2" t="str">
        <v>KH076</v>
      </c>
      <c r="C865" s="2" t="str">
        <v>(trống)</v>
      </c>
      <c r="D865" s="2" t="str">
        <v>S2-00907-BH</v>
      </c>
      <c r="E865" s="2" t="str">
        <v>BAN_HANG</v>
      </c>
      <c r="F865" s="2" t="str">
        <v>INP3201</v>
      </c>
      <c r="G865" s="2" t="str">
        <v>31/12/2025</v>
      </c>
      <c r="H865" s="2" t="str">
        <v>3779991.36</v>
      </c>
      <c r="I865" s="28" t="n">
        <v>3779991.36</v>
      </c>
      <c r="J865" s="7" t="n">
        <v>3779991</v>
      </c>
      <c r="K865" s="28" t="n">
        <f>J865-I865</f>
        <v>-0.35999999986961484</v>
      </c>
      <c r="L865" s="2" t="str">
        <v>NHẬP</v>
      </c>
      <c r="M865" s="2" t="str"/>
      <c r="N865" s="2" t="str">
        <v>KHAC</v>
      </c>
    </row>
    <row r="866" ht="25" customHeight="1">
      <c r="A866" s="2" t="str">
        <v>Q910</v>
      </c>
      <c r="B866" s="2" t="str">
        <v>KH076</v>
      </c>
      <c r="C866" s="2" t="str">
        <v>(trống)</v>
      </c>
      <c r="D866" s="2" t="str">
        <v>S2-00907-BH</v>
      </c>
      <c r="E866" s="2" t="str">
        <v>BAN_HANG</v>
      </c>
      <c r="F866" s="2" t="str">
        <v>INP6601</v>
      </c>
      <c r="G866" s="2" t="str">
        <v>31/12/2025</v>
      </c>
      <c r="H866" s="2" t="str">
        <v>5200005.6</v>
      </c>
      <c r="I866" s="28" t="n">
        <v>5200005.6</v>
      </c>
      <c r="J866" s="7" t="n">
        <v>5200006</v>
      </c>
      <c r="K866" s="28" t="n">
        <f>J866-I866</f>
        <v>0.40000000037252903</v>
      </c>
      <c r="L866" s="2" t="str">
        <v>NHẬP</v>
      </c>
      <c r="M866" s="2" t="str"/>
      <c r="N866" s="2" t="str">
        <v>KHAC</v>
      </c>
    </row>
    <row r="867" ht="25" customHeight="1">
      <c r="A867" s="2" t="str">
        <v>Q911</v>
      </c>
      <c r="B867" s="2" t="str">
        <v>KH076</v>
      </c>
      <c r="C867" s="2" t="str">
        <v>(trống)</v>
      </c>
      <c r="D867" s="2" t="str">
        <v>S2-00907-BH</v>
      </c>
      <c r="E867" s="2" t="str">
        <v>BAN_HANG</v>
      </c>
      <c r="F867" s="2" t="str">
        <v>INP6602</v>
      </c>
      <c r="G867" s="2" t="str">
        <v>31/12/2025</v>
      </c>
      <c r="H867" s="2" t="str">
        <v>5879999.52</v>
      </c>
      <c r="I867" s="28" t="n">
        <v>5879999.52</v>
      </c>
      <c r="J867" s="7" t="n">
        <v>5880000</v>
      </c>
      <c r="K867" s="28" t="n">
        <f>J867-I867</f>
        <v>0.48000000044703484</v>
      </c>
      <c r="L867" s="2" t="str">
        <v>NHẬP</v>
      </c>
      <c r="M867" s="2" t="str"/>
      <c r="N867" s="2" t="str">
        <v>KHAC</v>
      </c>
    </row>
    <row r="868" ht="25" customHeight="1">
      <c r="A868" s="2" t="str">
        <v>Q913</v>
      </c>
      <c r="B868" s="2" t="str">
        <v>KH076</v>
      </c>
      <c r="C868" s="2" t="str">
        <v>(trống)</v>
      </c>
      <c r="D868" s="2" t="str">
        <v>S2-00913-BH</v>
      </c>
      <c r="E868" s="2" t="str">
        <v>BAN_HANG</v>
      </c>
      <c r="F868" s="2" t="str">
        <v>INP6001</v>
      </c>
      <c r="G868" s="2" t="str">
        <v>31/12/2025</v>
      </c>
      <c r="H868" s="2" t="str">
        <v>14760001.44</v>
      </c>
      <c r="I868" s="28" t="n">
        <v>14760001.44</v>
      </c>
      <c r="J868" s="7" t="n">
        <v>14760001</v>
      </c>
      <c r="K868" s="28" t="n">
        <f>J868-I868</f>
        <v>-0.43999999947845936</v>
      </c>
      <c r="L868" s="2" t="str">
        <v>NHẬP</v>
      </c>
      <c r="M868" s="2" t="str"/>
      <c r="N868" s="2" t="str">
        <v>KHAC</v>
      </c>
    </row>
    <row r="869" ht="25" customHeight="1">
      <c r="A869" s="2" t="str">
        <v>Q914</v>
      </c>
      <c r="B869" s="2" t="str">
        <v>KH076</v>
      </c>
      <c r="C869" s="2" t="str">
        <v>(trống)</v>
      </c>
      <c r="D869" s="2" t="str">
        <v>S2-00913-BH</v>
      </c>
      <c r="E869" s="2" t="str">
        <v>BAN_HANG</v>
      </c>
      <c r="F869" s="2" t="str">
        <v>INP6003</v>
      </c>
      <c r="G869" s="2" t="str">
        <v>31/12/2025</v>
      </c>
      <c r="H869" s="2" t="str">
        <v>11040001.92</v>
      </c>
      <c r="I869" s="28" t="n">
        <v>11040001.92</v>
      </c>
      <c r="J869" s="7" t="n">
        <v>11040002</v>
      </c>
      <c r="K869" s="28" t="n">
        <f>J869-I869</f>
        <v>0.0800000000745058</v>
      </c>
      <c r="L869" s="2" t="str">
        <v>NHẬP</v>
      </c>
      <c r="M869" s="2" t="str"/>
      <c r="N869" s="2" t="str">
        <v>KHAC</v>
      </c>
    </row>
    <row r="870" ht="25" customHeight="1">
      <c r="A870" s="2" t="str">
        <v>Q915</v>
      </c>
      <c r="B870" s="2" t="str">
        <v>KH076</v>
      </c>
      <c r="C870" s="2" t="str">
        <v>(trống)</v>
      </c>
      <c r="D870" s="2" t="str">
        <v>S2-00913-BH</v>
      </c>
      <c r="E870" s="2" t="str">
        <v>BAN_HANG</v>
      </c>
      <c r="F870" s="2" t="str">
        <v>INP6101</v>
      </c>
      <c r="G870" s="2" t="str">
        <v>31/12/2025</v>
      </c>
      <c r="H870" s="2" t="str">
        <v>11339993.52</v>
      </c>
      <c r="I870" s="28" t="n">
        <v>11339993.52</v>
      </c>
      <c r="J870" s="7" t="n">
        <v>11339993</v>
      </c>
      <c r="K870" s="28" t="n">
        <f>J870-I870</f>
        <v>-0.5199999995529652</v>
      </c>
      <c r="L870" s="2" t="str">
        <v>NHẬP</v>
      </c>
      <c r="M870" s="2" t="str"/>
      <c r="N870" s="2" t="str">
        <v>KHAC</v>
      </c>
    </row>
    <row r="871" ht="25" customHeight="1">
      <c r="A871" s="2" t="str">
        <v>Q916</v>
      </c>
      <c r="B871" s="2" t="str">
        <v>KH076</v>
      </c>
      <c r="C871" s="2" t="str">
        <v>(trống)</v>
      </c>
      <c r="D871" s="2" t="str">
        <v>S2-00913-BH</v>
      </c>
      <c r="E871" s="2" t="str">
        <v>BAN_HANG</v>
      </c>
      <c r="F871" s="2" t="str">
        <v>INP6102</v>
      </c>
      <c r="G871" s="2" t="str">
        <v>31/12/2025</v>
      </c>
      <c r="H871" s="2" t="str">
        <v>18234000.72</v>
      </c>
      <c r="I871" s="28" t="n">
        <v>18234000.72</v>
      </c>
      <c r="J871" s="7" t="n">
        <v>18234001</v>
      </c>
      <c r="K871" s="28" t="n">
        <f>J871-I871</f>
        <v>0.2800000011920929</v>
      </c>
      <c r="L871" s="2" t="str">
        <v>NHẬP</v>
      </c>
      <c r="M871" s="2" t="str"/>
      <c r="N871" s="2" t="str">
        <v>KHAC</v>
      </c>
    </row>
    <row r="872" ht="25" customHeight="1">
      <c r="A872" s="2" t="str">
        <v>Q917</v>
      </c>
      <c r="B872" s="2" t="str">
        <v>KH076</v>
      </c>
      <c r="C872" s="2" t="str">
        <v>(trống)</v>
      </c>
      <c r="D872" s="2" t="str">
        <v>S2-00913-BH</v>
      </c>
      <c r="E872" s="2" t="str">
        <v>BAN_HANG</v>
      </c>
      <c r="F872" s="2" t="str">
        <v>INP6202</v>
      </c>
      <c r="G872" s="2" t="str">
        <v>31/12/2025</v>
      </c>
      <c r="H872" s="2" t="str">
        <v>12672002.88</v>
      </c>
      <c r="I872" s="28" t="n">
        <v>12672002.88</v>
      </c>
      <c r="J872" s="7" t="n">
        <v>12672003</v>
      </c>
      <c r="K872" s="28" t="n">
        <f>J872-I872</f>
        <v>0.11999999918043613</v>
      </c>
      <c r="L872" s="2" t="str">
        <v>NHẬP</v>
      </c>
      <c r="M872" s="2" t="str"/>
      <c r="N872" s="2" t="str">
        <v>KHAC</v>
      </c>
    </row>
    <row r="873" ht="25" customHeight="1">
      <c r="A873" s="2" t="str">
        <v>Q918</v>
      </c>
      <c r="B873" s="2" t="str">
        <v>KH076</v>
      </c>
      <c r="C873" s="2" t="str">
        <v>(trống)</v>
      </c>
      <c r="D873" s="2" t="str">
        <v>S2-00913-BH</v>
      </c>
      <c r="E873" s="2" t="str">
        <v>BAN_HANG</v>
      </c>
      <c r="F873" s="2" t="str">
        <v>INP6206</v>
      </c>
      <c r="G873" s="2" t="str">
        <v>31/12/2025</v>
      </c>
      <c r="H873" s="2" t="str">
        <v>10260004.32</v>
      </c>
      <c r="I873" s="28" t="n">
        <v>10260004.32</v>
      </c>
      <c r="J873" s="7" t="n">
        <v>10260004</v>
      </c>
      <c r="K873" s="28" t="n">
        <f>J873-I873</f>
        <v>-0.3200000002980232</v>
      </c>
      <c r="L873" s="2" t="str">
        <v>NHẬP</v>
      </c>
      <c r="M873" s="2" t="str"/>
      <c r="N873" s="2" t="str">
        <v>KHAC</v>
      </c>
    </row>
    <row r="874" ht="25" customHeight="1">
      <c r="A874" s="2" t="str">
        <v>Q919</v>
      </c>
      <c r="B874" s="2" t="str">
        <v>KH002</v>
      </c>
      <c r="C874" s="2" t="str">
        <v>KH002</v>
      </c>
      <c r="D874" s="2" t="str">
        <v>S2-00919-BH</v>
      </c>
      <c r="E874" s="2" t="str">
        <v>BAN_HANG</v>
      </c>
      <c r="F874" s="2" t="str">
        <v>INP6601</v>
      </c>
      <c r="G874" s="2" t="str">
        <v>2026-01-22</v>
      </c>
      <c r="H874" s="2" t="str">
        <v>12999999.96</v>
      </c>
      <c r="I874" s="28" t="n">
        <v>12999999.96</v>
      </c>
      <c r="J874" s="7" t="n">
        <v>13000000</v>
      </c>
      <c r="K874" s="28" t="n">
        <f>J874-I874</f>
        <v>0.03999999910593033</v>
      </c>
      <c r="L874" s="2" t="str">
        <v>NHẬP</v>
      </c>
      <c r="M874" s="2" t="str"/>
      <c r="N874" s="2" t="str">
        <v>KHAC</v>
      </c>
    </row>
    <row r="875" ht="25" customHeight="1">
      <c r="A875" s="2" t="str">
        <v>Q920</v>
      </c>
      <c r="B875" s="2" t="str">
        <v>KH002</v>
      </c>
      <c r="C875" s="2" t="str">
        <v>KH002</v>
      </c>
      <c r="D875" s="2" t="str">
        <v>S2-00919-BH</v>
      </c>
      <c r="E875" s="2" t="str">
        <v>BAN_HANG</v>
      </c>
      <c r="F875" s="2" t="str">
        <v>INP6602</v>
      </c>
      <c r="G875" s="2" t="str">
        <v>2026-01-22</v>
      </c>
      <c r="H875" s="2" t="str">
        <v>14699999.988</v>
      </c>
      <c r="I875" s="28" t="n">
        <v>14699999.988</v>
      </c>
      <c r="J875" s="7" t="n">
        <v>14700000</v>
      </c>
      <c r="K875" s="28" t="n">
        <f>J875-I875</f>
        <v>0.012000000104308128</v>
      </c>
      <c r="L875" s="2" t="str">
        <v>NHẬP</v>
      </c>
      <c r="M875" s="2" t="str"/>
      <c r="N875" s="2" t="str">
        <v>KHAC</v>
      </c>
    </row>
    <row r="876" ht="25" customHeight="1">
      <c r="A876" s="2" t="str">
        <v>Q921</v>
      </c>
      <c r="B876" s="2" t="str">
        <v>KH002</v>
      </c>
      <c r="C876" s="2" t="str">
        <v>KH002</v>
      </c>
      <c r="D876" s="2" t="str">
        <v>S2-00921-BH</v>
      </c>
      <c r="E876" s="2" t="str">
        <v>BAN_HANG</v>
      </c>
      <c r="F876" s="2" t="str">
        <v>INP6001</v>
      </c>
      <c r="G876" s="2" t="str">
        <v>2026-03-20</v>
      </c>
      <c r="H876" s="2" t="str">
        <v>14760000.0144</v>
      </c>
      <c r="I876" s="28" t="n">
        <v>14760000.0144</v>
      </c>
      <c r="J876" s="7" t="n">
        <v>14760000</v>
      </c>
      <c r="K876" s="28" t="n">
        <f>J876-I876</f>
        <v>-0.014399999752640724</v>
      </c>
      <c r="L876" s="2" t="str">
        <v>NHẬP</v>
      </c>
      <c r="M876" s="2" t="str"/>
      <c r="N876" s="2" t="str">
        <v>KHAC</v>
      </c>
    </row>
    <row r="877" ht="25" customHeight="1">
      <c r="A877" s="2" t="str">
        <v>Q922</v>
      </c>
      <c r="B877" s="2" t="str">
        <v>KH002</v>
      </c>
      <c r="C877" s="2" t="str">
        <v>KH002</v>
      </c>
      <c r="D877" s="2" t="str">
        <v>S2-00922-BH</v>
      </c>
      <c r="E877" s="2" t="str">
        <v>BAN_HANG</v>
      </c>
      <c r="F877" s="2" t="str">
        <v>INP6002</v>
      </c>
      <c r="G877" s="2" t="str">
        <v>2026-03-20</v>
      </c>
      <c r="H877" s="2" t="str">
        <v>14219999.9712</v>
      </c>
      <c r="I877" s="28" t="n">
        <v>14219999.9712</v>
      </c>
      <c r="J877" s="7" t="n">
        <v>14220000</v>
      </c>
      <c r="K877" s="28" t="n">
        <f>J877-I877</f>
        <v>0.02879999950528145</v>
      </c>
      <c r="L877" s="2" t="str">
        <v>NHẬP</v>
      </c>
      <c r="M877" s="2" t="str"/>
      <c r="N877" s="2" t="str">
        <v>KHAC</v>
      </c>
    </row>
    <row r="878" ht="25" customHeight="1">
      <c r="A878" s="2" t="str">
        <v>Q923</v>
      </c>
      <c r="B878" s="2" t="str">
        <v>KH002</v>
      </c>
      <c r="C878" s="2" t="str">
        <v>KH002</v>
      </c>
      <c r="D878" s="2" t="str">
        <v>S2-00921-BH</v>
      </c>
      <c r="E878" s="2" t="str">
        <v>BAN_HANG</v>
      </c>
      <c r="F878" s="2" t="str">
        <v>INP6003</v>
      </c>
      <c r="G878" s="2" t="str">
        <v>2026-03-20</v>
      </c>
      <c r="H878" s="2" t="str">
        <v>11039999.976</v>
      </c>
      <c r="I878" s="28" t="n">
        <v>11039999.976</v>
      </c>
      <c r="J878" s="7" t="n">
        <v>11040000</v>
      </c>
      <c r="K878" s="28" t="n">
        <f>J878-I878</f>
        <v>0.024000000208616257</v>
      </c>
      <c r="L878" s="2" t="str">
        <v>NHẬP</v>
      </c>
      <c r="M878" s="2" t="str"/>
      <c r="N878" s="2" t="str">
        <v>KHAC</v>
      </c>
    </row>
    <row r="879" ht="25" customHeight="1">
      <c r="A879" s="2" t="str">
        <v>R924</v>
      </c>
      <c r="B879" s="2" t="str">
        <v>KH002</v>
      </c>
      <c r="C879" s="2" t="str">
        <v>KH002</v>
      </c>
      <c r="D879" s="2" t="str">
        <v>S2-00924-TT</v>
      </c>
      <c r="E879" s="2" t="str">
        <v>THU_TIEN</v>
      </c>
      <c r="F879" s="2" t="str"/>
      <c r="G879" s="2" t="str">
        <v>2026-03-26</v>
      </c>
      <c r="H879" s="2" t="str">
        <v>27700000</v>
      </c>
      <c r="I879" s="28" t="n">
        <v>27700000</v>
      </c>
      <c r="J879" s="7" t="n">
        <v>27700000</v>
      </c>
      <c r="K879" s="28" t="n">
        <f>J879-I879</f>
        <v>0</v>
      </c>
      <c r="L879" s="2" t="str">
        <v>NHẬP</v>
      </c>
      <c r="M879" s="2" t="str"/>
      <c r="N879" s="2" t="str">
        <v>KHAC</v>
      </c>
    </row>
    <row r="880" ht="25" customHeight="1">
      <c r="A880" s="2" t="str">
        <v>Q925</v>
      </c>
      <c r="B880" s="2" t="str">
        <v>KH002</v>
      </c>
      <c r="C880" s="2" t="str">
        <v>KH002</v>
      </c>
      <c r="D880" s="2" t="str">
        <v>S2-00925-BH</v>
      </c>
      <c r="E880" s="2" t="str">
        <v>BAN_HANG</v>
      </c>
      <c r="F880" s="2" t="str">
        <v>INP6401</v>
      </c>
      <c r="G880" s="2" t="str">
        <v>2026-06-11</v>
      </c>
      <c r="H880" s="2" t="str">
        <v>110000000.16</v>
      </c>
      <c r="I880" s="28" t="n">
        <v>110000000.16</v>
      </c>
      <c r="J880" s="7" t="n">
        <v>110000000</v>
      </c>
      <c r="K880" s="28" t="n">
        <f>J880-I880</f>
        <v>-0.1599999964237213</v>
      </c>
      <c r="L880" s="2" t="str">
        <v>NHẬP</v>
      </c>
      <c r="M880" s="2" t="str"/>
      <c r="N880" s="2" t="str">
        <v>QUAT</v>
      </c>
    </row>
    <row r="881" ht="25" customHeight="1">
      <c r="A881" s="2" t="str">
        <v>Q926</v>
      </c>
      <c r="B881" s="2" t="str">
        <v>KH049</v>
      </c>
      <c r="C881" s="2" t="str">
        <v>KH049</v>
      </c>
      <c r="D881" s="2" t="str">
        <v>S2-00926-BH</v>
      </c>
      <c r="E881" s="2" t="str">
        <v>BAN_HANG</v>
      </c>
      <c r="F881" s="2" t="str">
        <v>INP3201</v>
      </c>
      <c r="G881" s="2" t="str">
        <v>28/10/2025</v>
      </c>
      <c r="H881" s="2" t="str">
        <v>6210000</v>
      </c>
      <c r="I881" s="28" t="n">
        <v>6210000</v>
      </c>
      <c r="J881" s="7" t="n">
        <v>6210000</v>
      </c>
      <c r="K881" s="28" t="n">
        <f>J881-I881</f>
        <v>0</v>
      </c>
      <c r="L881" s="2" t="str">
        <v>NHẬP</v>
      </c>
      <c r="M881" s="2" t="str"/>
      <c r="N881" s="2" t="str">
        <v>KHAC</v>
      </c>
    </row>
    <row r="882" ht="25" customHeight="1">
      <c r="A882" s="2" t="str">
        <v>Q927</v>
      </c>
      <c r="B882" s="2" t="str">
        <v>KH049</v>
      </c>
      <c r="C882" s="2" t="str">
        <v>KH049</v>
      </c>
      <c r="D882" s="2" t="str">
        <v>S2-00927-BH</v>
      </c>
      <c r="E882" s="2" t="str">
        <v>BAN_HANG</v>
      </c>
      <c r="F882" s="2" t="str">
        <v>INP1401</v>
      </c>
      <c r="G882" s="2" t="str">
        <v>29/10/2025</v>
      </c>
      <c r="H882" s="2" t="str">
        <v>1123200</v>
      </c>
      <c r="I882" s="28" t="n">
        <v>1123200</v>
      </c>
      <c r="J882" s="7" t="n">
        <v>1123200</v>
      </c>
      <c r="K882" s="28" t="n">
        <f>J882-I882</f>
        <v>0</v>
      </c>
      <c r="L882" s="2" t="str">
        <v>NHẬP</v>
      </c>
      <c r="M882" s="2" t="str"/>
      <c r="N882" s="2" t="str">
        <v>KHAC</v>
      </c>
    </row>
    <row r="883" ht="25" customHeight="1">
      <c r="A883" s="2" t="str">
        <v>Q928</v>
      </c>
      <c r="B883" s="2" t="str">
        <v>KH049</v>
      </c>
      <c r="C883" s="2" t="str">
        <v>KH049</v>
      </c>
      <c r="D883" s="2" t="str">
        <v>S2-00927-BH</v>
      </c>
      <c r="E883" s="2" t="str">
        <v>BAN_HANG</v>
      </c>
      <c r="F883" s="2" t="str">
        <v>INP3003</v>
      </c>
      <c r="G883" s="2" t="str">
        <v>29/10/2025</v>
      </c>
      <c r="H883" s="2" t="str">
        <v>658800</v>
      </c>
      <c r="I883" s="28" t="n">
        <v>658800</v>
      </c>
      <c r="J883" s="7" t="n">
        <v>658800</v>
      </c>
      <c r="K883" s="28" t="n">
        <f>J883-I883</f>
        <v>0</v>
      </c>
      <c r="L883" s="2" t="str">
        <v>NHẬP</v>
      </c>
      <c r="M883" s="2" t="str"/>
      <c r="N883" s="2" t="str">
        <v>KHAC</v>
      </c>
    </row>
    <row r="884" ht="25" customHeight="1">
      <c r="A884" s="2" t="str">
        <v>Q929</v>
      </c>
      <c r="B884" s="2" t="str">
        <v>KH049</v>
      </c>
      <c r="C884" s="2" t="str">
        <v>KH049</v>
      </c>
      <c r="D884" s="2" t="str">
        <v>S2-00929-BH</v>
      </c>
      <c r="E884" s="2" t="str">
        <v>BAN_HANG</v>
      </c>
      <c r="F884" s="2" t="str">
        <v>INP3001</v>
      </c>
      <c r="G884" s="2" t="str">
        <v>30/10/2025</v>
      </c>
      <c r="H884" s="2" t="str">
        <v>726999.84</v>
      </c>
      <c r="I884" s="28" t="n">
        <v>726999.84</v>
      </c>
      <c r="J884" s="7" t="n">
        <v>727000</v>
      </c>
      <c r="K884" s="28" t="n">
        <f>J884-I884</f>
        <v>0.1600000000325963</v>
      </c>
      <c r="L884" s="2" t="str">
        <v>NHẬP</v>
      </c>
      <c r="M884" s="2" t="str"/>
      <c r="N884" s="2" t="str">
        <v>KHAC</v>
      </c>
    </row>
    <row r="885" ht="25" customHeight="1">
      <c r="A885" s="2" t="str">
        <v>Q930</v>
      </c>
      <c r="B885" s="2" t="str">
        <v>KH049</v>
      </c>
      <c r="C885" s="2" t="str">
        <v>KH049</v>
      </c>
      <c r="D885" s="2" t="str">
        <v>S2-00929-BH</v>
      </c>
      <c r="E885" s="2" t="str">
        <v>BAN_HANG</v>
      </c>
      <c r="F885" s="2" t="str">
        <v>INP3201</v>
      </c>
      <c r="G885" s="2" t="str"/>
      <c r="H885" s="2" t="str">
        <v>5961600</v>
      </c>
      <c r="I885" s="28" t="n">
        <v>5961600</v>
      </c>
      <c r="J885" s="7" t="n">
        <v>5961600</v>
      </c>
      <c r="K885" s="28" t="n">
        <f>J885-I885</f>
        <v>0</v>
      </c>
      <c r="L885" s="2" t="str">
        <v>NHẬP</v>
      </c>
      <c r="M885" s="2" t="str"/>
      <c r="N885" s="2" t="str">
        <v>KHAC</v>
      </c>
    </row>
    <row r="886" ht="25" customHeight="1">
      <c r="A886" s="2" t="str">
        <v>R931</v>
      </c>
      <c r="B886" s="2" t="str">
        <v>KH049</v>
      </c>
      <c r="C886" s="2" t="str">
        <v>KH049</v>
      </c>
      <c r="D886" s="2" t="str">
        <v>S2-00931-TT</v>
      </c>
      <c r="E886" s="2" t="str">
        <v>THU_TIEN</v>
      </c>
      <c r="F886" s="2" t="str"/>
      <c r="G886" s="2" t="str">
        <v>2025-01-12</v>
      </c>
      <c r="H886" s="2" t="str">
        <v>5520000</v>
      </c>
      <c r="I886" s="28" t="n">
        <v>5520000</v>
      </c>
      <c r="J886" s="7" t="n">
        <v>5520000</v>
      </c>
      <c r="K886" s="28" t="n">
        <f>J886-I886</f>
        <v>0</v>
      </c>
      <c r="L886" s="2" t="str">
        <v>NHẬP</v>
      </c>
      <c r="M886" s="2" t="str"/>
      <c r="N886" s="2" t="str">
        <v>KHAC</v>
      </c>
    </row>
    <row r="887" ht="25" customHeight="1">
      <c r="A887" s="2" t="str">
        <v>Q932</v>
      </c>
      <c r="B887" s="2" t="str">
        <v>KH049</v>
      </c>
      <c r="C887" s="2" t="str">
        <v>KH049</v>
      </c>
      <c r="D887" s="2" t="str">
        <v>S2-00932-BH</v>
      </c>
      <c r="E887" s="2" t="str">
        <v>BAN_HANG</v>
      </c>
      <c r="F887" s="2" t="str">
        <v>INP2202</v>
      </c>
      <c r="G887" s="2" t="str">
        <v>30/12/2025</v>
      </c>
      <c r="H887" s="2" t="str">
        <v>10779999.912</v>
      </c>
      <c r="I887" s="28" t="n">
        <v>10779999.912</v>
      </c>
      <c r="J887" s="7" t="n">
        <v>10780000</v>
      </c>
      <c r="K887" s="28" t="n">
        <f>J887-I887</f>
        <v>0.08799999952316284</v>
      </c>
      <c r="L887" s="2" t="str">
        <v>NHẬP</v>
      </c>
      <c r="M887" s="2" t="str"/>
      <c r="N887" s="2" t="str">
        <v>KHAC</v>
      </c>
    </row>
    <row r="888" ht="25" customHeight="1">
      <c r="A888" s="2" t="str">
        <v>Q933</v>
      </c>
      <c r="B888" s="2" t="str">
        <v>KH049</v>
      </c>
      <c r="C888" s="2" t="str">
        <v>KH049</v>
      </c>
      <c r="D888" s="2" t="str">
        <v>S2-00933-BH</v>
      </c>
      <c r="E888" s="2" t="str">
        <v>BAN_HANG</v>
      </c>
      <c r="F888" s="2" t="str">
        <v>INP6204</v>
      </c>
      <c r="G888" s="2" t="str">
        <v>30/12/2025</v>
      </c>
      <c r="H888" s="2" t="str">
        <v>307000.0008</v>
      </c>
      <c r="I888" s="28" t="n">
        <v>307000.0008</v>
      </c>
      <c r="J888" s="7" t="n">
        <v>307000</v>
      </c>
      <c r="K888" s="28" t="n">
        <f>J888-I888</f>
        <v>-0.0007999999797903001</v>
      </c>
      <c r="L888" s="2" t="str">
        <v>NHẬP</v>
      </c>
      <c r="M888" s="2" t="str"/>
      <c r="N888" s="2" t="str">
        <v>KHAC</v>
      </c>
    </row>
    <row r="889" ht="25" customHeight="1">
      <c r="A889" s="2" t="str">
        <v>Q934</v>
      </c>
      <c r="B889" s="2" t="str">
        <v>KH049</v>
      </c>
      <c r="C889" s="2" t="str">
        <v>KH049</v>
      </c>
      <c r="D889" s="2" t="str">
        <v>S2-00933-BH</v>
      </c>
      <c r="E889" s="2" t="str">
        <v>BAN_HANG</v>
      </c>
      <c r="F889" s="2" t="str">
        <v>INP6205</v>
      </c>
      <c r="G889" s="2" t="str">
        <v>30/12/2025</v>
      </c>
      <c r="H889" s="2" t="str">
        <v>303000.0048</v>
      </c>
      <c r="I889" s="28" t="n">
        <v>303000.0048</v>
      </c>
      <c r="J889" s="7" t="n">
        <v>303000</v>
      </c>
      <c r="K889" s="28" t="n">
        <f>J889-I889</f>
        <v>-0.004799999995157123</v>
      </c>
      <c r="L889" s="2" t="str">
        <v>NHẬP</v>
      </c>
      <c r="M889" s="2" t="str"/>
      <c r="N889" s="2" t="str">
        <v>KHAC</v>
      </c>
    </row>
    <row r="890" ht="25" customHeight="1">
      <c r="A890" s="2" t="str">
        <v>Q935</v>
      </c>
      <c r="B890" s="2" t="str">
        <v>KH049</v>
      </c>
      <c r="C890" s="2" t="str">
        <v>KH049</v>
      </c>
      <c r="D890" s="2" t="str">
        <v>S2-00935-BH</v>
      </c>
      <c r="E890" s="2" t="str">
        <v>BAN_HANG</v>
      </c>
      <c r="F890" s="2" t="str">
        <v>INP2202</v>
      </c>
      <c r="G890" s="2" t="str">
        <v>13/01/2026</v>
      </c>
      <c r="H890" s="2" t="str">
        <v>11760000.0336</v>
      </c>
      <c r="I890" s="28" t="n">
        <v>11760000.0336</v>
      </c>
      <c r="J890" s="7" t="n">
        <v>11760000</v>
      </c>
      <c r="K890" s="28" t="n">
        <f>J890-I890</f>
        <v>-0.03360000066459179</v>
      </c>
      <c r="L890" s="2" t="str">
        <v>NHẬP</v>
      </c>
      <c r="M890" s="2" t="str"/>
      <c r="N890" s="2" t="str">
        <v>KHAC</v>
      </c>
    </row>
    <row r="891" ht="25" customHeight="1">
      <c r="A891" s="2" t="str">
        <v>R936</v>
      </c>
      <c r="B891" s="2" t="str">
        <v>KH049</v>
      </c>
      <c r="C891" s="2" t="str">
        <v>KH049</v>
      </c>
      <c r="D891" s="2" t="str">
        <v>S2-00936-TT</v>
      </c>
      <c r="E891" s="2" t="str">
        <v>THU_TIEN</v>
      </c>
      <c r="F891" s="2" t="str"/>
      <c r="G891" s="2" t="str">
        <v>21/01/2026</v>
      </c>
      <c r="H891" s="2" t="str">
        <v>31869000</v>
      </c>
      <c r="I891" s="28" t="n">
        <v>31869000</v>
      </c>
      <c r="J891" s="7" t="n">
        <v>31869000</v>
      </c>
      <c r="K891" s="28" t="n">
        <f>J891-I891</f>
        <v>0</v>
      </c>
      <c r="L891" s="2" t="str">
        <v>NHẬP</v>
      </c>
      <c r="M891" s="2" t="str"/>
      <c r="N891" s="2" t="str">
        <v>KHAC</v>
      </c>
    </row>
    <row r="892" ht="25" customHeight="1">
      <c r="A892" s="2" t="str">
        <v>Q937</v>
      </c>
      <c r="B892" s="2" t="str">
        <v>KH049</v>
      </c>
      <c r="C892" s="2" t="str">
        <v>KH049</v>
      </c>
      <c r="D892" s="2" t="str">
        <v>S2-00937-BH</v>
      </c>
      <c r="E892" s="2" t="str">
        <v>BAN_HANG</v>
      </c>
      <c r="F892" s="2" t="str">
        <v>INP3201</v>
      </c>
      <c r="G892" s="2" t="str">
        <v>23/01/2026</v>
      </c>
      <c r="H892" s="2" t="str">
        <v>5519999.9232</v>
      </c>
      <c r="I892" s="28" t="n">
        <v>5519999.9232</v>
      </c>
      <c r="J892" s="7" t="n">
        <v>5520000</v>
      </c>
      <c r="K892" s="28" t="n">
        <f>J892-I892</f>
        <v>0.07679999992251396</v>
      </c>
      <c r="L892" s="2" t="str">
        <v>NHẬP</v>
      </c>
      <c r="M892" s="2" t="str"/>
      <c r="N892" s="2" t="str">
        <v>KHAC</v>
      </c>
    </row>
    <row r="893" ht="25" customHeight="1">
      <c r="A893" s="2" t="str">
        <v>Q938</v>
      </c>
      <c r="B893" s="2" t="str">
        <v>KH049</v>
      </c>
      <c r="C893" s="2" t="str">
        <v>KH049</v>
      </c>
      <c r="D893" s="2" t="str">
        <v>S2-00938-BH</v>
      </c>
      <c r="E893" s="2" t="str">
        <v>BAN_HANG</v>
      </c>
      <c r="F893" s="2" t="str">
        <v>INP6701</v>
      </c>
      <c r="G893" s="2" t="str">
        <v>23/01/2026</v>
      </c>
      <c r="H893" s="2" t="str">
        <v>410000.0004</v>
      </c>
      <c r="I893" s="28" t="n">
        <v>410000.0004</v>
      </c>
      <c r="J893" s="7" t="n">
        <v>410000</v>
      </c>
      <c r="K893" s="28" t="n">
        <f>J893-I893</f>
        <v>-0.0004000000189989805</v>
      </c>
      <c r="L893" s="2" t="str">
        <v>NHẬP</v>
      </c>
      <c r="M893" s="2" t="str"/>
      <c r="N893" s="2" t="str">
        <v>KHAC</v>
      </c>
    </row>
    <row r="894" ht="25" customHeight="1">
      <c r="A894" s="2" t="str">
        <v>Q939</v>
      </c>
      <c r="B894" s="2" t="str">
        <v>KH049</v>
      </c>
      <c r="C894" s="2" t="str">
        <v>KH049</v>
      </c>
      <c r="D894" s="2" t="str">
        <v>S2-00939-BH</v>
      </c>
      <c r="E894" s="2" t="str">
        <v>BAN_HANG</v>
      </c>
      <c r="F894" s="2" t="str">
        <v>INP2202</v>
      </c>
      <c r="G894" s="2" t="str">
        <v>28/01/2026</v>
      </c>
      <c r="H894" s="2" t="str">
        <v>9800000.028</v>
      </c>
      <c r="I894" s="28" t="n">
        <v>9800000.028</v>
      </c>
      <c r="J894" s="7" t="n">
        <v>9800000</v>
      </c>
      <c r="K894" s="28" t="n">
        <f>J894-I894</f>
        <v>-0.02800000086426735</v>
      </c>
      <c r="L894" s="2" t="str">
        <v>NHẬP</v>
      </c>
      <c r="M894" s="2" t="str"/>
      <c r="N894" s="2" t="str">
        <v>KHAC</v>
      </c>
    </row>
    <row r="895" ht="25" customHeight="1">
      <c r="A895" s="2" t="str">
        <v>Q940</v>
      </c>
      <c r="B895" s="2" t="str">
        <v>KH049</v>
      </c>
      <c r="C895" s="2" t="str">
        <v>KH049</v>
      </c>
      <c r="D895" s="2" t="str">
        <v>S2-00940-BH</v>
      </c>
      <c r="E895" s="2" t="str">
        <v>BAN_HANG</v>
      </c>
      <c r="F895" s="2" t="str">
        <v>INP3201</v>
      </c>
      <c r="G895" s="2" t="str">
        <v>2026-02-02</v>
      </c>
      <c r="H895" s="2" t="str">
        <v>32659999.5456</v>
      </c>
      <c r="I895" s="28" t="n">
        <v>32659999.5456</v>
      </c>
      <c r="J895" s="7" t="n">
        <v>32659999</v>
      </c>
      <c r="K895" s="28" t="n">
        <f>J895-I895</f>
        <v>-0.5456000007688999</v>
      </c>
      <c r="L895" s="2" t="str">
        <v>NHẬP</v>
      </c>
      <c r="M895" s="2" t="str"/>
      <c r="N895" s="2" t="str">
        <v>KHAC</v>
      </c>
    </row>
    <row r="896" ht="25" customHeight="1">
      <c r="A896" s="2" t="str">
        <v>R941</v>
      </c>
      <c r="B896" s="2" t="str">
        <v>KH049</v>
      </c>
      <c r="C896" s="2" t="str">
        <v>KH049</v>
      </c>
      <c r="D896" s="2" t="str">
        <v>S2-00941-TT</v>
      </c>
      <c r="E896" s="2" t="str">
        <v>THU_TIEN</v>
      </c>
      <c r="F896" s="2" t="str"/>
      <c r="G896" s="2" t="str">
        <v>2026-04-02</v>
      </c>
      <c r="H896" s="2" t="str">
        <v>32659999</v>
      </c>
      <c r="I896" s="28" t="n">
        <v>32659999</v>
      </c>
      <c r="J896" s="7" t="n">
        <v>32659999</v>
      </c>
      <c r="K896" s="28" t="n">
        <f>J896-I896</f>
        <v>0</v>
      </c>
      <c r="L896" s="2" t="str">
        <v>NHẬP</v>
      </c>
      <c r="M896" s="2" t="str"/>
      <c r="N896" s="2" t="str">
        <v>KHAC</v>
      </c>
    </row>
    <row r="897" ht="25" customHeight="1">
      <c r="A897" s="2" t="str">
        <v>Q942</v>
      </c>
      <c r="B897" s="2" t="str">
        <v>KH049</v>
      </c>
      <c r="C897" s="2" t="str">
        <v>KH049</v>
      </c>
      <c r="D897" s="2" t="str">
        <v>S2-00942-BH</v>
      </c>
      <c r="E897" s="2" t="str">
        <v>BAN_HANG</v>
      </c>
      <c r="F897" s="2" t="str">
        <v>INP2202</v>
      </c>
      <c r="G897" s="2" t="str">
        <v>2026-09-02</v>
      </c>
      <c r="H897" s="2" t="str">
        <v>9800000.028</v>
      </c>
      <c r="I897" s="28" t="n">
        <v>9800000.028</v>
      </c>
      <c r="J897" s="7" t="n">
        <v>9800000</v>
      </c>
      <c r="K897" s="28" t="n">
        <f>J897-I897</f>
        <v>-0.02800000086426735</v>
      </c>
      <c r="L897" s="2" t="str">
        <v>NHẬP</v>
      </c>
      <c r="M897" s="2" t="str"/>
      <c r="N897" s="2" t="str">
        <v>KHAC</v>
      </c>
    </row>
    <row r="898" ht="25" customHeight="1">
      <c r="A898" s="2" t="str">
        <v>Q943</v>
      </c>
      <c r="B898" s="2" t="str">
        <v>KH049</v>
      </c>
      <c r="C898" s="2" t="str">
        <v>KH049</v>
      </c>
      <c r="D898" s="2" t="str">
        <v>S2-00942-BH</v>
      </c>
      <c r="E898" s="2" t="str">
        <v>BAN_HANG</v>
      </c>
      <c r="F898" s="2" t="str">
        <v>INP3004</v>
      </c>
      <c r="G898" s="2" t="str">
        <v>2026-09-02</v>
      </c>
      <c r="H898" s="2" t="str">
        <v>1857600</v>
      </c>
      <c r="I898" s="28" t="n">
        <v>1857600</v>
      </c>
      <c r="J898" s="7" t="n">
        <v>1857600</v>
      </c>
      <c r="K898" s="28" t="n">
        <f>J898-I898</f>
        <v>0</v>
      </c>
      <c r="L898" s="2" t="str">
        <v>NHẬP</v>
      </c>
      <c r="M898" s="2" t="str"/>
      <c r="N898" s="2" t="str">
        <v>KHAC</v>
      </c>
    </row>
    <row r="899" ht="25" customHeight="1">
      <c r="A899" s="2" t="str">
        <v>Q944</v>
      </c>
      <c r="B899" s="2" t="str">
        <v>KH049</v>
      </c>
      <c r="C899" s="2" t="str">
        <v>KH049</v>
      </c>
      <c r="D899" s="2" t="str">
        <v>S2-00944-BH</v>
      </c>
      <c r="E899" s="2" t="str">
        <v>BAN_HANG</v>
      </c>
      <c r="F899" s="2" t="str">
        <v>INP3004</v>
      </c>
      <c r="G899" s="2" t="str">
        <v>24/02/2026</v>
      </c>
      <c r="H899" s="2" t="str">
        <v>8599999.824</v>
      </c>
      <c r="I899" s="28" t="n">
        <v>8599999.824</v>
      </c>
      <c r="J899" s="7" t="n">
        <v>8600000</v>
      </c>
      <c r="K899" s="28" t="n">
        <f>J899-I899</f>
        <v>0.17600000090897083</v>
      </c>
      <c r="L899" s="2" t="str">
        <v>NHẬP</v>
      </c>
      <c r="M899" s="2" t="str"/>
      <c r="N899" s="2" t="str">
        <v>KHAC</v>
      </c>
    </row>
    <row r="900" ht="25" customHeight="1">
      <c r="A900" s="2" t="str">
        <v>Q945</v>
      </c>
      <c r="B900" s="2" t="str">
        <v>KH049</v>
      </c>
      <c r="C900" s="2" t="str">
        <v>KH049</v>
      </c>
      <c r="D900" s="2" t="str">
        <v>S2-00945-BH</v>
      </c>
      <c r="E900" s="2" t="str">
        <v>BAN_HANG</v>
      </c>
      <c r="F900" s="2" t="str">
        <v>INP2202</v>
      </c>
      <c r="G900" s="2" t="str">
        <v>2026-02-03</v>
      </c>
      <c r="H900" s="2" t="str">
        <v>11760000.0336</v>
      </c>
      <c r="I900" s="28" t="n">
        <v>11760000.0336</v>
      </c>
      <c r="J900" s="7" t="n">
        <v>11760000</v>
      </c>
      <c r="K900" s="28" t="n">
        <f>J900-I900</f>
        <v>-0.03360000066459179</v>
      </c>
      <c r="L900" s="2" t="str">
        <v>NHẬP</v>
      </c>
      <c r="M900" s="2" t="str"/>
      <c r="N900" s="2" t="str">
        <v>KHAC</v>
      </c>
    </row>
    <row r="901" ht="25" customHeight="1">
      <c r="A901" s="2" t="str">
        <v>R946</v>
      </c>
      <c r="B901" s="2" t="str">
        <v>KH049</v>
      </c>
      <c r="C901" s="2" t="str">
        <v>KH049</v>
      </c>
      <c r="D901" s="2" t="str">
        <v>S2-00946-TT</v>
      </c>
      <c r="E901" s="2" t="str">
        <v>THU_TIEN</v>
      </c>
      <c r="F901" s="2" t="str"/>
      <c r="G901" s="2" t="str">
        <v>2026-06-03</v>
      </c>
      <c r="H901" s="2" t="str">
        <v>11760000</v>
      </c>
      <c r="I901" s="28" t="n">
        <v>11760000</v>
      </c>
      <c r="J901" s="7" t="n">
        <v>11760000</v>
      </c>
      <c r="K901" s="28" t="n">
        <f>J901-I901</f>
        <v>0</v>
      </c>
      <c r="L901" s="2" t="str">
        <v>NHẬP</v>
      </c>
      <c r="M901" s="2" t="str"/>
      <c r="N901" s="2" t="str">
        <v>KHAC</v>
      </c>
    </row>
    <row r="902" ht="25" customHeight="1">
      <c r="A902" s="2" t="str">
        <v>Q947</v>
      </c>
      <c r="B902" s="2" t="str">
        <v>KH049</v>
      </c>
      <c r="C902" s="2" t="str">
        <v>KH049</v>
      </c>
      <c r="D902" s="2" t="str">
        <v>S2-00947-BH</v>
      </c>
      <c r="E902" s="2" t="str">
        <v>BAN_HANG</v>
      </c>
      <c r="F902" s="2" t="str">
        <v>INP3004</v>
      </c>
      <c r="G902" s="2" t="str">
        <v>26/03/2026</v>
      </c>
      <c r="H902" s="2" t="str">
        <v>8599999.824</v>
      </c>
      <c r="I902" s="28" t="n">
        <v>8599999.824</v>
      </c>
      <c r="J902" s="7" t="n">
        <v>8599999</v>
      </c>
      <c r="K902" s="28" t="n">
        <f>J902-I902</f>
        <v>-0.8239999990910292</v>
      </c>
      <c r="L902" s="2" t="str">
        <v>NHẬP</v>
      </c>
      <c r="M902" s="2" t="str"/>
      <c r="N902" s="2" t="str">
        <v>KHAC</v>
      </c>
    </row>
    <row r="903" ht="25" customHeight="1">
      <c r="A903" s="2" t="str">
        <v>Q948</v>
      </c>
      <c r="B903" s="2" t="str">
        <v>KH049</v>
      </c>
      <c r="C903" s="2" t="str">
        <v>KH049</v>
      </c>
      <c r="D903" s="2" t="str">
        <v>S2-00948-BH</v>
      </c>
      <c r="E903" s="2" t="str">
        <v>BAN_HANG</v>
      </c>
      <c r="F903" s="2" t="str">
        <v>INP3201</v>
      </c>
      <c r="G903" s="2" t="str">
        <v>2026-05-04</v>
      </c>
      <c r="H903" s="2" t="str">
        <v>3679999.9488</v>
      </c>
      <c r="I903" s="28" t="n">
        <v>3679999.9488</v>
      </c>
      <c r="J903" s="7" t="n">
        <v>3680000</v>
      </c>
      <c r="K903" s="28" t="n">
        <f>J903-I903</f>
        <v>0.05120000010356307</v>
      </c>
      <c r="L903" s="2" t="str">
        <v>NHẬP</v>
      </c>
      <c r="M903" s="2" t="str"/>
      <c r="N903" s="2" t="str">
        <v>KHAC</v>
      </c>
    </row>
    <row r="904" ht="25" customHeight="1">
      <c r="A904" s="2" t="str">
        <v>R949</v>
      </c>
      <c r="B904" s="2" t="str">
        <v>KH049</v>
      </c>
      <c r="C904" s="2" t="str">
        <v>KH049</v>
      </c>
      <c r="D904" s="2" t="str">
        <v>S2-00949-TT</v>
      </c>
      <c r="E904" s="2" t="str">
        <v>THU_TIEN</v>
      </c>
      <c r="F904" s="2" t="str"/>
      <c r="G904" s="2" t="str">
        <v>22/4/2026</v>
      </c>
      <c r="H904" s="2" t="str">
        <v>45029200</v>
      </c>
      <c r="I904" s="28" t="n">
        <v>45029200</v>
      </c>
      <c r="J904" s="7" t="n">
        <v>45029200</v>
      </c>
      <c r="K904" s="28" t="n">
        <f>J904-I904</f>
        <v>0</v>
      </c>
      <c r="L904" s="2" t="str">
        <v>NHẬP</v>
      </c>
      <c r="M904" s="2" t="str"/>
      <c r="N904" s="2" t="str">
        <v>KHAC</v>
      </c>
    </row>
    <row r="905" ht="25" customHeight="1">
      <c r="A905" s="2" t="str">
        <v>Q950</v>
      </c>
      <c r="B905" s="2" t="str">
        <v>KH049</v>
      </c>
      <c r="C905" s="2" t="str">
        <v>KH049</v>
      </c>
      <c r="D905" s="2" t="str">
        <v>S2-00950-BH</v>
      </c>
      <c r="E905" s="2" t="str">
        <v>BAN_HANG</v>
      </c>
      <c r="F905" s="2" t="str">
        <v>INP3202</v>
      </c>
      <c r="G905" s="2" t="str">
        <v>2026-02-06</v>
      </c>
      <c r="H905" s="2" t="str">
        <v>2159999.9784</v>
      </c>
      <c r="I905" s="28" t="n">
        <v>2159999.9784</v>
      </c>
      <c r="J905" s="7" t="n">
        <v>2160000</v>
      </c>
      <c r="K905" s="28" t="n">
        <f>J905-I905</f>
        <v>0.021600000094622374</v>
      </c>
      <c r="L905" s="2" t="str">
        <v>NHẬP</v>
      </c>
      <c r="M905" s="2" t="str"/>
      <c r="N905" s="2" t="str">
        <v>KHAC</v>
      </c>
    </row>
    <row r="906" ht="25" customHeight="1">
      <c r="A906" s="2" t="str">
        <v>R951</v>
      </c>
      <c r="B906" s="2" t="str">
        <v>KH049</v>
      </c>
      <c r="C906" s="2" t="str">
        <v>KH049</v>
      </c>
      <c r="D906" s="2" t="str">
        <v>S2-00951-TT</v>
      </c>
      <c r="E906" s="2" t="str">
        <v>THU_TIEN</v>
      </c>
      <c r="F906" s="2" t="str"/>
      <c r="G906" s="2" t="str">
        <v>2026-08-06</v>
      </c>
      <c r="H906" s="2" t="str">
        <v>5840000</v>
      </c>
      <c r="I906" s="28" t="n">
        <v>5840000</v>
      </c>
      <c r="J906" s="7" t="n">
        <v>5840000</v>
      </c>
      <c r="K906" s="28" t="n">
        <f>J906-I906</f>
        <v>0</v>
      </c>
      <c r="L906" s="2" t="str">
        <v>NHẬP</v>
      </c>
      <c r="M906" s="2" t="str"/>
      <c r="N906" s="2" t="str">
        <v>KHAC</v>
      </c>
    </row>
    <row r="907" ht="25" customHeight="1">
      <c r="A907" s="2" t="str">
        <v>Q952</v>
      </c>
      <c r="B907" s="2" t="str">
        <v>KH049</v>
      </c>
      <c r="C907" s="2" t="str">
        <v>KH049</v>
      </c>
      <c r="D907" s="2" t="str">
        <v>S2-00952-BH</v>
      </c>
      <c r="E907" s="2" t="str">
        <v>BAN_HANG</v>
      </c>
      <c r="F907" s="2" t="str">
        <v>INP6407</v>
      </c>
      <c r="G907" s="2" t="str">
        <v>27/6/2026</v>
      </c>
      <c r="H907" s="2" t="str">
        <v>249999.9984</v>
      </c>
      <c r="I907" s="28" t="n">
        <v>249999.9984</v>
      </c>
      <c r="J907" s="7" t="n">
        <v>250000</v>
      </c>
      <c r="K907" s="28" t="n">
        <f>J907-I907</f>
        <v>0.0015999999886844307</v>
      </c>
      <c r="L907" s="2" t="str">
        <v>NHẬP</v>
      </c>
      <c r="M907" s="2" t="str"/>
      <c r="N907" s="2" t="str">
        <v>QUAT</v>
      </c>
    </row>
    <row r="908" ht="25" customHeight="1">
      <c r="A908" s="2" t="str">
        <v>Q953</v>
      </c>
      <c r="B908" s="2" t="str">
        <v>KH049</v>
      </c>
      <c r="C908" s="2" t="str">
        <v>KH049</v>
      </c>
      <c r="D908" s="2" t="str">
        <v>S2-00952-BH</v>
      </c>
      <c r="E908" s="2" t="str">
        <v>BAN_HANG</v>
      </c>
      <c r="F908" s="2" t="str">
        <v>INP6408</v>
      </c>
      <c r="G908" s="2" t="str">
        <v>27/6/2026</v>
      </c>
      <c r="H908" s="2" t="str">
        <v>249999.9984</v>
      </c>
      <c r="I908" s="28" t="n">
        <v>249999.9984</v>
      </c>
      <c r="J908" s="7" t="n">
        <v>250000</v>
      </c>
      <c r="K908" s="28" t="n">
        <f>J908-I908</f>
        <v>0.0015999999886844307</v>
      </c>
      <c r="L908" s="2" t="str">
        <v>NHẬP</v>
      </c>
      <c r="M908" s="2" t="str"/>
      <c r="N908" s="2" t="str">
        <v>QUAT</v>
      </c>
    </row>
    <row r="909" ht="25" customHeight="1">
      <c r="A909" s="2" t="str">
        <v>Q954</v>
      </c>
      <c r="B909" s="2" t="str">
        <v>KH049</v>
      </c>
      <c r="C909" s="2" t="str">
        <v>KH049</v>
      </c>
      <c r="D909" s="2" t="str">
        <v>S2-00952-BH</v>
      </c>
      <c r="E909" s="2" t="str">
        <v>BAN_HANG</v>
      </c>
      <c r="F909" s="2" t="str">
        <v>INP6409</v>
      </c>
      <c r="G909" s="2" t="str">
        <v>27/6/2026</v>
      </c>
      <c r="H909" s="2" t="str">
        <v>219999.996</v>
      </c>
      <c r="I909" s="28" t="n">
        <v>219999.996</v>
      </c>
      <c r="J909" s="7" t="n">
        <v>220000</v>
      </c>
      <c r="K909" s="28" t="n">
        <f>J909-I909</f>
        <v>0.003999999986262992</v>
      </c>
      <c r="L909" s="2" t="str">
        <v>NHẬP</v>
      </c>
      <c r="M909" s="2" t="str"/>
      <c r="N909" s="2" t="str">
        <v>QUAT</v>
      </c>
    </row>
    <row r="910" ht="25" customHeight="1">
      <c r="A910" s="2" t="str">
        <v>Q955</v>
      </c>
      <c r="B910" s="2" t="str">
        <v>KH049</v>
      </c>
      <c r="C910" s="2" t="str">
        <v>KH049</v>
      </c>
      <c r="D910" s="2" t="str">
        <v>S2-00952-BH</v>
      </c>
      <c r="E910" s="2" t="str">
        <v>BAN_HANG</v>
      </c>
      <c r="F910" s="2" t="str">
        <v>INP6410</v>
      </c>
      <c r="G910" s="2" t="str">
        <v>27/6/2026</v>
      </c>
      <c r="H910" s="2" t="str">
        <v>249999.9984</v>
      </c>
      <c r="I910" s="28" t="n">
        <v>249999.9984</v>
      </c>
      <c r="J910" s="7" t="n">
        <v>250000</v>
      </c>
      <c r="K910" s="28" t="n">
        <f>J910-I910</f>
        <v>0.0015999999886844307</v>
      </c>
      <c r="L910" s="2" t="str">
        <v>NHẬP</v>
      </c>
      <c r="M910" s="2" t="str"/>
      <c r="N910" s="2" t="str">
        <v>QUAT</v>
      </c>
    </row>
    <row r="911" ht="25" customHeight="1">
      <c r="A911" s="2" t="str">
        <v>Q956</v>
      </c>
      <c r="B911" s="2" t="str">
        <v>KH049</v>
      </c>
      <c r="C911" s="2" t="str">
        <v>KH049</v>
      </c>
      <c r="D911" s="2" t="str">
        <v>S2-00952-BH</v>
      </c>
      <c r="E911" s="2" t="str">
        <v>BAN_HANG</v>
      </c>
      <c r="F911" s="2" t="str">
        <v>INP6411</v>
      </c>
      <c r="G911" s="2" t="str">
        <v>27/6/2026</v>
      </c>
      <c r="H911" s="2" t="str">
        <v>460000.0044</v>
      </c>
      <c r="I911" s="28" t="n">
        <v>460000.0044</v>
      </c>
      <c r="J911" s="7" t="n">
        <v>460000</v>
      </c>
      <c r="K911" s="28" t="n">
        <f>J911-I911</f>
        <v>-0.004399999976158142</v>
      </c>
      <c r="L911" s="2" t="str">
        <v>NHẬP</v>
      </c>
      <c r="M911" s="2" t="str"/>
      <c r="N911" s="2" t="str">
        <v>QUAT</v>
      </c>
    </row>
    <row r="912" ht="25" customHeight="1">
      <c r="A912" s="2" t="str">
        <v>Q957</v>
      </c>
      <c r="B912" s="2" t="str">
        <v>KH049</v>
      </c>
      <c r="C912" s="2" t="str">
        <v>KH049</v>
      </c>
      <c r="D912" s="2" t="str">
        <v>S2-00952-BH</v>
      </c>
      <c r="E912" s="2" t="str">
        <v>BAN_HANG</v>
      </c>
      <c r="F912" s="2" t="str">
        <v>INP7901</v>
      </c>
      <c r="G912" s="2" t="str">
        <v>27/6/2026</v>
      </c>
      <c r="H912" s="2" t="str">
        <v>74999.9952</v>
      </c>
      <c r="I912" s="28" t="n">
        <v>74999.9952</v>
      </c>
      <c r="J912" s="7" t="n">
        <v>75000</v>
      </c>
      <c r="K912" s="28" t="n">
        <f>J912-I912</f>
        <v>0.004799999995157123</v>
      </c>
      <c r="L912" s="2" t="str">
        <v>NHẬP</v>
      </c>
      <c r="M912" s="2" t="str"/>
      <c r="N912" s="2" t="str">
        <v>VOT_MUOI</v>
      </c>
    </row>
    <row r="913" ht="25" customHeight="1">
      <c r="A913" s="2" t="str">
        <v>Q958</v>
      </c>
      <c r="B913" s="2" t="str">
        <v>KH049</v>
      </c>
      <c r="C913" s="2" t="str">
        <v>KH049</v>
      </c>
      <c r="D913" s="2" t="str">
        <v>S2-00952-BH</v>
      </c>
      <c r="E913" s="2" t="str">
        <v>BAN_HANG</v>
      </c>
      <c r="F913" s="2" t="str">
        <v>INP7902</v>
      </c>
      <c r="G913" s="2" t="str">
        <v>27/6/2026</v>
      </c>
      <c r="H913" s="2" t="str">
        <v>104999.9976</v>
      </c>
      <c r="I913" s="28" t="n">
        <v>104999.9976</v>
      </c>
      <c r="J913" s="7" t="n">
        <v>105000</v>
      </c>
      <c r="K913" s="28" t="n">
        <f>J913-I913</f>
        <v>0.0023999999975785613</v>
      </c>
      <c r="L913" s="2" t="str">
        <v>NHẬP</v>
      </c>
      <c r="M913" s="2" t="str"/>
      <c r="N913" s="2" t="str">
        <v>VOT_MUOI</v>
      </c>
    </row>
    <row r="914" ht="25" customHeight="1">
      <c r="A914" s="2" t="str">
        <v>Q959</v>
      </c>
      <c r="B914" s="2" t="str">
        <v>KH049</v>
      </c>
      <c r="C914" s="2" t="str">
        <v>KH049</v>
      </c>
      <c r="D914" s="2" t="str">
        <v>S2-00959-BH</v>
      </c>
      <c r="E914" s="2" t="str">
        <v>BAN_HANG</v>
      </c>
      <c r="F914" s="2" t="str">
        <v>INP7902</v>
      </c>
      <c r="G914" s="2" t="str">
        <v>29/6/2026</v>
      </c>
      <c r="H914" s="2" t="str">
        <v>10799999.568</v>
      </c>
      <c r="I914" s="28" t="n">
        <v>10799999.568</v>
      </c>
      <c r="J914" s="7" t="n">
        <v>10800000</v>
      </c>
      <c r="K914" s="28" t="n">
        <f>J914-I914</f>
        <v>0.4320000000298023</v>
      </c>
      <c r="L914" s="2" t="str">
        <v>NHẬP</v>
      </c>
      <c r="M914" s="2" t="str"/>
      <c r="N914" s="2" t="str">
        <v>VOT_MUOI</v>
      </c>
    </row>
    <row r="915" ht="25" customHeight="1">
      <c r="A915" s="2" t="str">
        <v>R960</v>
      </c>
      <c r="B915" s="2" t="str">
        <v>KH049</v>
      </c>
      <c r="C915" s="2" t="str">
        <v>KH049</v>
      </c>
      <c r="D915" s="2" t="str">
        <v>S2-00960-TT</v>
      </c>
      <c r="E915" s="2" t="str">
        <v>THU_TIEN</v>
      </c>
      <c r="F915" s="2" t="str"/>
      <c r="G915" s="2" t="str">
        <v>2026-06-07</v>
      </c>
      <c r="H915" s="2" t="str">
        <v>12409998</v>
      </c>
      <c r="I915" s="28" t="n">
        <v>12409998</v>
      </c>
      <c r="J915" s="7" t="n">
        <v>12409998</v>
      </c>
      <c r="K915" s="28" t="n">
        <f>J915-I915</f>
        <v>0</v>
      </c>
      <c r="L915" s="2" t="str">
        <v>NHẬP</v>
      </c>
      <c r="M915" s="2" t="str"/>
      <c r="N915" s="2" t="str">
        <v>KHAC</v>
      </c>
    </row>
    <row r="916" ht="25" customHeight="1">
      <c r="A916" s="2" t="str">
        <v>Q961</v>
      </c>
      <c r="B916" s="2" t="str">
        <v>KH015</v>
      </c>
      <c r="C916" s="2" t="str">
        <v>KH015</v>
      </c>
      <c r="D916" s="2" t="str">
        <v>S2-00961-BH</v>
      </c>
      <c r="E916" s="2" t="str">
        <v>BAN_HANG</v>
      </c>
      <c r="F916" s="2" t="str">
        <v>INP3001</v>
      </c>
      <c r="G916" s="2" t="str">
        <v>2026-06-08</v>
      </c>
      <c r="H916" s="2" t="str">
        <v>619999.9956</v>
      </c>
      <c r="I916" s="28" t="n">
        <v>619999.9956</v>
      </c>
      <c r="J916" s="7" t="n">
        <v>620000</v>
      </c>
      <c r="K916" s="28" t="n">
        <f>J916-I916</f>
        <v>0.004399999976158142</v>
      </c>
      <c r="L916" s="2" t="str">
        <v>NHẬP</v>
      </c>
      <c r="M916" s="2" t="str"/>
      <c r="N916" s="2" t="str">
        <v>KHAC</v>
      </c>
    </row>
    <row r="917" ht="25" customHeight="1">
      <c r="A917" s="2" t="str">
        <v>Q962</v>
      </c>
      <c r="B917" s="2" t="str">
        <v>KH015</v>
      </c>
      <c r="C917" s="2" t="str">
        <v>KH015</v>
      </c>
      <c r="D917" s="2" t="str">
        <v>S2-00962-BH</v>
      </c>
      <c r="E917" s="2" t="str">
        <v>BAN_HANG</v>
      </c>
      <c r="F917" s="2" t="str">
        <v>INP3002</v>
      </c>
      <c r="G917" s="2" t="str">
        <v>2026-06-08</v>
      </c>
      <c r="H917" s="2" t="str">
        <v>569999.9916</v>
      </c>
      <c r="I917" s="28" t="n">
        <v>569999.9916</v>
      </c>
      <c r="J917" s="7" t="n">
        <v>570000</v>
      </c>
      <c r="K917" s="28" t="n">
        <f>J917-I917</f>
        <v>0.008400000049732625</v>
      </c>
      <c r="L917" s="2" t="str">
        <v>NHẬP</v>
      </c>
      <c r="M917" s="2" t="str"/>
      <c r="N917" s="2" t="str">
        <v>KHAC</v>
      </c>
    </row>
    <row r="918" ht="25" customHeight="1">
      <c r="A918" s="2" t="str">
        <v>Q963</v>
      </c>
      <c r="B918" s="2" t="str">
        <v>KH015</v>
      </c>
      <c r="C918" s="2" t="str">
        <v>KH015</v>
      </c>
      <c r="D918" s="2" t="str">
        <v>S2-00962-BH</v>
      </c>
      <c r="E918" s="2" t="str">
        <v>BAN_HANG</v>
      </c>
      <c r="F918" s="2" t="str">
        <v>INP3003</v>
      </c>
      <c r="G918" s="2" t="str">
        <v>2026-06-08</v>
      </c>
      <c r="H918" s="2" t="str">
        <v>580000.0032</v>
      </c>
      <c r="I918" s="28" t="n">
        <v>580000.0032</v>
      </c>
      <c r="J918" s="7" t="n">
        <v>580000</v>
      </c>
      <c r="K918" s="28" t="n">
        <f>J918-I918</f>
        <v>-0.0032000000355765224</v>
      </c>
      <c r="L918" s="2" t="str">
        <v>NHẬP</v>
      </c>
      <c r="M918" s="2" t="str"/>
      <c r="N918" s="2" t="str">
        <v>KHAC</v>
      </c>
    </row>
    <row r="919" ht="25" customHeight="1">
      <c r="A919" s="2" t="str">
        <v>Q964</v>
      </c>
      <c r="B919" s="2" t="str">
        <v>KH015</v>
      </c>
      <c r="C919" s="2" t="str">
        <v>KH015</v>
      </c>
      <c r="D919" s="2" t="str">
        <v>S2-00962-BH</v>
      </c>
      <c r="E919" s="2" t="str">
        <v>BAN_HANG</v>
      </c>
      <c r="F919" s="2" t="str">
        <v>INP3004</v>
      </c>
      <c r="G919" s="2" t="str">
        <v>2026-06-08</v>
      </c>
      <c r="H919" s="2" t="str">
        <v>319999.9932</v>
      </c>
      <c r="I919" s="28" t="n">
        <v>319999.9932</v>
      </c>
      <c r="J919" s="7" t="n">
        <v>320000</v>
      </c>
      <c r="K919" s="28" t="n">
        <f>J919-I919</f>
        <v>0.006799999973736703</v>
      </c>
      <c r="L919" s="2" t="str">
        <v>NHẬP</v>
      </c>
      <c r="M919" s="2" t="str"/>
      <c r="N919" s="2" t="str">
        <v>KHAC</v>
      </c>
    </row>
    <row r="920" ht="25" customHeight="1">
      <c r="A920" s="2" t="str">
        <v>Q965</v>
      </c>
      <c r="B920" s="2" t="str">
        <v>KH015</v>
      </c>
      <c r="C920" s="2" t="str">
        <v>KH015</v>
      </c>
      <c r="D920" s="2" t="str">
        <v>S2-00962-BH</v>
      </c>
      <c r="E920" s="2" t="str">
        <v>BAN_HANG</v>
      </c>
      <c r="F920" s="2" t="str">
        <v>INP3005</v>
      </c>
      <c r="G920" s="2" t="str">
        <v>2026-06-08</v>
      </c>
      <c r="H920" s="2" t="str">
        <v>359999.9964</v>
      </c>
      <c r="I920" s="28" t="n">
        <v>359999.9964</v>
      </c>
      <c r="J920" s="7" t="n">
        <v>360000</v>
      </c>
      <c r="K920" s="28" t="n">
        <f>J920-I920</f>
        <v>0.003599999996367842</v>
      </c>
      <c r="L920" s="2" t="str">
        <v>NHẬP</v>
      </c>
      <c r="M920" s="2" t="str"/>
      <c r="N920" s="2" t="str">
        <v>KHAC</v>
      </c>
    </row>
    <row r="921" ht="25" customHeight="1">
      <c r="A921" s="2" t="str">
        <v>Q966</v>
      </c>
      <c r="B921" s="2" t="str">
        <v>KH015</v>
      </c>
      <c r="C921" s="2" t="str">
        <v>KH015</v>
      </c>
      <c r="D921" s="2" t="str">
        <v>S2-00962-BH</v>
      </c>
      <c r="E921" s="2" t="str">
        <v>BAN_HANG</v>
      </c>
      <c r="F921" s="2" t="str">
        <v>INP3201</v>
      </c>
      <c r="G921" s="2" t="str">
        <v>2026-06-08</v>
      </c>
      <c r="H921" s="2" t="str">
        <v>259999.9992</v>
      </c>
      <c r="I921" s="28" t="n">
        <v>259999.9992</v>
      </c>
      <c r="J921" s="7" t="n">
        <v>260000</v>
      </c>
      <c r="K921" s="28" t="n">
        <f>J921-I921</f>
        <v>0.0008000000088941306</v>
      </c>
      <c r="L921" s="2" t="str">
        <v>NHẬP</v>
      </c>
      <c r="M921" s="2" t="str"/>
      <c r="N921" s="2" t="str">
        <v>KHAC</v>
      </c>
    </row>
    <row r="922" ht="25" customHeight="1">
      <c r="A922" s="2" t="str">
        <v>Q967</v>
      </c>
      <c r="B922" s="2" t="str">
        <v>KH015</v>
      </c>
      <c r="C922" s="2" t="str">
        <v>KH015</v>
      </c>
      <c r="D922" s="2" t="str">
        <v>S2-00962-BH</v>
      </c>
      <c r="E922" s="2" t="str">
        <v>BAN_HANG</v>
      </c>
      <c r="F922" s="2" t="str">
        <v>INP3202</v>
      </c>
      <c r="G922" s="2" t="str">
        <v>2026-06-08</v>
      </c>
      <c r="H922" s="2" t="str">
        <v>369999.9972</v>
      </c>
      <c r="I922" s="28" t="n">
        <v>369999.9972</v>
      </c>
      <c r="J922" s="7" t="n">
        <v>370000</v>
      </c>
      <c r="K922" s="28" t="n">
        <f>J922-I922</f>
        <v>0.002800000016577542</v>
      </c>
      <c r="L922" s="2" t="str">
        <v>NHẬP</v>
      </c>
      <c r="M922" s="2" t="str"/>
      <c r="N922" s="2" t="str">
        <v>KHAC</v>
      </c>
    </row>
    <row r="923" ht="25" customHeight="1">
      <c r="A923" s="2" t="str">
        <v>Q968</v>
      </c>
      <c r="B923" s="2" t="str">
        <v>KH015</v>
      </c>
      <c r="C923" s="2" t="str">
        <v>KH015</v>
      </c>
      <c r="D923" s="2" t="str">
        <v>S2-00962-BH</v>
      </c>
      <c r="E923" s="2" t="str">
        <v>BAN_HANG</v>
      </c>
      <c r="F923" s="2" t="str">
        <v>INP6701</v>
      </c>
      <c r="G923" s="2" t="str">
        <v>2026-06-08</v>
      </c>
      <c r="H923" s="2" t="str">
        <v>429999.9912</v>
      </c>
      <c r="I923" s="28" t="n">
        <v>429999.9912</v>
      </c>
      <c r="J923" s="7" t="n">
        <v>430000</v>
      </c>
      <c r="K923" s="28" t="n">
        <f>J923-I923</f>
        <v>0.008800000010523945</v>
      </c>
      <c r="L923" s="2" t="str">
        <v>NHẬP</v>
      </c>
      <c r="M923" s="2" t="str"/>
      <c r="N923" s="2" t="str">
        <v>KHAC</v>
      </c>
    </row>
    <row r="924" ht="25" customHeight="1">
      <c r="A924" s="2" t="str">
        <v>Q969</v>
      </c>
      <c r="B924" s="2" t="str">
        <v>KH015</v>
      </c>
      <c r="C924" s="2" t="str">
        <v>KH015</v>
      </c>
      <c r="D924" s="2" t="str">
        <v>S2-00962-BH</v>
      </c>
      <c r="E924" s="2" t="str">
        <v>BAN_HANG</v>
      </c>
      <c r="F924" s="2" t="str">
        <v>INP6802</v>
      </c>
      <c r="G924" s="2" t="str">
        <v>2026-06-08</v>
      </c>
      <c r="H924" s="2" t="str">
        <v>849999.9924</v>
      </c>
      <c r="I924" s="28" t="n">
        <v>849999.9924</v>
      </c>
      <c r="J924" s="7" t="n">
        <v>850000</v>
      </c>
      <c r="K924" s="28" t="n">
        <f>J924-I924</f>
        <v>0.0076000000117346644</v>
      </c>
      <c r="L924" s="2" t="str">
        <v>NHẬP</v>
      </c>
      <c r="M924" s="2" t="str"/>
      <c r="N924" s="2" t="str">
        <v>KHAC</v>
      </c>
    </row>
    <row r="925" ht="25" customHeight="1">
      <c r="A925" s="2" t="str">
        <v>Q970</v>
      </c>
      <c r="B925" s="2" t="str">
        <v>KH015</v>
      </c>
      <c r="C925" s="2" t="str">
        <v>KH015</v>
      </c>
      <c r="D925" s="2" t="str">
        <v>S2-00970-BH</v>
      </c>
      <c r="E925" s="2" t="str">
        <v>BAN_HANG</v>
      </c>
      <c r="F925" s="2" t="str">
        <v>INP2101</v>
      </c>
      <c r="G925" s="2" t="str">
        <v>2026-06-15</v>
      </c>
      <c r="H925" s="2" t="str">
        <v>263000.0016</v>
      </c>
      <c r="I925" s="28" t="n">
        <v>263000.0016</v>
      </c>
      <c r="J925" s="7" t="n">
        <v>263000</v>
      </c>
      <c r="K925" s="28" t="n">
        <f>J925-I925</f>
        <v>-0.0016000000177882612</v>
      </c>
      <c r="L925" s="2" t="str">
        <v>NHẬP</v>
      </c>
      <c r="M925" s="2" t="str"/>
      <c r="N925" s="2" t="str">
        <v>KHAC</v>
      </c>
    </row>
    <row r="926" ht="25" customHeight="1">
      <c r="A926" s="2" t="str">
        <v>Q971</v>
      </c>
      <c r="B926" s="2" t="str">
        <v>KH015</v>
      </c>
      <c r="C926" s="2" t="str">
        <v>KH015</v>
      </c>
      <c r="D926" s="2" t="str">
        <v>S2-00970-BH</v>
      </c>
      <c r="E926" s="2" t="str">
        <v>BAN_HANG</v>
      </c>
      <c r="F926" s="2" t="str">
        <v>INP2102</v>
      </c>
      <c r="G926" s="2" t="str">
        <v>2026-06-15</v>
      </c>
      <c r="H926" s="2" t="str">
        <v>286999.9992</v>
      </c>
      <c r="I926" s="28" t="n">
        <v>286999.9992</v>
      </c>
      <c r="J926" s="7" t="n">
        <v>287000</v>
      </c>
      <c r="K926" s="28" t="n">
        <f>J926-I926</f>
        <v>0.0007999999797903001</v>
      </c>
      <c r="L926" s="2" t="str">
        <v>NHẬP</v>
      </c>
      <c r="M926" s="2" t="str"/>
      <c r="N926" s="2" t="str">
        <v>KHAC</v>
      </c>
    </row>
    <row r="927" ht="25" customHeight="1">
      <c r="A927" s="2" t="str">
        <v>Q972</v>
      </c>
      <c r="B927" s="2" t="str">
        <v>KH015</v>
      </c>
      <c r="C927" s="2" t="str">
        <v>KH015</v>
      </c>
      <c r="D927" s="2" t="str">
        <v>S2-00970-BH</v>
      </c>
      <c r="E927" s="2" t="str">
        <v>BAN_HANG</v>
      </c>
      <c r="F927" s="2" t="str">
        <v>INP2103</v>
      </c>
      <c r="G927" s="2" t="str">
        <v>2026-06-15</v>
      </c>
      <c r="H927" s="2" t="str">
        <v>313999.9992</v>
      </c>
      <c r="I927" s="28" t="n">
        <v>313999.9992</v>
      </c>
      <c r="J927" s="7" t="n">
        <v>314000</v>
      </c>
      <c r="K927" s="28" t="n">
        <f>J927-I927</f>
        <v>0.0007999999797903001</v>
      </c>
      <c r="L927" s="2" t="str">
        <v>NHẬP</v>
      </c>
      <c r="M927" s="2" t="str"/>
      <c r="N927" s="2" t="str">
        <v>KHAC</v>
      </c>
    </row>
    <row r="928" ht="25" customHeight="1">
      <c r="A928" s="2" t="str">
        <v>Q973</v>
      </c>
      <c r="B928" s="2" t="str">
        <v>KH015</v>
      </c>
      <c r="C928" s="2" t="str">
        <v>KH015</v>
      </c>
      <c r="D928" s="2" t="str">
        <v>S2-00970-BH</v>
      </c>
      <c r="E928" s="2" t="str">
        <v>BAN_HANG</v>
      </c>
      <c r="F928" s="2" t="str">
        <v>INP2104</v>
      </c>
      <c r="G928" s="2" t="str">
        <v>2026-06-15</v>
      </c>
      <c r="H928" s="2" t="str">
        <v>312000.0012</v>
      </c>
      <c r="I928" s="28" t="n">
        <v>312000.0012</v>
      </c>
      <c r="J928" s="7" t="n">
        <v>312000</v>
      </c>
      <c r="K928" s="28" t="n">
        <f>J928-I928</f>
        <v>-0.0011999999987892807</v>
      </c>
      <c r="L928" s="2" t="str">
        <v>NHẬP</v>
      </c>
      <c r="M928" s="2" t="str"/>
      <c r="N928" s="2" t="str">
        <v>KHAC</v>
      </c>
    </row>
    <row r="929" ht="25" customHeight="1">
      <c r="A929" s="2" t="str">
        <v>Q974</v>
      </c>
      <c r="B929" s="2" t="str">
        <v>KH015</v>
      </c>
      <c r="C929" s="2" t="str">
        <v>KH015</v>
      </c>
      <c r="D929" s="2" t="str">
        <v>S2-00970-BH</v>
      </c>
      <c r="E929" s="2" t="str">
        <v>BAN_HANG</v>
      </c>
      <c r="F929" s="2" t="str">
        <v>INP2105</v>
      </c>
      <c r="G929" s="2" t="str">
        <v>2026-06-15</v>
      </c>
      <c r="H929" s="2" t="str">
        <v>270000</v>
      </c>
      <c r="I929" s="28" t="n">
        <v>270000</v>
      </c>
      <c r="J929" s="7" t="n">
        <v>270000</v>
      </c>
      <c r="K929" s="28" t="n">
        <f>J929-I929</f>
        <v>0</v>
      </c>
      <c r="L929" s="2" t="str">
        <v>NHẬP</v>
      </c>
      <c r="M929" s="2" t="str"/>
      <c r="N929" s="2" t="str">
        <v>KHAC</v>
      </c>
    </row>
    <row r="930" ht="25" customHeight="1">
      <c r="A930" s="2" t="str">
        <v>Q975</v>
      </c>
      <c r="B930" s="2" t="str">
        <v>KH015</v>
      </c>
      <c r="C930" s="2" t="str">
        <v>KH015</v>
      </c>
      <c r="D930" s="2" t="str">
        <v>S2-00970-BH</v>
      </c>
      <c r="E930" s="2" t="str">
        <v>BAN_HANG</v>
      </c>
      <c r="F930" s="2" t="str">
        <v>INP2106</v>
      </c>
      <c r="G930" s="2" t="str">
        <v>2026-06-15</v>
      </c>
      <c r="H930" s="2" t="str">
        <v>290000.0016</v>
      </c>
      <c r="I930" s="28" t="n">
        <v>290000.0016</v>
      </c>
      <c r="J930" s="7" t="n">
        <v>290000</v>
      </c>
      <c r="K930" s="28" t="n">
        <f>J930-I930</f>
        <v>-0.0016000000177882612</v>
      </c>
      <c r="L930" s="2" t="str">
        <v>NHẬP</v>
      </c>
      <c r="M930" s="2" t="str"/>
      <c r="N930" s="2" t="str">
        <v>KHAC</v>
      </c>
    </row>
    <row r="931" ht="25" customHeight="1">
      <c r="A931" s="2" t="str">
        <v>Q976</v>
      </c>
      <c r="B931" s="2" t="str">
        <v>KH015</v>
      </c>
      <c r="C931" s="2" t="str">
        <v>KH015</v>
      </c>
      <c r="D931" s="2" t="str">
        <v>S2-00970-BH</v>
      </c>
      <c r="E931" s="2" t="str">
        <v>BAN_HANG</v>
      </c>
      <c r="F931" s="2" t="str">
        <v>INP2107</v>
      </c>
      <c r="G931" s="2" t="str">
        <v>2026-06-15</v>
      </c>
      <c r="H931" s="2" t="str">
        <v>310000.0032</v>
      </c>
      <c r="I931" s="28" t="n">
        <v>310000.0032</v>
      </c>
      <c r="J931" s="7" t="n">
        <v>310000</v>
      </c>
      <c r="K931" s="28" t="n">
        <f>J931-I931</f>
        <v>-0.0031999999773688614</v>
      </c>
      <c r="L931" s="2" t="str">
        <v>NHẬP</v>
      </c>
      <c r="M931" s="2" t="str"/>
      <c r="N931" s="2" t="str">
        <v>KHAC</v>
      </c>
    </row>
    <row r="932" ht="25" customHeight="1">
      <c r="A932" s="2" t="str">
        <v>Q977</v>
      </c>
      <c r="B932" s="2" t="str">
        <v>KH015</v>
      </c>
      <c r="C932" s="2" t="str">
        <v>KH015</v>
      </c>
      <c r="D932" s="2" t="str">
        <v>S2-00970-BH</v>
      </c>
      <c r="E932" s="2" t="str">
        <v>BAN_HANG</v>
      </c>
      <c r="F932" s="2" t="str">
        <v>INP2108</v>
      </c>
      <c r="G932" s="2" t="str">
        <v>2026-06-15</v>
      </c>
      <c r="H932" s="2" t="str">
        <v>254999.9988</v>
      </c>
      <c r="I932" s="28" t="n">
        <v>254999.9988</v>
      </c>
      <c r="J932" s="7" t="n">
        <v>255000</v>
      </c>
      <c r="K932" s="28" t="n">
        <f>J932-I932</f>
        <v>0.0011999999987892807</v>
      </c>
      <c r="L932" s="2" t="str">
        <v>NHẬP</v>
      </c>
      <c r="M932" s="2" t="str"/>
      <c r="N932" s="2" t="str">
        <v>KHAC</v>
      </c>
    </row>
    <row r="933" ht="25" customHeight="1">
      <c r="A933" s="2" t="str">
        <v>Q978</v>
      </c>
      <c r="B933" s="2" t="str">
        <v>KH015</v>
      </c>
      <c r="C933" s="2" t="str">
        <v>KH015</v>
      </c>
      <c r="D933" s="2" t="str">
        <v>S2-00970-BH</v>
      </c>
      <c r="E933" s="2" t="str">
        <v>BAN_HANG</v>
      </c>
      <c r="F933" s="2" t="str">
        <v>INP2109</v>
      </c>
      <c r="G933" s="2" t="str">
        <v>2026-06-15</v>
      </c>
      <c r="H933" s="2" t="str">
        <v>270000</v>
      </c>
      <c r="I933" s="28" t="n">
        <v>270000</v>
      </c>
      <c r="J933" s="7" t="n">
        <v>270000</v>
      </c>
      <c r="K933" s="28" t="n">
        <f>J933-I933</f>
        <v>0</v>
      </c>
      <c r="L933" s="2" t="str">
        <v>NHẬP</v>
      </c>
      <c r="M933" s="2" t="str"/>
      <c r="N933" s="2" t="str">
        <v>KHAC</v>
      </c>
    </row>
    <row r="934" ht="25" customHeight="1">
      <c r="A934" s="2" t="str">
        <v>Q979</v>
      </c>
      <c r="B934" s="2" t="str">
        <v>KH015</v>
      </c>
      <c r="C934" s="2" t="str">
        <v>KH015</v>
      </c>
      <c r="D934" s="2" t="str">
        <v>S2-00970-BH</v>
      </c>
      <c r="E934" s="2" t="str">
        <v>BAN_HANG</v>
      </c>
      <c r="F934" s="2" t="str">
        <v>INP2110</v>
      </c>
      <c r="G934" s="2" t="str">
        <v>2026-06-15</v>
      </c>
      <c r="H934" s="2" t="str">
        <v>290000.0016</v>
      </c>
      <c r="I934" s="28" t="n">
        <v>290000.0016</v>
      </c>
      <c r="J934" s="7" t="n">
        <v>290000</v>
      </c>
      <c r="K934" s="28" t="n">
        <f>J934-I934</f>
        <v>-0.0016000000177882612</v>
      </c>
      <c r="L934" s="2" t="str">
        <v>NHẬP</v>
      </c>
      <c r="M934" s="2" t="str"/>
      <c r="N934" s="2" t="str">
        <v>KHAC</v>
      </c>
    </row>
    <row r="935" ht="25" customHeight="1">
      <c r="A935" s="2" t="str">
        <v>Q980</v>
      </c>
      <c r="B935" s="2" t="str">
        <v>KH015</v>
      </c>
      <c r="C935" s="2" t="str">
        <v>KH015</v>
      </c>
      <c r="D935" s="2" t="str">
        <v>S2-00970-BH</v>
      </c>
      <c r="E935" s="2" t="str">
        <v>BAN_HANG</v>
      </c>
      <c r="F935" s="2" t="str">
        <v>INP2301</v>
      </c>
      <c r="G935" s="2" t="str">
        <v>2026-06-15</v>
      </c>
      <c r="H935" s="2" t="str">
        <v>450000.0036</v>
      </c>
      <c r="I935" s="28" t="n">
        <v>450000.0036</v>
      </c>
      <c r="J935" s="7" t="n">
        <v>450000</v>
      </c>
      <c r="K935" s="28" t="n">
        <f>J935-I935</f>
        <v>-0.003599999996367842</v>
      </c>
      <c r="L935" s="2" t="str">
        <v>NHẬP</v>
      </c>
      <c r="M935" s="2" t="str"/>
      <c r="N935" s="2" t="str">
        <v>KHAC</v>
      </c>
    </row>
    <row r="936" ht="25" customHeight="1">
      <c r="A936" s="2" t="str">
        <v>Q981</v>
      </c>
      <c r="B936" s="2" t="str">
        <v>KH015</v>
      </c>
      <c r="C936" s="2" t="str">
        <v>KH015</v>
      </c>
      <c r="D936" s="2" t="str">
        <v>S2-00970-BH</v>
      </c>
      <c r="E936" s="2" t="str">
        <v>BAN_HANG</v>
      </c>
      <c r="F936" s="2" t="str">
        <v>INP2202</v>
      </c>
      <c r="G936" s="2" t="str">
        <v>2026-06-15</v>
      </c>
      <c r="H936" s="2" t="str">
        <v>950000.0004</v>
      </c>
      <c r="I936" s="28" t="n">
        <v>950000.0004</v>
      </c>
      <c r="J936" s="7" t="n">
        <v>950000</v>
      </c>
      <c r="K936" s="28" t="n">
        <f>J936-I936</f>
        <v>-0.0004000000189989805</v>
      </c>
      <c r="L936" s="2" t="str">
        <v>NHẬP</v>
      </c>
      <c r="M936" s="2" t="str"/>
      <c r="N936" s="2" t="str">
        <v>KHAC</v>
      </c>
    </row>
    <row r="937" ht="25" customHeight="1">
      <c r="A937" s="2" t="str">
        <v>Q982</v>
      </c>
      <c r="B937" s="2" t="str">
        <v>KH015</v>
      </c>
      <c r="C937" s="2" t="str">
        <v>KH015</v>
      </c>
      <c r="D937" s="2" t="str">
        <v>S2-00970-BH</v>
      </c>
      <c r="E937" s="2" t="str">
        <v>BAN_HANG</v>
      </c>
      <c r="F937" s="2" t="str">
        <v>INP6501</v>
      </c>
      <c r="G937" s="2" t="str">
        <v>2026-06-15</v>
      </c>
      <c r="H937" s="2" t="str">
        <v>799999.9992</v>
      </c>
      <c r="I937" s="28" t="n">
        <v>799999.9992</v>
      </c>
      <c r="J937" s="7" t="n">
        <v>800000</v>
      </c>
      <c r="K937" s="28" t="n">
        <f>J937-I937</f>
        <v>0.000800000037997961</v>
      </c>
      <c r="L937" s="2" t="str">
        <v>NHẬP</v>
      </c>
      <c r="M937" s="2" t="str"/>
      <c r="N937" s="2" t="str">
        <v>KHAC</v>
      </c>
    </row>
    <row r="938" ht="25" customHeight="1">
      <c r="A938" s="2" t="str">
        <v>Q983</v>
      </c>
      <c r="B938" s="2" t="str">
        <v>KH015</v>
      </c>
      <c r="C938" s="2" t="str">
        <v>KH015</v>
      </c>
      <c r="D938" s="2" t="str">
        <v>S2-00970-BH</v>
      </c>
      <c r="E938" s="2" t="str">
        <v>BAN_HANG</v>
      </c>
      <c r="F938" s="2" t="str">
        <v>INP6601</v>
      </c>
      <c r="G938" s="2" t="str">
        <v>2026-06-15</v>
      </c>
      <c r="H938" s="2" t="str">
        <v>1299999.996</v>
      </c>
      <c r="I938" s="28" t="n">
        <v>1299999.996</v>
      </c>
      <c r="J938" s="7" t="n">
        <v>1300000</v>
      </c>
      <c r="K938" s="28" t="n">
        <f>J938-I938</f>
        <v>0.003999999957159162</v>
      </c>
      <c r="L938" s="2" t="str">
        <v>NHẬP</v>
      </c>
      <c r="M938" s="2" t="str"/>
      <c r="N938" s="2" t="str">
        <v>KHAC</v>
      </c>
    </row>
    <row r="939" ht="25" customHeight="1">
      <c r="A939" s="2" t="str">
        <v>Q984</v>
      </c>
      <c r="B939" s="2" t="str">
        <v>KH015</v>
      </c>
      <c r="C939" s="2" t="str">
        <v>KH015</v>
      </c>
      <c r="D939" s="2" t="str">
        <v>S2-00970-BH</v>
      </c>
      <c r="E939" s="2" t="str">
        <v>BAN_HANG</v>
      </c>
      <c r="F939" s="2" t="str">
        <v>INP6602</v>
      </c>
      <c r="G939" s="2" t="str">
        <v>2026-06-15</v>
      </c>
      <c r="H939" s="2" t="str">
        <v>1469999.9988</v>
      </c>
      <c r="I939" s="28" t="n">
        <v>1469999.9988</v>
      </c>
      <c r="J939" s="7" t="n">
        <v>1470000</v>
      </c>
      <c r="K939" s="28" t="n">
        <f>J939-I939</f>
        <v>0.0012000000569969416</v>
      </c>
      <c r="L939" s="2" t="str">
        <v>NHẬP</v>
      </c>
      <c r="M939" s="2" t="str"/>
      <c r="N939" s="2" t="str">
        <v>KHAC</v>
      </c>
    </row>
    <row r="940" ht="25" customHeight="1">
      <c r="A940" s="2" t="str">
        <v>Q988</v>
      </c>
      <c r="B940" s="2" t="str">
        <v>KH015</v>
      </c>
      <c r="C940" s="2" t="str">
        <v>KH015</v>
      </c>
      <c r="D940" s="2" t="str">
        <v>S2-00988-BH</v>
      </c>
      <c r="E940" s="2" t="str">
        <v>BAN_HANG</v>
      </c>
      <c r="F940" s="2" t="str">
        <v>INP6802</v>
      </c>
      <c r="G940" s="2" t="str">
        <v>2026-06-15</v>
      </c>
      <c r="H940" s="2" t="str">
        <v>3320000.0064</v>
      </c>
      <c r="I940" s="28" t="n">
        <v>3320000.0064</v>
      </c>
      <c r="J940" s="7" t="n">
        <v>3320000</v>
      </c>
      <c r="K940" s="28" t="n">
        <f>J940-I940</f>
        <v>-0.006399999838322401</v>
      </c>
      <c r="L940" s="2" t="str">
        <v>NHẬP</v>
      </c>
      <c r="M940" s="2" t="str"/>
      <c r="N940" s="2" t="str">
        <v>KHAC</v>
      </c>
    </row>
    <row r="941" ht="25" customHeight="1">
      <c r="A941" s="2" t="str">
        <v>Q989</v>
      </c>
      <c r="B941" s="2" t="str">
        <v>KH015</v>
      </c>
      <c r="C941" s="2" t="str">
        <v>KH015</v>
      </c>
      <c r="D941" s="2" t="str">
        <v>S2-00989-BH</v>
      </c>
      <c r="E941" s="2" t="str">
        <v>BAN_HANG</v>
      </c>
      <c r="F941" s="2" t="str">
        <v>INP6601</v>
      </c>
      <c r="G941" s="2" t="str">
        <v>2026-06-17</v>
      </c>
      <c r="H941" s="2" t="str">
        <v>3899999.988</v>
      </c>
      <c r="I941" s="28" t="n">
        <v>3899999.988</v>
      </c>
      <c r="J941" s="7" t="n">
        <v>3900000</v>
      </c>
      <c r="K941" s="28" t="n">
        <f>J941-I941</f>
        <v>0.012000000104308128</v>
      </c>
      <c r="L941" s="2" t="str">
        <v>NHẬP</v>
      </c>
      <c r="M941" s="2" t="str"/>
      <c r="N941" s="2" t="str">
        <v>KHAC</v>
      </c>
    </row>
    <row r="942" ht="25" customHeight="1">
      <c r="A942" s="2" t="str">
        <v>Q990</v>
      </c>
      <c r="B942" s="2" t="str">
        <v>KH015</v>
      </c>
      <c r="C942" s="2" t="str">
        <v>KH015</v>
      </c>
      <c r="D942" s="2" t="str">
        <v>S2-00990-BH</v>
      </c>
      <c r="E942" s="2" t="str">
        <v>BAN_HANG</v>
      </c>
      <c r="F942" s="2" t="str">
        <v>INP6602</v>
      </c>
      <c r="G942" s="2" t="str">
        <v>2026-06-19</v>
      </c>
      <c r="H942" s="2" t="str">
        <v>4409999.9964</v>
      </c>
      <c r="I942" s="28" t="n">
        <v>4409999.9964</v>
      </c>
      <c r="J942" s="7" t="n">
        <v>4410000</v>
      </c>
      <c r="K942" s="28" t="n">
        <f>J942-I942</f>
        <v>0.0036000004038214684</v>
      </c>
      <c r="L942" s="2" t="str">
        <v>NHẬP</v>
      </c>
      <c r="M942" s="2" t="str"/>
      <c r="N942" s="2" t="str">
        <v>KHAC</v>
      </c>
    </row>
    <row r="943" ht="25" customHeight="1">
      <c r="A943" s="2" t="str">
        <v>Q991</v>
      </c>
      <c r="B943" s="2" t="str">
        <v>KH015</v>
      </c>
      <c r="C943" s="2" t="str">
        <v>KH015</v>
      </c>
      <c r="D943" s="2" t="str">
        <v>S2-00990-BH</v>
      </c>
      <c r="E943" s="2" t="str">
        <v>BAN_HANG</v>
      </c>
      <c r="F943" s="2" t="str">
        <v>INP6802</v>
      </c>
      <c r="G943" s="2" t="str">
        <v>2026-06-19</v>
      </c>
      <c r="H943" s="2" t="str">
        <v>4150000.008</v>
      </c>
      <c r="I943" s="28" t="n">
        <v>4150000.008</v>
      </c>
      <c r="J943" s="7" t="n">
        <v>4150000</v>
      </c>
      <c r="K943" s="28" t="n">
        <f>J943-I943</f>
        <v>-0.007999999914318323</v>
      </c>
      <c r="L943" s="2" t="str">
        <v>NHẬP</v>
      </c>
      <c r="M943" s="2" t="str"/>
      <c r="N943" s="2" t="str">
        <v>KHAC</v>
      </c>
    </row>
    <row r="944" ht="25" customHeight="1">
      <c r="A944" s="2" t="str">
        <v>Q992</v>
      </c>
      <c r="B944" s="2" t="str">
        <v>KH015</v>
      </c>
      <c r="C944" s="2" t="str">
        <v>KH015</v>
      </c>
      <c r="D944" s="2" t="str">
        <v>S2-00990-BH</v>
      </c>
      <c r="E944" s="2" t="str">
        <v>BAN_HANG</v>
      </c>
      <c r="F944" s="2" t="str">
        <v>INP6802</v>
      </c>
      <c r="G944" s="2" t="str">
        <v>2026-06-19</v>
      </c>
      <c r="H944" s="2" t="str">
        <v>16600000.032</v>
      </c>
      <c r="I944" s="28" t="n">
        <v>16600000.032</v>
      </c>
      <c r="J944" s="7" t="n">
        <v>16600000</v>
      </c>
      <c r="K944" s="28" t="n">
        <f>J944-I944</f>
        <v>-0.03199999965727329</v>
      </c>
      <c r="L944" s="2" t="str">
        <v>NHẬP</v>
      </c>
      <c r="M944" s="2" t="str"/>
      <c r="N944" s="2" t="str">
        <v>KHAC</v>
      </c>
    </row>
    <row r="945" ht="25" customHeight="1">
      <c r="A945" s="2" t="str">
        <v>Q993</v>
      </c>
      <c r="B945" s="2" t="str">
        <v>KH015</v>
      </c>
      <c r="C945" s="2" t="str">
        <v>KH015</v>
      </c>
      <c r="D945" s="2" t="str">
        <v>S2-00993-BH</v>
      </c>
      <c r="E945" s="2" t="str">
        <v>BAN_HANG</v>
      </c>
      <c r="F945" s="2" t="str">
        <v>INP6602</v>
      </c>
      <c r="G945" s="2" t="str">
        <v>22/06/2026</v>
      </c>
      <c r="H945" s="2" t="str">
        <v>10289999.9916</v>
      </c>
      <c r="I945" s="28" t="n">
        <v>10289999.9916</v>
      </c>
      <c r="J945" s="7" t="n">
        <v>10290000</v>
      </c>
      <c r="K945" s="28" t="n">
        <f>J945-I945</f>
        <v>0.008400000631809235</v>
      </c>
      <c r="L945" s="2" t="str">
        <v>NHẬP</v>
      </c>
      <c r="M945" s="2" t="str"/>
      <c r="N945" s="2" t="str">
        <v>KHAC</v>
      </c>
    </row>
    <row r="946" ht="25" customHeight="1">
      <c r="A946" s="2" t="str">
        <v>Q994</v>
      </c>
      <c r="B946" s="2" t="str">
        <v>KH015</v>
      </c>
      <c r="C946" s="2" t="str">
        <v>KH015</v>
      </c>
      <c r="D946" s="2" t="str">
        <v>S2-00994-BH</v>
      </c>
      <c r="E946" s="2" t="str">
        <v>BAN_HANG</v>
      </c>
      <c r="F946" s="2" t="str">
        <v>INP6601</v>
      </c>
      <c r="G946" s="2" t="str">
        <v>25/06/2026</v>
      </c>
      <c r="H946" s="2" t="str">
        <v>3899999.988</v>
      </c>
      <c r="I946" s="28" t="n">
        <v>3899999.988</v>
      </c>
      <c r="J946" s="7" t="n">
        <v>3900000</v>
      </c>
      <c r="K946" s="28" t="n">
        <f>J946-I946</f>
        <v>0.012000000104308128</v>
      </c>
      <c r="L946" s="2" t="str">
        <v>NHẬP</v>
      </c>
      <c r="M946" s="2" t="str"/>
      <c r="N946" s="2" t="str">
        <v>KHAC</v>
      </c>
    </row>
    <row r="947" ht="25" customHeight="1">
      <c r="A947" s="2" t="str">
        <v>Q995</v>
      </c>
      <c r="B947" s="2" t="str">
        <v>KH015</v>
      </c>
      <c r="C947" s="2" t="str">
        <v>KH015</v>
      </c>
      <c r="D947" s="2" t="str">
        <v>S2-00994-BH</v>
      </c>
      <c r="E947" s="2" t="str">
        <v>BAN_HANG</v>
      </c>
      <c r="F947" s="2" t="str">
        <v>INP6602</v>
      </c>
      <c r="G947" s="2" t="str">
        <v>25/06/2026</v>
      </c>
      <c r="H947" s="2" t="str">
        <v>4409999.9964</v>
      </c>
      <c r="I947" s="28" t="n">
        <v>4409999.9964</v>
      </c>
      <c r="J947" s="7" t="n">
        <v>4410000</v>
      </c>
      <c r="K947" s="28" t="n">
        <f>J947-I947</f>
        <v>0.0036000004038214684</v>
      </c>
      <c r="L947" s="2" t="str">
        <v>NHẬP</v>
      </c>
      <c r="M947" s="2" t="str"/>
      <c r="N947" s="2" t="str">
        <v>KHAC</v>
      </c>
    </row>
    <row r="948" ht="25" customHeight="1">
      <c r="A948" s="2" t="str">
        <v>Q996</v>
      </c>
      <c r="B948" s="2" t="str">
        <v>KH015</v>
      </c>
      <c r="C948" s="2" t="str">
        <v>KH015</v>
      </c>
      <c r="D948" s="2" t="str">
        <v>S2-00996-BH</v>
      </c>
      <c r="E948" s="2" t="str">
        <v>BAN_HANG</v>
      </c>
      <c r="F948" s="2" t="str">
        <v>INP3001</v>
      </c>
      <c r="G948" s="2" t="str">
        <v>2026-10-07</v>
      </c>
      <c r="H948" s="2" t="str">
        <v>3099999.978</v>
      </c>
      <c r="I948" s="28" t="n">
        <v>3099999.978</v>
      </c>
      <c r="J948" s="7" t="n">
        <v>3100000</v>
      </c>
      <c r="K948" s="28" t="n">
        <f>J948-I948</f>
        <v>0.02199999988079071</v>
      </c>
      <c r="L948" s="2" t="str">
        <v>NHẬP</v>
      </c>
      <c r="M948" s="2" t="str"/>
      <c r="N948" s="2" t="str">
        <v>KHAC</v>
      </c>
    </row>
    <row r="949" ht="25" customHeight="1">
      <c r="A949" s="2" t="str">
        <v>Q997</v>
      </c>
      <c r="B949" s="2" t="str">
        <v>KH015</v>
      </c>
      <c r="C949" s="2" t="str">
        <v>KH015</v>
      </c>
      <c r="D949" s="2" t="str">
        <v>S2-00996-BH</v>
      </c>
      <c r="E949" s="2" t="str">
        <v>BAN_HANG</v>
      </c>
      <c r="F949" s="2" t="str">
        <v>INP3002</v>
      </c>
      <c r="G949" s="2" t="str">
        <v>2026-10-07</v>
      </c>
      <c r="H949" s="2" t="str">
        <v>1140000.0048</v>
      </c>
      <c r="I949" s="28" t="n">
        <v>1140000.0048</v>
      </c>
      <c r="J949" s="7" t="n">
        <v>1140000</v>
      </c>
      <c r="K949" s="28" t="n">
        <f>J949-I949</f>
        <v>-0.004799999995157123</v>
      </c>
      <c r="L949" s="2" t="str">
        <v>NHẬP</v>
      </c>
      <c r="M949" s="2" t="str"/>
      <c r="N949" s="2" t="str">
        <v>KHAC</v>
      </c>
    </row>
    <row r="950" ht="25" customHeight="1">
      <c r="A950" s="2" t="str">
        <v>Q998</v>
      </c>
      <c r="B950" s="2" t="str">
        <v>KH015</v>
      </c>
      <c r="C950" s="2" t="str">
        <v>KH015</v>
      </c>
      <c r="D950" s="2" t="str">
        <v>S2-00996-BH</v>
      </c>
      <c r="E950" s="2" t="str">
        <v>BAN_HANG</v>
      </c>
      <c r="F950" s="2" t="str">
        <v>INP3003</v>
      </c>
      <c r="G950" s="2" t="str">
        <v>2026-10-07</v>
      </c>
      <c r="H950" s="2" t="str">
        <v>2320000.0128</v>
      </c>
      <c r="I950" s="28" t="n">
        <v>2320000.0128</v>
      </c>
      <c r="J950" s="7" t="n">
        <v>2320000</v>
      </c>
      <c r="K950" s="28" t="n">
        <f>J950-I950</f>
        <v>-0.01280000014230609</v>
      </c>
      <c r="L950" s="2" t="str">
        <v>NHẬP</v>
      </c>
      <c r="M950" s="2" t="str"/>
      <c r="N950" s="2" t="str">
        <v>KHAC</v>
      </c>
    </row>
    <row r="951" ht="25" customHeight="1">
      <c r="A951" s="2" t="str">
        <v>Q999</v>
      </c>
      <c r="B951" s="2" t="str">
        <v>KH015</v>
      </c>
      <c r="C951" s="2" t="str">
        <v>KH015</v>
      </c>
      <c r="D951" s="2" t="str">
        <v>S2-00996-BH</v>
      </c>
      <c r="E951" s="2" t="str">
        <v>BAN_HANG</v>
      </c>
      <c r="F951" s="2" t="str">
        <v>INP3004</v>
      </c>
      <c r="G951" s="2" t="str">
        <v>2026-10-07</v>
      </c>
      <c r="H951" s="2" t="str">
        <v>1600000.02</v>
      </c>
      <c r="I951" s="28" t="n">
        <v>1600000.02</v>
      </c>
      <c r="J951" s="7" t="n">
        <v>1600000</v>
      </c>
      <c r="K951" s="28" t="n">
        <f>J951-I951</f>
        <v>-0.02000000001862645</v>
      </c>
      <c r="L951" s="2" t="str">
        <v>NHẬP</v>
      </c>
      <c r="M951" s="2" t="str"/>
      <c r="N951" s="2" t="str">
        <v>KHAC</v>
      </c>
    </row>
    <row r="952" ht="25" customHeight="1">
      <c r="A952" s="2" t="str">
        <v>Q1000</v>
      </c>
      <c r="B952" s="2" t="str">
        <v>KH015</v>
      </c>
      <c r="C952" s="2" t="str">
        <v>KH015</v>
      </c>
      <c r="D952" s="2" t="str">
        <v>S2-00996-BH</v>
      </c>
      <c r="E952" s="2" t="str">
        <v>BAN_HANG</v>
      </c>
      <c r="F952" s="2" t="str">
        <v>INP3005</v>
      </c>
      <c r="G952" s="2" t="str">
        <v>2026-10-07</v>
      </c>
      <c r="H952" s="2" t="str">
        <v>3599999.964</v>
      </c>
      <c r="I952" s="28" t="n">
        <v>3599999.964</v>
      </c>
      <c r="J952" s="7" t="n">
        <v>3600000</v>
      </c>
      <c r="K952" s="28" t="n">
        <f>J952-I952</f>
        <v>0.0359999998472631</v>
      </c>
      <c r="L952" s="2" t="str">
        <v>NHẬP</v>
      </c>
      <c r="M952" s="2" t="str"/>
      <c r="N952" s="2" t="str">
        <v>KHAC</v>
      </c>
    </row>
    <row r="953" ht="25" customHeight="1">
      <c r="A953" s="2" t="str">
        <v>Q1001</v>
      </c>
      <c r="B953" s="2" t="str">
        <v>KH015</v>
      </c>
      <c r="C953" s="2" t="str">
        <v>KH015</v>
      </c>
      <c r="D953" s="2" t="str">
        <v>S2-00996-BH</v>
      </c>
      <c r="E953" s="2" t="str">
        <v>BAN_HANG</v>
      </c>
      <c r="F953" s="2" t="str">
        <v>INP3201</v>
      </c>
      <c r="G953" s="2" t="str">
        <v>2026-10-07</v>
      </c>
      <c r="H953" s="2" t="str">
        <v>1559999.9952</v>
      </c>
      <c r="I953" s="28" t="n">
        <v>1559999.9952</v>
      </c>
      <c r="J953" s="7" t="n">
        <v>1560000</v>
      </c>
      <c r="K953" s="28" t="n">
        <f>J953-I953</f>
        <v>0.004799999995157123</v>
      </c>
      <c r="L953" s="2" t="str">
        <v>NHẬP</v>
      </c>
      <c r="M953" s="2" t="str"/>
      <c r="N953" s="2" t="str">
        <v>KHAC</v>
      </c>
    </row>
    <row r="954" ht="25" customHeight="1">
      <c r="A954" s="2" t="str">
        <v>Q1002</v>
      </c>
      <c r="B954" s="2" t="str">
        <v>KH015</v>
      </c>
      <c r="C954" s="2" t="str">
        <v>KH015</v>
      </c>
      <c r="D954" s="2" t="str">
        <v>S2-01002-BH</v>
      </c>
      <c r="E954" s="2" t="str">
        <v>BAN_HANG</v>
      </c>
      <c r="F954" s="2" t="str">
        <v>INP3001</v>
      </c>
      <c r="G954" s="2" t="str">
        <v>13/7/2026</v>
      </c>
      <c r="H954" s="2" t="str">
        <v>2479999.9824</v>
      </c>
      <c r="I954" s="28" t="n">
        <v>2479999.9824</v>
      </c>
      <c r="J954" s="7" t="n">
        <v>2480000</v>
      </c>
      <c r="K954" s="28" t="n">
        <f>J954-I954</f>
        <v>0.01759999990463257</v>
      </c>
      <c r="L954" s="2" t="str">
        <v>NHẬP</v>
      </c>
      <c r="M954" s="2" t="str"/>
      <c r="N954" s="2" t="str">
        <v>KHAC</v>
      </c>
    </row>
    <row r="955" ht="25" customHeight="1">
      <c r="A955" s="2" t="str">
        <v>Q1003</v>
      </c>
      <c r="B955" s="2" t="str">
        <v>KH015</v>
      </c>
      <c r="C955" s="2" t="str">
        <v>KH015</v>
      </c>
      <c r="D955" s="2" t="str">
        <v>S2-01002-BH</v>
      </c>
      <c r="E955" s="2" t="str">
        <v>BAN_HANG</v>
      </c>
      <c r="F955" s="2" t="str">
        <v>INP3002</v>
      </c>
      <c r="G955" s="2" t="str">
        <v>13/7/2026</v>
      </c>
      <c r="H955" s="2" t="str">
        <v>1140000.0048</v>
      </c>
      <c r="I955" s="28" t="n">
        <v>1140000.0048</v>
      </c>
      <c r="J955" s="7" t="n">
        <v>1140000</v>
      </c>
      <c r="K955" s="28" t="n">
        <f>J955-I955</f>
        <v>-0.004799999995157123</v>
      </c>
      <c r="L955" s="2" t="str">
        <v>NHẬP</v>
      </c>
      <c r="M955" s="2" t="str"/>
      <c r="N955" s="2" t="str">
        <v>KHAC</v>
      </c>
    </row>
    <row r="956" ht="25" customHeight="1">
      <c r="A956" s="2" t="str">
        <v>Q1004</v>
      </c>
      <c r="B956" s="2" t="str">
        <v>KH015</v>
      </c>
      <c r="C956" s="2" t="str">
        <v>KH015</v>
      </c>
      <c r="D956" s="2" t="str">
        <v>S2-01002-BH</v>
      </c>
      <c r="E956" s="2" t="str">
        <v>BAN_HANG</v>
      </c>
      <c r="F956" s="2" t="str">
        <v>INP3003</v>
      </c>
      <c r="G956" s="2" t="str">
        <v>13/7/2026</v>
      </c>
      <c r="H956" s="2" t="str">
        <v>1160000.0064</v>
      </c>
      <c r="I956" s="28" t="n">
        <v>1160000.0064</v>
      </c>
      <c r="J956" s="7" t="n">
        <v>1160000</v>
      </c>
      <c r="K956" s="28" t="n">
        <f>J956-I956</f>
        <v>-0.006400000071153045</v>
      </c>
      <c r="L956" s="2" t="str">
        <v>NHẬP</v>
      </c>
      <c r="M956" s="2" t="str"/>
      <c r="N956" s="2" t="str">
        <v>KHAC</v>
      </c>
    </row>
    <row r="957" ht="25" customHeight="1">
      <c r="A957" s="2" t="str">
        <v>Q1005</v>
      </c>
      <c r="B957" s="2" t="str">
        <v>KH015</v>
      </c>
      <c r="C957" s="2" t="str">
        <v>KH015</v>
      </c>
      <c r="D957" s="2" t="str">
        <v>S2-01002-BH</v>
      </c>
      <c r="E957" s="2" t="str">
        <v>BAN_HANG</v>
      </c>
      <c r="F957" s="2" t="str">
        <v>INP3004</v>
      </c>
      <c r="G957" s="2" t="str">
        <v>13/7/2026</v>
      </c>
      <c r="H957" s="2" t="str">
        <v>640000.008</v>
      </c>
      <c r="I957" s="28" t="n">
        <v>640000.008</v>
      </c>
      <c r="J957" s="7" t="n">
        <v>640000</v>
      </c>
      <c r="K957" s="28" t="n">
        <f>J957-I957</f>
        <v>-0.008000000030733645</v>
      </c>
      <c r="L957" s="2" t="str">
        <v>NHẬP</v>
      </c>
      <c r="M957" s="2" t="str"/>
      <c r="N957" s="2" t="str">
        <v>KHAC</v>
      </c>
    </row>
    <row r="958" ht="25" customHeight="1">
      <c r="A958" s="2" t="str">
        <v>Q1006</v>
      </c>
      <c r="B958" s="2" t="str">
        <v>KH015</v>
      </c>
      <c r="C958" s="2" t="str">
        <v>KH015</v>
      </c>
      <c r="D958" s="2" t="str">
        <v>S2-01002-BH</v>
      </c>
      <c r="E958" s="2" t="str">
        <v>BAN_HANG</v>
      </c>
      <c r="F958" s="2" t="str">
        <v>INP3201</v>
      </c>
      <c r="G958" s="2" t="str">
        <v>13/7/2026</v>
      </c>
      <c r="H958" s="2" t="str">
        <v>1039999.9968</v>
      </c>
      <c r="I958" s="28" t="n">
        <v>1039999.9968</v>
      </c>
      <c r="J958" s="7" t="n">
        <v>1040000</v>
      </c>
      <c r="K958" s="28" t="n">
        <f>J958-I958</f>
        <v>0.0032000000355765224</v>
      </c>
      <c r="L958" s="2" t="str">
        <v>NHẬP</v>
      </c>
      <c r="M958" s="2" t="str"/>
      <c r="N958" s="2" t="str">
        <v>KHAC</v>
      </c>
    </row>
    <row r="959" ht="25" customHeight="1">
      <c r="A959" s="2" t="str">
        <v>Q1007</v>
      </c>
      <c r="B959" s="2" t="str">
        <v>KH015</v>
      </c>
      <c r="C959" s="2" t="str">
        <v>KH015</v>
      </c>
      <c r="D959" s="2" t="str">
        <v>S2-01002-BH</v>
      </c>
      <c r="E959" s="2" t="str">
        <v>BAN_HANG</v>
      </c>
      <c r="F959" s="2" t="str">
        <v>INP6602</v>
      </c>
      <c r="G959" s="2" t="str">
        <v>13/7/2026</v>
      </c>
      <c r="H959" s="2" t="str">
        <v>4409999.9964</v>
      </c>
      <c r="I959" s="28" t="n">
        <v>4409999.9964</v>
      </c>
      <c r="J959" s="7" t="n">
        <v>4410000</v>
      </c>
      <c r="K959" s="28" t="n">
        <f>J959-I959</f>
        <v>0.0036000004038214684</v>
      </c>
      <c r="L959" s="2" t="str">
        <v>NHẬP</v>
      </c>
      <c r="M959" s="2" t="str"/>
      <c r="N959" s="2" t="str">
        <v>KHAC</v>
      </c>
    </row>
    <row r="960" ht="25" customHeight="1">
      <c r="A960" s="2" t="str">
        <v>Q1008</v>
      </c>
      <c r="B960" s="2" t="str">
        <v>KH015</v>
      </c>
      <c r="C960" s="2" t="str">
        <v>KH015</v>
      </c>
      <c r="D960" s="2" t="str">
        <v>S2-01008-BH</v>
      </c>
      <c r="E960" s="2" t="str">
        <v>BAN_HANG</v>
      </c>
      <c r="F960" s="2" t="str">
        <v>INP6602</v>
      </c>
      <c r="G960" s="2" t="str">
        <v>21/7/2026</v>
      </c>
      <c r="H960" s="2" t="str">
        <v>4409999.9964</v>
      </c>
      <c r="I960" s="28" t="n">
        <v>4409999.9964</v>
      </c>
      <c r="J960" s="7" t="n">
        <v>4410000</v>
      </c>
      <c r="K960" s="28" t="n">
        <f>J960-I960</f>
        <v>0.0036000004038214684</v>
      </c>
      <c r="L960" s="2" t="str">
        <v>NHẬP</v>
      </c>
      <c r="M960" s="2" t="str"/>
      <c r="N960" s="2" t="str">
        <v>KHAC</v>
      </c>
    </row>
    <row r="961" ht="25" customHeight="1">
      <c r="A961" s="2" t="str">
        <v>Q1009</v>
      </c>
      <c r="B961" s="2" t="str">
        <v>KH015</v>
      </c>
      <c r="C961" s="2" t="str">
        <v>KH015</v>
      </c>
      <c r="D961" s="2" t="str">
        <v>S2-01008-BH</v>
      </c>
      <c r="E961" s="2" t="str">
        <v>BAN_HANG</v>
      </c>
      <c r="F961" s="2" t="str">
        <v>INP3003</v>
      </c>
      <c r="G961" s="2" t="str">
        <v>21/7/2026</v>
      </c>
      <c r="H961" s="2" t="str">
        <v>1160000.0064</v>
      </c>
      <c r="I961" s="28" t="n">
        <v>1160000.0064</v>
      </c>
      <c r="J961" s="7" t="n">
        <v>1160000</v>
      </c>
      <c r="K961" s="28" t="n">
        <f>J961-I961</f>
        <v>-0.006400000071153045</v>
      </c>
      <c r="L961" s="2" t="str">
        <v>NHẬP</v>
      </c>
      <c r="M961" s="2" t="str"/>
      <c r="N961" s="2" t="str">
        <v>KHAC</v>
      </c>
    </row>
    <row r="962" ht="25" customHeight="1">
      <c r="A962" s="2" t="str">
        <v>Q1010</v>
      </c>
      <c r="B962" s="2" t="str">
        <v>KH015</v>
      </c>
      <c r="C962" s="2" t="str">
        <v>KH015</v>
      </c>
      <c r="D962" s="2" t="str">
        <v>S2-01008-BH</v>
      </c>
      <c r="E962" s="2" t="str">
        <v>BAN_HANG</v>
      </c>
      <c r="F962" s="2" t="str">
        <v>INP3005</v>
      </c>
      <c r="G962" s="2" t="str">
        <v>21/7/2026</v>
      </c>
      <c r="H962" s="2" t="str">
        <v>719999.9928</v>
      </c>
      <c r="I962" s="28" t="n">
        <v>719999.9928</v>
      </c>
      <c r="J962" s="7" t="n">
        <v>720000</v>
      </c>
      <c r="K962" s="28" t="n">
        <f>J962-I962</f>
        <v>0.007199999992735684</v>
      </c>
      <c r="L962" s="2" t="str">
        <v>NHẬP</v>
      </c>
      <c r="M962" s="2" t="str"/>
      <c r="N962" s="2" t="str">
        <v>KHAC</v>
      </c>
    </row>
    <row r="963" ht="25" customHeight="1">
      <c r="A963" s="2" t="str">
        <v>R1011</v>
      </c>
      <c r="B963" s="2" t="str">
        <v>KH015</v>
      </c>
      <c r="C963" s="2" t="str">
        <v>KH015</v>
      </c>
      <c r="D963" s="2" t="str">
        <v>S2-01011-TT</v>
      </c>
      <c r="E963" s="2" t="str">
        <v>THU_TIEN</v>
      </c>
      <c r="F963" s="2" t="str"/>
      <c r="G963" s="2" t="str">
        <v>22/07/2026</v>
      </c>
      <c r="H963" s="2" t="str">
        <v>40000000</v>
      </c>
      <c r="I963" s="28" t="n">
        <v>40000000</v>
      </c>
      <c r="J963" s="7" t="n">
        <v>40000000</v>
      </c>
      <c r="K963" s="28" t="n">
        <f>J963-I963</f>
        <v>0</v>
      </c>
      <c r="L963" s="2" t="str">
        <v>NHẬP</v>
      </c>
      <c r="M963" s="2" t="str"/>
      <c r="N963" s="2" t="str">
        <v>KHAC</v>
      </c>
    </row>
    <row r="964" ht="25" customHeight="1">
      <c r="A964" s="2" t="str">
        <v>Q1012</v>
      </c>
      <c r="B964" s="2" t="str">
        <v>KH042</v>
      </c>
      <c r="C964" s="2" t="str">
        <v>KH042</v>
      </c>
      <c r="D964" s="2" t="str">
        <v>S2-01012-TH</v>
      </c>
      <c r="E964" s="2" t="str">
        <v>TRA_HANG</v>
      </c>
      <c r="F964" s="2" t="str">
        <v>INP6401</v>
      </c>
      <c r="G964" s="2" t="str">
        <v>2026-08-03</v>
      </c>
      <c r="H964" s="2" t="str">
        <v>55000000.08</v>
      </c>
      <c r="I964" s="28" t="n">
        <v>55000000.08</v>
      </c>
      <c r="J964" s="7" t="n">
        <v>55000000</v>
      </c>
      <c r="K964" s="28" t="n">
        <f>J964-I964</f>
        <v>-0.07999999821186066</v>
      </c>
      <c r="L964" s="2" t="str">
        <v>NHẬP</v>
      </c>
      <c r="M964" s="2" t="str"/>
      <c r="N964" s="2" t="str">
        <v>QUAT</v>
      </c>
    </row>
    <row r="965" ht="25" customHeight="1">
      <c r="A965" s="2" t="str">
        <v>Q1013</v>
      </c>
      <c r="B965" s="2" t="str">
        <v>KH068</v>
      </c>
      <c r="C965" s="2" t="str">
        <v>KH068</v>
      </c>
      <c r="D965" s="2" t="str">
        <v>S2-01013-BH</v>
      </c>
      <c r="E965" s="2" t="str">
        <v>BAN_HANG</v>
      </c>
      <c r="F965" s="2" t="str">
        <v>INP6401</v>
      </c>
      <c r="G965" s="2" t="str">
        <v>2026-08-03</v>
      </c>
      <c r="H965" s="2" t="str">
        <v>55000000.08</v>
      </c>
      <c r="I965" s="28" t="n">
        <v>55000000.08</v>
      </c>
      <c r="J965" s="7" t="n">
        <v>55000000</v>
      </c>
      <c r="K965" s="28" t="n">
        <f>J965-I965</f>
        <v>-0.07999999821186066</v>
      </c>
      <c r="L965" s="2" t="str">
        <v>NHẬP</v>
      </c>
      <c r="M965" s="2" t="str"/>
      <c r="N965" s="2" t="str">
        <v>QUAT</v>
      </c>
    </row>
    <row r="966" ht="25" customHeight="1">
      <c r="A966" s="2" t="str">
        <v>Q1014</v>
      </c>
      <c r="B966" s="2" t="str">
        <v>KH068</v>
      </c>
      <c r="C966" s="2" t="str">
        <v>KH068</v>
      </c>
      <c r="D966" s="2" t="str">
        <v>S2-01014-TH</v>
      </c>
      <c r="E966" s="2" t="str">
        <v>TRA_HANG</v>
      </c>
      <c r="F966" s="2" t="str">
        <v>INP6401</v>
      </c>
      <c r="G966" s="2" t="str">
        <v>2026-08-03</v>
      </c>
      <c r="H966" s="2" t="str">
        <v>77000000.112</v>
      </c>
      <c r="I966" s="28" t="n">
        <v>77000000.112</v>
      </c>
      <c r="J966" s="7" t="n">
        <v>77000000</v>
      </c>
      <c r="K966" s="28" t="n">
        <f>J966-I966</f>
        <v>-0.1120000034570694</v>
      </c>
      <c r="L966" s="2" t="str">
        <v>NHẬP</v>
      </c>
      <c r="M966" s="2" t="str"/>
      <c r="N966" s="2" t="str">
        <v>QUAT</v>
      </c>
    </row>
    <row r="967" ht="25" customHeight="1">
      <c r="A967" s="2" t="str">
        <v>Q1015</v>
      </c>
      <c r="B967" s="2" t="str">
        <v>KH068</v>
      </c>
      <c r="C967" s="2" t="str">
        <v>KH068</v>
      </c>
      <c r="D967" s="2" t="str">
        <v>S2-01015-BH</v>
      </c>
      <c r="E967" s="2" t="str">
        <v>BAN_HANG</v>
      </c>
      <c r="F967" s="2" t="str">
        <v>INP6004</v>
      </c>
      <c r="G967" s="2" t="str">
        <v>2026-08-03</v>
      </c>
      <c r="H967" s="2" t="str">
        <v>17579999.916</v>
      </c>
      <c r="I967" s="28" t="n">
        <v>17579999.916</v>
      </c>
      <c r="J967" s="7" t="n">
        <v>17580000</v>
      </c>
      <c r="K967" s="28" t="n">
        <f>J967-I967</f>
        <v>0.08399999886751175</v>
      </c>
      <c r="L967" s="2" t="str">
        <v>NHẬP</v>
      </c>
      <c r="M967" s="2" t="str"/>
      <c r="N967" s="2" t="str">
        <v>KHAC</v>
      </c>
    </row>
    <row r="968" ht="25" customHeight="1">
      <c r="A968" s="2" t="str">
        <v>Q1016</v>
      </c>
      <c r="B968" s="2" t="str">
        <v>KH068</v>
      </c>
      <c r="C968" s="2" t="str">
        <v>KH068</v>
      </c>
      <c r="D968" s="2" t="str">
        <v>S2-01015-BH</v>
      </c>
      <c r="E968" s="2" t="str">
        <v>BAN_HANG</v>
      </c>
      <c r="F968" s="2" t="str">
        <v>INP6005</v>
      </c>
      <c r="G968" s="2" t="str">
        <v>2026-08-03</v>
      </c>
      <c r="H968" s="2" t="str">
        <v>10439999.928</v>
      </c>
      <c r="I968" s="28" t="n">
        <v>10439999.928</v>
      </c>
      <c r="J968" s="7" t="n">
        <v>10440000</v>
      </c>
      <c r="K968" s="28" t="n">
        <f>J968-I968</f>
        <v>0.07200000062584877</v>
      </c>
      <c r="L968" s="2" t="str">
        <v>NHẬP</v>
      </c>
      <c r="M968" s="2" t="str"/>
      <c r="N968" s="2" t="str">
        <v>KHAC</v>
      </c>
    </row>
    <row r="969" ht="25" customHeight="1">
      <c r="A969" s="2" t="str">
        <v>Q1017</v>
      </c>
      <c r="B969" s="2" t="str">
        <v>KH068</v>
      </c>
      <c r="C969" s="2" t="str">
        <v>KH068</v>
      </c>
      <c r="D969" s="2" t="str">
        <v>S2-01015-BH</v>
      </c>
      <c r="E969" s="2" t="str">
        <v>BAN_HANG</v>
      </c>
      <c r="F969" s="2" t="str">
        <v>INP6006</v>
      </c>
      <c r="G969" s="2" t="str">
        <v>2026-08-03</v>
      </c>
      <c r="H969" s="2" t="str">
        <v>17099999.748</v>
      </c>
      <c r="I969" s="28" t="n">
        <v>17099999.748</v>
      </c>
      <c r="J969" s="7" t="n">
        <v>17100000</v>
      </c>
      <c r="K969" s="28" t="n">
        <f>J969-I969</f>
        <v>0.25200000032782555</v>
      </c>
      <c r="L969" s="2" t="str">
        <v>NHẬP</v>
      </c>
      <c r="M969" s="2" t="str"/>
      <c r="N969" s="2" t="str">
        <v>KHAC</v>
      </c>
    </row>
    <row r="970" ht="25" customHeight="1">
      <c r="A970" s="2" t="str">
        <v>Q1018</v>
      </c>
      <c r="B970" s="2" t="str">
        <v>KH068</v>
      </c>
      <c r="C970" s="2" t="str">
        <v>KH068</v>
      </c>
      <c r="D970" s="2" t="str">
        <v>S2-01015-BH</v>
      </c>
      <c r="E970" s="2" t="str">
        <v>BAN_HANG</v>
      </c>
      <c r="F970" s="2" t="str">
        <v>INP6007</v>
      </c>
      <c r="G970" s="2" t="str">
        <v>2026-08-03</v>
      </c>
      <c r="H970" s="2" t="str">
        <v>10200000.006</v>
      </c>
      <c r="I970" s="28" t="n">
        <v>10200000.006</v>
      </c>
      <c r="J970" s="7" t="n">
        <v>10200000</v>
      </c>
      <c r="K970" s="28" t="n">
        <f>J970-I970</f>
        <v>-0.0059999991208314896</v>
      </c>
      <c r="L970" s="2" t="str">
        <v>NHẬP</v>
      </c>
      <c r="M970" s="2" t="str"/>
      <c r="N970" s="2" t="str">
        <v>KHAC</v>
      </c>
    </row>
    <row r="971" ht="25" customHeight="1">
      <c r="A971" s="2" t="str">
        <v>Q1019</v>
      </c>
      <c r="B971" s="2" t="str">
        <v>KH068</v>
      </c>
      <c r="C971" s="2" t="str">
        <v>KH068</v>
      </c>
      <c r="D971" s="2" t="str">
        <v>S2-01015-BH</v>
      </c>
      <c r="E971" s="2" t="str">
        <v>BAN_HANG</v>
      </c>
      <c r="F971" s="2" t="str">
        <v>INP6012</v>
      </c>
      <c r="G971" s="2" t="str">
        <v>2026-08-03</v>
      </c>
      <c r="H971" s="2" t="str">
        <v>2599999.992</v>
      </c>
      <c r="I971" s="28" t="n">
        <v>2599999.992</v>
      </c>
      <c r="J971" s="7" t="n">
        <v>2600000</v>
      </c>
      <c r="K971" s="28" t="n">
        <f>J971-I971</f>
        <v>0.007999999914318323</v>
      </c>
      <c r="L971" s="2" t="str">
        <v>NHẬP</v>
      </c>
      <c r="M971" s="2" t="str"/>
      <c r="N971" s="2" t="str">
        <v>KHAC</v>
      </c>
    </row>
    <row r="972" ht="25" customHeight="1">
      <c r="A972" s="2" t="str">
        <v>Q1020</v>
      </c>
      <c r="B972" s="2" t="str">
        <v>KH068</v>
      </c>
      <c r="C972" s="2" t="str">
        <v>KH068</v>
      </c>
      <c r="D972" s="2" t="str">
        <v>S2-01015-BH</v>
      </c>
      <c r="E972" s="2" t="str">
        <v>BAN_HANG</v>
      </c>
      <c r="F972" s="2" t="str">
        <v>INP6008</v>
      </c>
      <c r="G972" s="2" t="str">
        <v>2026-08-03</v>
      </c>
      <c r="H972" s="2" t="str">
        <v>18599999.868</v>
      </c>
      <c r="I972" s="28" t="n">
        <v>18599999.868</v>
      </c>
      <c r="J972" s="7" t="n">
        <v>18600000</v>
      </c>
      <c r="K972" s="28" t="n">
        <f>J972-I972</f>
        <v>0.13199999928474426</v>
      </c>
      <c r="L972" s="2" t="str">
        <v>NHẬP</v>
      </c>
      <c r="M972" s="2" t="str"/>
      <c r="N972" s="2" t="str">
        <v>KHAC</v>
      </c>
    </row>
    <row r="973" ht="25" customHeight="1">
      <c r="A973" s="2" t="str">
        <v>Q1021</v>
      </c>
      <c r="B973" s="2" t="str">
        <v>KH068</v>
      </c>
      <c r="C973" s="2" t="str">
        <v>KH068</v>
      </c>
      <c r="D973" s="2" t="str">
        <v>S2-01015-BH</v>
      </c>
      <c r="E973" s="2" t="str">
        <v>BAN_HANG</v>
      </c>
      <c r="F973" s="2" t="str">
        <v>INP6009</v>
      </c>
      <c r="G973" s="2" t="str">
        <v>2026-08-03</v>
      </c>
      <c r="H973" s="2" t="str">
        <v>11249999.928</v>
      </c>
      <c r="I973" s="28" t="n">
        <v>11249999.928</v>
      </c>
      <c r="J973" s="7" t="n">
        <v>11250000</v>
      </c>
      <c r="K973" s="28" t="n">
        <f>J973-I973</f>
        <v>0.07200000062584877</v>
      </c>
      <c r="L973" s="2" t="str">
        <v>NHẬP</v>
      </c>
      <c r="M973" s="2" t="str"/>
      <c r="N973" s="2" t="str">
        <v>KHAC</v>
      </c>
    </row>
    <row r="974" ht="25" customHeight="1">
      <c r="A974" s="2" t="str">
        <v>Q1022</v>
      </c>
      <c r="B974" s="2" t="str">
        <v>KH068</v>
      </c>
      <c r="C974" s="2" t="str">
        <v>KH068</v>
      </c>
      <c r="D974" s="2" t="str">
        <v>S2-01022-BH</v>
      </c>
      <c r="E974" s="2" t="str">
        <v>BAN_HANG</v>
      </c>
      <c r="F974" s="2" t="str">
        <v>INP6010</v>
      </c>
      <c r="G974" s="2" t="str">
        <v>2026-08-03</v>
      </c>
      <c r="H974" s="2" t="str">
        <v>15599999.952</v>
      </c>
      <c r="I974" s="28" t="n">
        <v>15599999.952</v>
      </c>
      <c r="J974" s="7" t="n">
        <v>15600000</v>
      </c>
      <c r="K974" s="28" t="n">
        <f>J974-I974</f>
        <v>0.04800000041723251</v>
      </c>
      <c r="L974" s="2" t="str">
        <v>NHẬP</v>
      </c>
      <c r="M974" s="2" t="str"/>
      <c r="N974" s="2" t="str">
        <v>KHAC</v>
      </c>
    </row>
    <row r="975" ht="25" customHeight="1">
      <c r="A975" s="2" t="str">
        <v>Q1023</v>
      </c>
      <c r="B975" s="2" t="str">
        <v>KH068</v>
      </c>
      <c r="C975" s="2" t="str">
        <v>KH068</v>
      </c>
      <c r="D975" s="2" t="str">
        <v>S2-01015-BH</v>
      </c>
      <c r="E975" s="2" t="str">
        <v>BAN_HANG</v>
      </c>
      <c r="F975" s="2" t="str">
        <v>INP6011</v>
      </c>
      <c r="G975" s="2" t="str">
        <v>2026-08-03</v>
      </c>
      <c r="H975" s="2" t="str">
        <v>9299999.934</v>
      </c>
      <c r="I975" s="28" t="n">
        <v>9299999.934</v>
      </c>
      <c r="J975" s="7" t="n">
        <v>9300000</v>
      </c>
      <c r="K975" s="28" t="n">
        <f>J975-I975</f>
        <v>0.06599999964237213</v>
      </c>
      <c r="L975" s="2" t="str">
        <v>NHẬP</v>
      </c>
      <c r="M975" s="2" t="str"/>
      <c r="N975" s="2" t="str">
        <v>KHAC</v>
      </c>
    </row>
    <row r="976" ht="25" customHeight="1">
      <c r="A976" s="2" t="str">
        <v>Q1032</v>
      </c>
      <c r="B976" s="2" t="str">
        <v>KH068</v>
      </c>
      <c r="C976" s="2" t="str">
        <v>KH068</v>
      </c>
      <c r="D976" s="2" t="str">
        <v>S2-01022-BH</v>
      </c>
      <c r="E976" s="2" t="str">
        <v>BAN_HANG</v>
      </c>
      <c r="F976" s="2" t="str">
        <v>INP6403</v>
      </c>
      <c r="G976" s="2" t="str">
        <v>2026-08-03</v>
      </c>
      <c r="H976" s="2" t="str">
        <v>11249999.928</v>
      </c>
      <c r="I976" s="28" t="n">
        <v>11249999.928</v>
      </c>
      <c r="J976" s="7" t="n">
        <v>11250000</v>
      </c>
      <c r="K976" s="28" t="n">
        <f>J976-I976</f>
        <v>0.07200000062584877</v>
      </c>
      <c r="L976" s="2" t="str">
        <v>NHẬP</v>
      </c>
      <c r="M976" s="2" t="str"/>
      <c r="N976" s="2" t="str">
        <v>QUAT</v>
      </c>
    </row>
    <row r="977" ht="25" customHeight="1">
      <c r="A977" s="2" t="str">
        <v>Q1033</v>
      </c>
      <c r="B977" s="2" t="str">
        <v>KH024</v>
      </c>
      <c r="C977" s="2" t="str">
        <v>KH024</v>
      </c>
      <c r="D977" s="2" t="str">
        <v>S2-01033-BH</v>
      </c>
      <c r="E977" s="2" t="str">
        <v>BAN_HANG</v>
      </c>
      <c r="F977" s="2" t="str">
        <v>INP6006</v>
      </c>
      <c r="G977" s="2" t="str">
        <v>2026-08-04</v>
      </c>
      <c r="H977" s="2" t="str">
        <v>13110000.0552</v>
      </c>
      <c r="I977" s="28" t="n">
        <v>13110000.0552</v>
      </c>
      <c r="J977" s="7" t="n">
        <v>13110000</v>
      </c>
      <c r="K977" s="28" t="n">
        <f>J977-I977</f>
        <v>-0.0551999993622303</v>
      </c>
      <c r="L977" s="2" t="str">
        <v>NHẬP</v>
      </c>
      <c r="M977" s="2" t="str"/>
      <c r="N977" s="2" t="str">
        <v>KHAC</v>
      </c>
    </row>
    <row r="978" ht="25" customHeight="1">
      <c r="A978" s="2" t="str">
        <v>Q1034</v>
      </c>
      <c r="B978" s="2" t="str">
        <v>KH024</v>
      </c>
      <c r="C978" s="2" t="str">
        <v>KH024</v>
      </c>
      <c r="D978" s="2" t="str">
        <v>S2-01034-BH</v>
      </c>
      <c r="E978" s="2" t="str">
        <v>BAN_HANG</v>
      </c>
      <c r="F978" s="2" t="str">
        <v>INP6007</v>
      </c>
      <c r="G978" s="2" t="str">
        <v>2026-08-04</v>
      </c>
      <c r="H978" s="2" t="str">
        <v>14960000.0088</v>
      </c>
      <c r="I978" s="28" t="n">
        <v>14960000.0088</v>
      </c>
      <c r="J978" s="7" t="n">
        <v>14960000</v>
      </c>
      <c r="K978" s="28" t="n">
        <f>J978-I978</f>
        <v>-0.008799999952316284</v>
      </c>
      <c r="L978" s="2" t="str">
        <v>NHẬP</v>
      </c>
      <c r="M978" s="2" t="str"/>
      <c r="N978" s="2" t="str">
        <v>KHAC</v>
      </c>
    </row>
    <row r="979" ht="25" customHeight="1">
      <c r="A979" s="2" t="str">
        <v>Q1035</v>
      </c>
      <c r="B979" s="2" t="str">
        <v>KH024</v>
      </c>
      <c r="C979" s="2" t="str">
        <v>KH024</v>
      </c>
      <c r="D979" s="2" t="str">
        <v>S2-01034-BH</v>
      </c>
      <c r="E979" s="2" t="str">
        <v>BAN_HANG</v>
      </c>
      <c r="F979" s="2" t="str">
        <v>INP6902</v>
      </c>
      <c r="G979" s="2" t="str">
        <v>2026-08-04</v>
      </c>
      <c r="H979" s="2" t="str">
        <v>10559999.9376</v>
      </c>
      <c r="I979" s="28" t="n">
        <v>10559999.9376</v>
      </c>
      <c r="J979" s="7" t="n">
        <v>10560000</v>
      </c>
      <c r="K979" s="28" t="n">
        <f>J979-I979</f>
        <v>0.06240000016987324</v>
      </c>
      <c r="L979" s="2" t="str">
        <v>NHẬP</v>
      </c>
      <c r="M979" s="2" t="str"/>
      <c r="N979" s="2" t="str">
        <v>KHAC</v>
      </c>
    </row>
    <row r="980" ht="25" customHeight="1">
      <c r="A980" s="2" t="str">
        <v>Q1036</v>
      </c>
      <c r="B980" s="2" t="str">
        <v>KH024</v>
      </c>
      <c r="C980" s="2" t="str">
        <v>KH024</v>
      </c>
      <c r="D980" s="2" t="str">
        <v>S2-01034-BH</v>
      </c>
      <c r="E980" s="2" t="str">
        <v>BAN_HANG</v>
      </c>
      <c r="F980" s="2" t="str">
        <v>INP6105</v>
      </c>
      <c r="G980" s="2" t="str">
        <v>2026-08-04</v>
      </c>
      <c r="H980" s="2" t="str">
        <v>4380000.0264</v>
      </c>
      <c r="I980" s="28" t="n">
        <v>4380000.0264</v>
      </c>
      <c r="J980" s="7" t="n">
        <v>4380000</v>
      </c>
      <c r="K980" s="28" t="n">
        <f>J980-I980</f>
        <v>-0.026399999856948853</v>
      </c>
      <c r="L980" s="2" t="str">
        <v>NHẬP</v>
      </c>
      <c r="M980" s="2" t="str"/>
      <c r="N980" s="2" t="str">
        <v>KHAC</v>
      </c>
    </row>
    <row r="981" ht="25" customHeight="1">
      <c r="A981" s="2" t="str">
        <v>Q1040</v>
      </c>
      <c r="B981" s="2" t="str">
        <v>KH066</v>
      </c>
      <c r="C981" s="2" t="str">
        <v>KH066</v>
      </c>
      <c r="D981" s="2" t="str">
        <v>S2-01040-BH</v>
      </c>
      <c r="E981" s="2" t="str">
        <v>BAN_HANG</v>
      </c>
      <c r="F981" s="2" t="str">
        <v>INP6004</v>
      </c>
      <c r="G981" s="2" t="str">
        <v>2026-08-04</v>
      </c>
      <c r="H981" s="2" t="str">
        <v>8789999.958</v>
      </c>
      <c r="I981" s="28" t="n">
        <v>8789999.958</v>
      </c>
      <c r="J981" s="7" t="n">
        <v>8790000</v>
      </c>
      <c r="K981" s="28" t="n">
        <f>J981-I981</f>
        <v>0.041999999433755875</v>
      </c>
      <c r="L981" s="2" t="str">
        <v>NHẬP</v>
      </c>
      <c r="M981" s="2" t="str"/>
      <c r="N981" s="2" t="str">
        <v>KHAC</v>
      </c>
    </row>
    <row r="982" ht="25" customHeight="1">
      <c r="A982" s="2" t="str">
        <v>Q1041</v>
      </c>
      <c r="B982" s="2" t="str">
        <v>KH066</v>
      </c>
      <c r="C982" s="2" t="str">
        <v>KH066</v>
      </c>
      <c r="D982" s="2" t="str">
        <v>S2-01040-BH</v>
      </c>
      <c r="E982" s="2" t="str">
        <v>BAN_HANG</v>
      </c>
      <c r="F982" s="2" t="str">
        <v>INP6005</v>
      </c>
      <c r="G982" s="2" t="str">
        <v>2026-08-04</v>
      </c>
      <c r="H982" s="2" t="str">
        <v>10439999.928</v>
      </c>
      <c r="I982" s="28" t="n">
        <v>10439999.928</v>
      </c>
      <c r="J982" s="7" t="n">
        <v>10440000</v>
      </c>
      <c r="K982" s="28" t="n">
        <f>J982-I982</f>
        <v>0.07200000062584877</v>
      </c>
      <c r="L982" s="2" t="str">
        <v>NHẬP</v>
      </c>
      <c r="M982" s="2" t="str"/>
      <c r="N982" s="2" t="str">
        <v>KHAC</v>
      </c>
    </row>
    <row r="983" ht="25" customHeight="1">
      <c r="A983" s="2" t="str">
        <v>Q1042</v>
      </c>
      <c r="B983" s="2" t="str">
        <v>KH066</v>
      </c>
      <c r="C983" s="2" t="str">
        <v>KH066</v>
      </c>
      <c r="D983" s="2" t="str">
        <v>S2-01042-BH</v>
      </c>
      <c r="E983" s="2" t="str">
        <v>BAN_HANG</v>
      </c>
      <c r="F983" s="2" t="str">
        <v>INP6006</v>
      </c>
      <c r="G983" s="2" t="str">
        <v>2026-08-04</v>
      </c>
      <c r="H983" s="2" t="str">
        <v>8549999.874</v>
      </c>
      <c r="I983" s="28" t="n">
        <v>8549999.874</v>
      </c>
      <c r="J983" s="7" t="n">
        <v>8550000</v>
      </c>
      <c r="K983" s="28" t="n">
        <f>J983-I983</f>
        <v>0.12600000016391277</v>
      </c>
      <c r="L983" s="2" t="str">
        <v>NHẬP</v>
      </c>
      <c r="M983" s="2" t="str"/>
      <c r="N983" s="2" t="str">
        <v>KHAC</v>
      </c>
    </row>
    <row r="984" ht="25" customHeight="1">
      <c r="A984" s="2" t="str">
        <v>Q1043</v>
      </c>
      <c r="B984" s="2" t="str">
        <v>KH066</v>
      </c>
      <c r="C984" s="2" t="str">
        <v>KH066</v>
      </c>
      <c r="D984" s="2" t="str">
        <v>S2-01042-BH</v>
      </c>
      <c r="E984" s="2" t="str">
        <v>BAN_HANG</v>
      </c>
      <c r="F984" s="2" t="str">
        <v>INP6007</v>
      </c>
      <c r="G984" s="2" t="str">
        <v>2026-08-04</v>
      </c>
      <c r="H984" s="2" t="str">
        <v>10200000.006</v>
      </c>
      <c r="I984" s="28" t="n">
        <v>10200000.006</v>
      </c>
      <c r="J984" s="7" t="n">
        <v>10200000</v>
      </c>
      <c r="K984" s="28" t="n">
        <f>J984-I984</f>
        <v>-0.0059999991208314896</v>
      </c>
      <c r="L984" s="2" t="str">
        <v>NHẬP</v>
      </c>
      <c r="M984" s="2" t="str"/>
      <c r="N984" s="2" t="str">
        <v>KHAC</v>
      </c>
    </row>
    <row r="985" ht="25" customHeight="1">
      <c r="A985" s="2" t="str">
        <v>Q1044</v>
      </c>
      <c r="B985" s="2" t="str">
        <v>KH066</v>
      </c>
      <c r="C985" s="2" t="str">
        <v>KH066</v>
      </c>
      <c r="D985" s="2" t="str">
        <v>S2-01042-BH</v>
      </c>
      <c r="E985" s="2" t="str">
        <v>BAN_HANG</v>
      </c>
      <c r="F985" s="2" t="str">
        <v>INP6008</v>
      </c>
      <c r="G985" s="2" t="str">
        <v>2026-08-04</v>
      </c>
      <c r="H985" s="2" t="str">
        <v>9299999.934</v>
      </c>
      <c r="I985" s="28" t="n">
        <v>9299999.934</v>
      </c>
      <c r="J985" s="7" t="n">
        <v>9300000</v>
      </c>
      <c r="K985" s="28" t="n">
        <f>J985-I985</f>
        <v>0.06599999964237213</v>
      </c>
      <c r="L985" s="2" t="str">
        <v>NHẬP</v>
      </c>
      <c r="M985" s="2" t="str"/>
      <c r="N985" s="2" t="str">
        <v>KHAC</v>
      </c>
    </row>
    <row r="986" ht="25" customHeight="1">
      <c r="A986" s="2" t="str">
        <v>Q1045</v>
      </c>
      <c r="B986" s="2" t="str">
        <v>KH066</v>
      </c>
      <c r="C986" s="2" t="str">
        <v>KH066</v>
      </c>
      <c r="D986" s="2" t="str">
        <v>S2-01042-BH</v>
      </c>
      <c r="E986" s="2" t="str">
        <v>BAN_HANG</v>
      </c>
      <c r="F986" s="2" t="str">
        <v>INP6009</v>
      </c>
      <c r="G986" s="2" t="str">
        <v>2026-08-04</v>
      </c>
      <c r="H986" s="2" t="str">
        <v>11249999.928</v>
      </c>
      <c r="I986" s="28" t="n">
        <v>11249999.928</v>
      </c>
      <c r="J986" s="7" t="n">
        <v>11250000</v>
      </c>
      <c r="K986" s="28" t="n">
        <f>J986-I986</f>
        <v>0.07200000062584877</v>
      </c>
      <c r="L986" s="2" t="str">
        <v>NHẬP</v>
      </c>
      <c r="M986" s="2" t="str"/>
      <c r="N986" s="2" t="str">
        <v>KHAC</v>
      </c>
    </row>
    <row r="987" ht="25" customHeight="1">
      <c r="A987" s="2" t="str">
        <v>Q1046</v>
      </c>
      <c r="B987" s="2" t="str">
        <v>KH066</v>
      </c>
      <c r="C987" s="2" t="str">
        <v>KH066</v>
      </c>
      <c r="D987" s="2" t="str">
        <v>S2-01042-BH</v>
      </c>
      <c r="E987" s="2" t="str">
        <v>BAN_HANG</v>
      </c>
      <c r="F987" s="2" t="str">
        <v>INP6010</v>
      </c>
      <c r="G987" s="2" t="str">
        <v>2026-08-04</v>
      </c>
      <c r="H987" s="2" t="str">
        <v>7799999.976</v>
      </c>
      <c r="I987" s="28" t="n">
        <v>7799999.976</v>
      </c>
      <c r="J987" s="7" t="n">
        <v>7800000</v>
      </c>
      <c r="K987" s="28" t="n">
        <f>J987-I987</f>
        <v>0.024000000208616257</v>
      </c>
      <c r="L987" s="2" t="str">
        <v>NHẬP</v>
      </c>
      <c r="M987" s="2" t="str"/>
      <c r="N987" s="2" t="str">
        <v>KHAC</v>
      </c>
    </row>
    <row r="988" ht="25" customHeight="1">
      <c r="A988" s="2" t="str">
        <v>Q1047</v>
      </c>
      <c r="B988" s="2" t="str">
        <v>KH066</v>
      </c>
      <c r="C988" s="2" t="str">
        <v>KH066</v>
      </c>
      <c r="D988" s="2" t="str">
        <v>S2-01042-BH</v>
      </c>
      <c r="E988" s="2" t="str">
        <v>BAN_HANG</v>
      </c>
      <c r="F988" s="2" t="str">
        <v>INP6011</v>
      </c>
      <c r="G988" s="2" t="str">
        <v>2026-08-04</v>
      </c>
      <c r="H988" s="2" t="str">
        <v>9299999.934</v>
      </c>
      <c r="I988" s="28" t="n">
        <v>9299999.934</v>
      </c>
      <c r="J988" s="7" t="n">
        <v>9300000</v>
      </c>
      <c r="K988" s="28" t="n">
        <f>J988-I988</f>
        <v>0.06599999964237213</v>
      </c>
      <c r="L988" s="2" t="str">
        <v>NHẬP</v>
      </c>
      <c r="M988" s="2" t="str"/>
      <c r="N988" s="2" t="str">
        <v>KHAC</v>
      </c>
    </row>
    <row r="989" ht="25" customHeight="1">
      <c r="A989" s="2" t="str">
        <v>Q1048</v>
      </c>
      <c r="B989" s="2" t="str">
        <v>KH066</v>
      </c>
      <c r="C989" s="2" t="str">
        <v>KH066</v>
      </c>
      <c r="D989" s="2" t="str">
        <v>S2-01048-BH</v>
      </c>
      <c r="E989" s="2" t="str">
        <v>BAN_HANG</v>
      </c>
      <c r="F989" s="2" t="str">
        <v>INP6902</v>
      </c>
      <c r="G989" s="2" t="str">
        <v>2026-08-04</v>
      </c>
      <c r="H989" s="2" t="str">
        <v>26399999.844</v>
      </c>
      <c r="I989" s="28" t="n">
        <v>26399999.844</v>
      </c>
      <c r="J989" s="7" t="n">
        <v>26400000</v>
      </c>
      <c r="K989" s="28" t="n">
        <f>J989-I989</f>
        <v>0.15599999949336052</v>
      </c>
      <c r="L989" s="2" t="str">
        <v>NHẬP</v>
      </c>
      <c r="M989" s="2" t="str"/>
      <c r="N989" s="2" t="str">
        <v>KHAC</v>
      </c>
    </row>
    <row r="990" ht="25" customHeight="1">
      <c r="A990" s="2" t="str">
        <v>Q1057</v>
      </c>
      <c r="B990" s="2" t="str">
        <v>KH066</v>
      </c>
      <c r="C990" s="2" t="str">
        <v>KH066</v>
      </c>
      <c r="D990" s="2" t="str">
        <v>S2-01057-BH</v>
      </c>
      <c r="E990" s="2" t="str">
        <v>BAN_HANG</v>
      </c>
      <c r="F990" s="2" t="str">
        <v>INP6012</v>
      </c>
      <c r="G990" s="2" t="str">
        <v>2026-08-04</v>
      </c>
      <c r="H990" s="2" t="str">
        <v>2599999.992</v>
      </c>
      <c r="I990" s="28" t="n">
        <v>2599999.992</v>
      </c>
      <c r="J990" s="7" t="n">
        <v>2600000</v>
      </c>
      <c r="K990" s="28" t="n">
        <f>J990-I990</f>
        <v>0.007999999914318323</v>
      </c>
      <c r="L990" s="2" t="str">
        <v>NHẬP</v>
      </c>
      <c r="M990" s="2" t="str"/>
      <c r="N990" s="2" t="str">
        <v>KHAC</v>
      </c>
    </row>
    <row r="991" ht="25" customHeight="1">
      <c r="A991" s="2" t="str">
        <v>Q1058</v>
      </c>
      <c r="B991" s="2" t="str">
        <v>KH007</v>
      </c>
      <c r="C991" s="2" t="str">
        <v>KH007</v>
      </c>
      <c r="D991" s="2" t="str">
        <v>S2-01058-BH</v>
      </c>
      <c r="E991" s="2" t="str">
        <v>BAN_HANG</v>
      </c>
      <c r="F991" s="2" t="str">
        <v>INP6403</v>
      </c>
      <c r="G991" s="2" t="str">
        <v>2026-08-04</v>
      </c>
      <c r="H991" s="2" t="str">
        <v>799999.9992</v>
      </c>
      <c r="I991" s="28" t="n">
        <v>799999.9992</v>
      </c>
      <c r="J991" s="7" t="n">
        <v>800000</v>
      </c>
      <c r="K991" s="28" t="n">
        <f>J991-I991</f>
        <v>0.000800000037997961</v>
      </c>
      <c r="L991" s="2" t="str">
        <v>NHẬP</v>
      </c>
      <c r="M991" s="2" t="str"/>
      <c r="N991" s="2" t="str">
        <v>QUAT</v>
      </c>
    </row>
    <row r="992" ht="25" customHeight="1">
      <c r="A992" s="2" t="str">
        <v>R1059</v>
      </c>
      <c r="B992" s="2" t="str">
        <v>KH034</v>
      </c>
      <c r="C992" s="2" t="str">
        <v>KH034</v>
      </c>
      <c r="D992" s="2" t="str">
        <v>S2-01059-TT</v>
      </c>
      <c r="E992" s="2" t="str">
        <v>THU_TIEN</v>
      </c>
      <c r="F992" s="2" t="str"/>
      <c r="G992" s="2" t="str">
        <v>2026-08-04</v>
      </c>
      <c r="H992" s="2" t="str">
        <v>100000000</v>
      </c>
      <c r="I992" s="28" t="n">
        <v>100000000</v>
      </c>
      <c r="J992" s="7" t="n">
        <v>100000000</v>
      </c>
      <c r="K992" s="28" t="n">
        <f>J992-I992</f>
        <v>0</v>
      </c>
      <c r="L992" s="2" t="str">
        <v>NHẬP</v>
      </c>
      <c r="M992" s="2" t="str"/>
      <c r="N992" s="2" t="str">
        <v>KHAC</v>
      </c>
    </row>
    <row r="993" ht="25" customHeight="1">
      <c r="A993" s="2" t="str">
        <v>R1060</v>
      </c>
      <c r="B993" s="2" t="str">
        <v>KH007</v>
      </c>
      <c r="C993" s="2" t="str">
        <v>KH007</v>
      </c>
      <c r="D993" s="2" t="str">
        <v>S2-01060-TT</v>
      </c>
      <c r="E993" s="2" t="str">
        <v>THU_TIEN</v>
      </c>
      <c r="F993" s="2" t="str"/>
      <c r="G993" s="2" t="str">
        <v>2026-08-04</v>
      </c>
      <c r="H993" s="2" t="str">
        <v>800000</v>
      </c>
      <c r="I993" s="28" t="n">
        <v>800000</v>
      </c>
      <c r="J993" s="7" t="n">
        <v>800000</v>
      </c>
      <c r="K993" s="28" t="n">
        <f>J993-I993</f>
        <v>0</v>
      </c>
      <c r="L993" s="2" t="str">
        <v>NHẬP</v>
      </c>
      <c r="M993" s="2" t="str"/>
      <c r="N993" s="2" t="str">
        <v>KHAC</v>
      </c>
    </row>
    <row r="994" ht="25" customHeight="1">
      <c r="A994" s="2" t="str">
        <v>R1061</v>
      </c>
      <c r="B994" s="2" t="str">
        <v>KH003</v>
      </c>
      <c r="C994" s="2" t="str">
        <v>KH003</v>
      </c>
      <c r="D994" s="2" t="str">
        <v>S2-01061-TT</v>
      </c>
      <c r="E994" s="2" t="str">
        <v>THU_TIEN</v>
      </c>
      <c r="F994" s="2" t="str"/>
      <c r="G994" s="2" t="str">
        <v>2026-08-04</v>
      </c>
      <c r="H994" s="2" t="str">
        <v>7120000</v>
      </c>
      <c r="I994" s="28" t="n">
        <v>7120000</v>
      </c>
      <c r="J994" s="7" t="n">
        <v>7120000</v>
      </c>
      <c r="K994" s="28" t="n">
        <f>J994-I994</f>
        <v>0</v>
      </c>
      <c r="L994" s="2" t="str">
        <v>NHẬP</v>
      </c>
      <c r="M994" s="2" t="str"/>
      <c r="N994" s="2" t="str">
        <v>KHAC</v>
      </c>
    </row>
    <row r="995" ht="25" customHeight="1">
      <c r="A995" s="2" t="str">
        <v>S1062</v>
      </c>
      <c r="B995" s="2" t="str">
        <v>KH024</v>
      </c>
      <c r="C995" s="2" t="str">
        <v>KH024</v>
      </c>
      <c r="D995" s="2" t="str">
        <v>S2-01062-VC</v>
      </c>
      <c r="E995" s="2" t="str">
        <v>PHI_VAN_CHUYEN</v>
      </c>
      <c r="F995" s="2" t="str"/>
      <c r="G995" s="2" t="str"/>
      <c r="H995" s="2" t="str">
        <v>600000</v>
      </c>
      <c r="I995" s="28" t="n">
        <v>600000</v>
      </c>
      <c r="J995" s="7" t="n">
        <v>600000</v>
      </c>
      <c r="K995" s="28" t="n">
        <f>J995-I995</f>
        <v>0</v>
      </c>
      <c r="L995" s="2" t="str">
        <v>NHẬP</v>
      </c>
      <c r="M995" s="2" t="str"/>
      <c r="N995" s="2" t="str">
        <v>KHAC</v>
      </c>
    </row>
    <row r="996" ht="25" customHeight="1">
      <c r="A996" s="2" t="str">
        <v>Q1063</v>
      </c>
      <c r="B996" s="2" t="str">
        <v>KH007</v>
      </c>
      <c r="C996" s="2" t="str">
        <v>KH007</v>
      </c>
      <c r="D996" s="2" t="str">
        <v>S2-01063-BH</v>
      </c>
      <c r="E996" s="2" t="str">
        <v>BAN_HANG</v>
      </c>
      <c r="F996" s="2" t="str">
        <v>INP3201</v>
      </c>
      <c r="G996" s="2" t="str">
        <v>2026-08-05</v>
      </c>
      <c r="H996" s="2" t="str">
        <v>519999.9984</v>
      </c>
      <c r="I996" s="28" t="n">
        <v>519999.9984</v>
      </c>
      <c r="J996" s="7" t="n">
        <v>520000</v>
      </c>
      <c r="K996" s="28" t="n">
        <f>J996-I996</f>
        <v>0.0016000000177882612</v>
      </c>
      <c r="L996" s="2" t="str">
        <v>NHẬP</v>
      </c>
      <c r="M996" s="2" t="str"/>
      <c r="N996" s="2" t="str">
        <v>KHAC</v>
      </c>
    </row>
    <row r="997" ht="25" customHeight="1">
      <c r="A997" s="2" t="str">
        <v>Q1064</v>
      </c>
      <c r="B997" s="2" t="str">
        <v>KH007</v>
      </c>
      <c r="C997" s="2" t="str">
        <v>KH007</v>
      </c>
      <c r="D997" s="2" t="str">
        <v>S2-01063-BH</v>
      </c>
      <c r="E997" s="2" t="str">
        <v>BAN_HANG</v>
      </c>
      <c r="F997" s="2" t="str">
        <v>INP2202</v>
      </c>
      <c r="G997" s="2" t="str">
        <v>2026-08-05</v>
      </c>
      <c r="H997" s="2" t="str">
        <v>1823999.9904</v>
      </c>
      <c r="I997" s="28" t="n">
        <v>1823999.9904</v>
      </c>
      <c r="J997" s="7" t="n">
        <v>1824000</v>
      </c>
      <c r="K997" s="28" t="n">
        <f>J997-I997</f>
        <v>0.009599999990314245</v>
      </c>
      <c r="L997" s="2" t="str">
        <v>NHẬP</v>
      </c>
      <c r="M997" s="2" t="str"/>
      <c r="N997" s="2" t="str">
        <v>KHAC</v>
      </c>
    </row>
    <row r="998" ht="25" customHeight="1">
      <c r="A998" s="2" t="str">
        <v>Q1065</v>
      </c>
      <c r="B998" s="2" t="str">
        <v>KH034</v>
      </c>
      <c r="C998" s="2" t="str">
        <v>KH034</v>
      </c>
      <c r="D998" s="2" t="str">
        <v>S2-01065-BH</v>
      </c>
      <c r="E998" s="2" t="str">
        <v>BAN_HANG</v>
      </c>
      <c r="F998" s="2" t="str">
        <v>INP6902</v>
      </c>
      <c r="G998" s="2" t="str">
        <v>2026-08-05</v>
      </c>
      <c r="H998" s="2" t="str">
        <v>26399999.844</v>
      </c>
      <c r="I998" s="28" t="n">
        <v>26399999.844</v>
      </c>
      <c r="J998" s="7" t="n">
        <v>26400000</v>
      </c>
      <c r="K998" s="28" t="n">
        <f>J998-I998</f>
        <v>0.15599999949336052</v>
      </c>
      <c r="L998" s="2" t="str">
        <v>NHẬP</v>
      </c>
      <c r="M998" s="2" t="str"/>
      <c r="N998" s="2" t="str">
        <v>KHAC</v>
      </c>
    </row>
    <row r="999" ht="25" customHeight="1">
      <c r="A999" s="2" t="str">
        <v>Q1066</v>
      </c>
      <c r="B999" s="2" t="str">
        <v>KH034</v>
      </c>
      <c r="C999" s="2" t="str">
        <v>KH034</v>
      </c>
      <c r="D999" s="2" t="str">
        <v>S2-01066-BH</v>
      </c>
      <c r="E999" s="2" t="str">
        <v>BAN_HANG</v>
      </c>
      <c r="F999" s="2" t="str">
        <v>INP6004</v>
      </c>
      <c r="G999" s="2" t="str">
        <v>2026-08-05</v>
      </c>
      <c r="H999" s="2" t="str">
        <v>8700000.048</v>
      </c>
      <c r="I999" s="28" t="n">
        <v>8700000.048</v>
      </c>
      <c r="J999" s="7" t="n">
        <v>8700000</v>
      </c>
      <c r="K999" s="28" t="n">
        <f>J999-I999</f>
        <v>-0.04800000041723251</v>
      </c>
      <c r="L999" s="2" t="str">
        <v>NHẬP</v>
      </c>
      <c r="M999" s="2" t="str"/>
      <c r="N999" s="2" t="str">
        <v>KHAC</v>
      </c>
    </row>
    <row r="1000" ht="25" customHeight="1">
      <c r="A1000" s="2" t="str">
        <v>Q1067</v>
      </c>
      <c r="B1000" s="2" t="str">
        <v>KH034</v>
      </c>
      <c r="C1000" s="2" t="str">
        <v>KH034</v>
      </c>
      <c r="D1000" s="2" t="str">
        <v>S2-01066-BH</v>
      </c>
      <c r="E1000" s="2" t="str">
        <v>BAN_HANG</v>
      </c>
      <c r="F1000" s="2" t="str">
        <v>INP6005</v>
      </c>
      <c r="G1000" s="2" t="str">
        <v>2026-08-05</v>
      </c>
      <c r="H1000" s="2" t="str">
        <v>10350000.018</v>
      </c>
      <c r="I1000" s="28" t="n">
        <v>10350000.018</v>
      </c>
      <c r="J1000" s="7" t="n">
        <v>10350000</v>
      </c>
      <c r="K1000" s="28" t="n">
        <f>J1000-I1000</f>
        <v>-0.017999999225139618</v>
      </c>
      <c r="L1000" s="2" t="str">
        <v>NHẬP</v>
      </c>
      <c r="M1000" s="2" t="str"/>
      <c r="N1000" s="2" t="str">
        <v>KHAC</v>
      </c>
    </row>
    <row r="1001" ht="25" customHeight="1">
      <c r="A1001" s="2" t="str">
        <v>Q1068</v>
      </c>
      <c r="B1001" s="2" t="str">
        <v>KH034</v>
      </c>
      <c r="C1001" s="2" t="str">
        <v>KH034</v>
      </c>
      <c r="D1001" s="2" t="str">
        <v>S2-01066-BH</v>
      </c>
      <c r="E1001" s="2" t="str">
        <v>BAN_HANG</v>
      </c>
      <c r="F1001" s="2" t="str">
        <v>INP6006</v>
      </c>
      <c r="G1001" s="2" t="str">
        <v>2026-08-05</v>
      </c>
      <c r="H1001" s="2" t="str">
        <v>8550000.036</v>
      </c>
      <c r="I1001" s="28" t="n">
        <v>8550000.036</v>
      </c>
      <c r="J1001" s="7" t="n">
        <v>8550000</v>
      </c>
      <c r="K1001" s="28" t="n">
        <f>J1001-I1001</f>
        <v>-0.036000000312924385</v>
      </c>
      <c r="L1001" s="2" t="str">
        <v>NHẬP</v>
      </c>
      <c r="M1001" s="2" t="str"/>
      <c r="N1001" s="2" t="str">
        <v>KHAC</v>
      </c>
    </row>
    <row r="1002" ht="25" customHeight="1">
      <c r="A1002" s="2" t="str">
        <v>Q1069</v>
      </c>
      <c r="B1002" s="2" t="str">
        <v>KH034</v>
      </c>
      <c r="C1002" s="2" t="str">
        <v>KH034</v>
      </c>
      <c r="D1002" s="2" t="str">
        <v>S2-01066-BH</v>
      </c>
      <c r="E1002" s="2" t="str">
        <v>BAN_HANG</v>
      </c>
      <c r="F1002" s="2" t="str">
        <v>INP6007</v>
      </c>
      <c r="G1002" s="2" t="str">
        <v>2026-08-05</v>
      </c>
      <c r="H1002" s="2" t="str">
        <v>10200000.006</v>
      </c>
      <c r="I1002" s="28" t="n">
        <v>10200000.006</v>
      </c>
      <c r="J1002" s="7" t="n">
        <v>10200000</v>
      </c>
      <c r="K1002" s="28" t="n">
        <f>J1002-I1002</f>
        <v>-0.0059999991208314896</v>
      </c>
      <c r="L1002" s="2" t="str">
        <v>NHẬP</v>
      </c>
      <c r="M1002" s="2" t="str"/>
      <c r="N1002" s="2" t="str">
        <v>KHAC</v>
      </c>
    </row>
    <row r="1003" ht="25" customHeight="1">
      <c r="A1003" s="2" t="str">
        <v>Q1070</v>
      </c>
      <c r="B1003" s="2" t="str">
        <v>KH034</v>
      </c>
      <c r="C1003" s="2" t="str">
        <v>KH034</v>
      </c>
      <c r="D1003" s="2" t="str">
        <v>S2-01066-BH</v>
      </c>
      <c r="E1003" s="2" t="str">
        <v>BAN_HANG</v>
      </c>
      <c r="F1003" s="2" t="str">
        <v>INP6008</v>
      </c>
      <c r="G1003" s="2" t="str">
        <v>2026-08-05</v>
      </c>
      <c r="H1003" s="2" t="str">
        <v>9299999.934</v>
      </c>
      <c r="I1003" s="28" t="n">
        <v>9299999.934</v>
      </c>
      <c r="J1003" s="7" t="n">
        <v>9300000</v>
      </c>
      <c r="K1003" s="28" t="n">
        <f>J1003-I1003</f>
        <v>0.06599999964237213</v>
      </c>
      <c r="L1003" s="2" t="str">
        <v>NHẬP</v>
      </c>
      <c r="M1003" s="2" t="str"/>
      <c r="N1003" s="2" t="str">
        <v>KHAC</v>
      </c>
    </row>
    <row r="1004" ht="25" customHeight="1">
      <c r="A1004" s="2" t="str">
        <v>Q1071</v>
      </c>
      <c r="B1004" s="2" t="str">
        <v>KH034</v>
      </c>
      <c r="C1004" s="2" t="str">
        <v>KH034</v>
      </c>
      <c r="D1004" s="2" t="str">
        <v>S2-01066-BH</v>
      </c>
      <c r="E1004" s="2" t="str">
        <v>BAN_HANG</v>
      </c>
      <c r="F1004" s="2" t="str">
        <v>INP6009</v>
      </c>
      <c r="G1004" s="2" t="str">
        <v>2026-08-05</v>
      </c>
      <c r="H1004" s="2" t="str">
        <v>11249999.928</v>
      </c>
      <c r="I1004" s="28" t="n">
        <v>11249999.928</v>
      </c>
      <c r="J1004" s="7" t="n">
        <v>11250000</v>
      </c>
      <c r="K1004" s="28" t="n">
        <f>J1004-I1004</f>
        <v>0.07200000062584877</v>
      </c>
      <c r="L1004" s="2" t="str">
        <v>NHẬP</v>
      </c>
      <c r="M1004" s="2" t="str"/>
      <c r="N1004" s="2" t="str">
        <v>KHAC</v>
      </c>
    </row>
    <row r="1005" ht="25" customHeight="1">
      <c r="A1005" s="2" t="str">
        <v>Q1072</v>
      </c>
      <c r="B1005" s="2" t="str">
        <v>KH034</v>
      </c>
      <c r="C1005" s="2" t="str">
        <v>KH034</v>
      </c>
      <c r="D1005" s="2" t="str">
        <v>S2-01066-BH</v>
      </c>
      <c r="E1005" s="2" t="str">
        <v>BAN_HANG</v>
      </c>
      <c r="F1005" s="2" t="str">
        <v>INP6010</v>
      </c>
      <c r="G1005" s="2" t="str">
        <v>2026-08-05</v>
      </c>
      <c r="H1005" s="2" t="str">
        <v>7799999.976</v>
      </c>
      <c r="I1005" s="28" t="n">
        <v>7799999.976</v>
      </c>
      <c r="J1005" s="7" t="n">
        <v>7800000</v>
      </c>
      <c r="K1005" s="28" t="n">
        <f>J1005-I1005</f>
        <v>0.024000000208616257</v>
      </c>
      <c r="L1005" s="2" t="str">
        <v>NHẬP</v>
      </c>
      <c r="M1005" s="2" t="str"/>
      <c r="N1005" s="2" t="str">
        <v>KHAC</v>
      </c>
    </row>
    <row r="1006" ht="25" customHeight="1">
      <c r="A1006" s="2" t="str">
        <v>Q1073</v>
      </c>
      <c r="B1006" s="2" t="str">
        <v>KH034</v>
      </c>
      <c r="C1006" s="2" t="str">
        <v>KH034</v>
      </c>
      <c r="D1006" s="2" t="str">
        <v>S2-01066-BH</v>
      </c>
      <c r="E1006" s="2" t="str">
        <v>BAN_HANG</v>
      </c>
      <c r="F1006" s="2" t="str">
        <v>INP6011</v>
      </c>
      <c r="G1006" s="2" t="str">
        <v>2026-08-05</v>
      </c>
      <c r="H1006" s="2" t="str">
        <v>9299999.934</v>
      </c>
      <c r="I1006" s="28" t="n">
        <v>9299999.934</v>
      </c>
      <c r="J1006" s="7" t="n">
        <v>9300000</v>
      </c>
      <c r="K1006" s="28" t="n">
        <f>J1006-I1006</f>
        <v>0.06599999964237213</v>
      </c>
      <c r="L1006" s="2" t="str">
        <v>NHẬP</v>
      </c>
      <c r="M1006" s="2" t="str"/>
      <c r="N1006" s="2" t="str">
        <v>KHAC</v>
      </c>
    </row>
    <row r="1007" ht="25" customHeight="1">
      <c r="A1007" s="2" t="str">
        <v>Q1082</v>
      </c>
      <c r="B1007" s="2" t="str">
        <v>KH066</v>
      </c>
      <c r="C1007" s="2" t="str">
        <v>KH066</v>
      </c>
      <c r="D1007" s="2" t="str">
        <v>S2-01082-BH</v>
      </c>
      <c r="E1007" s="2" t="str">
        <v>BAN_HANG</v>
      </c>
      <c r="F1007" s="2" t="str">
        <v>INP6004</v>
      </c>
      <c r="G1007" s="2" t="str">
        <v>2026-08-06</v>
      </c>
      <c r="H1007" s="2" t="str">
        <v>8789999.958</v>
      </c>
      <c r="I1007" s="28" t="n">
        <v>8789999.958</v>
      </c>
      <c r="J1007" s="7" t="n">
        <v>8790000</v>
      </c>
      <c r="K1007" s="28" t="n">
        <f>J1007-I1007</f>
        <v>0.041999999433755875</v>
      </c>
      <c r="L1007" s="2" t="str">
        <v>NHẬP</v>
      </c>
      <c r="M1007" s="2" t="str"/>
      <c r="N1007" s="2" t="str">
        <v>KHAC</v>
      </c>
    </row>
    <row r="1008" ht="25" customHeight="1">
      <c r="A1008" s="2" t="str">
        <v>Q1083</v>
      </c>
      <c r="B1008" s="2" t="str">
        <v>KH066</v>
      </c>
      <c r="C1008" s="2" t="str">
        <v>KH066</v>
      </c>
      <c r="D1008" s="2" t="str">
        <v>S2-01082-BH</v>
      </c>
      <c r="E1008" s="2" t="str">
        <v>BAN_HANG</v>
      </c>
      <c r="F1008" s="2" t="str">
        <v>INP6005</v>
      </c>
      <c r="G1008" s="2" t="str">
        <v>2026-08-06</v>
      </c>
      <c r="H1008" s="2" t="str">
        <v>10439999.928</v>
      </c>
      <c r="I1008" s="28" t="n">
        <v>10439999.928</v>
      </c>
      <c r="J1008" s="7" t="n">
        <v>10440000</v>
      </c>
      <c r="K1008" s="28" t="n">
        <f>J1008-I1008</f>
        <v>0.07200000062584877</v>
      </c>
      <c r="L1008" s="2" t="str">
        <v>NHẬP</v>
      </c>
      <c r="M1008" s="2" t="str"/>
      <c r="N1008" s="2" t="str">
        <v>KHAC</v>
      </c>
    </row>
    <row r="1009" ht="25" customHeight="1">
      <c r="A1009" s="2" t="str">
        <v>Q1084</v>
      </c>
      <c r="B1009" s="2" t="str">
        <v>KH066</v>
      </c>
      <c r="C1009" s="2" t="str">
        <v>KH066</v>
      </c>
      <c r="D1009" s="2" t="str">
        <v>S2-01082-BH</v>
      </c>
      <c r="E1009" s="2" t="str">
        <v>BAN_HANG</v>
      </c>
      <c r="F1009" s="2" t="str">
        <v>INP6006</v>
      </c>
      <c r="G1009" s="2" t="str">
        <v>2026-08-06</v>
      </c>
      <c r="H1009" s="2" t="str">
        <v>8549999.874</v>
      </c>
      <c r="I1009" s="28" t="n">
        <v>8549999.874</v>
      </c>
      <c r="J1009" s="7" t="n">
        <v>8550000</v>
      </c>
      <c r="K1009" s="28" t="n">
        <f>J1009-I1009</f>
        <v>0.12600000016391277</v>
      </c>
      <c r="L1009" s="2" t="str">
        <v>NHẬP</v>
      </c>
      <c r="M1009" s="2" t="str"/>
      <c r="N1009" s="2" t="str">
        <v>KHAC</v>
      </c>
    </row>
    <row r="1010" ht="25" customHeight="1">
      <c r="A1010" s="2" t="str">
        <v>Q1085</v>
      </c>
      <c r="B1010" s="2" t="str">
        <v>KH066</v>
      </c>
      <c r="C1010" s="2" t="str">
        <v>KH066</v>
      </c>
      <c r="D1010" s="2" t="str">
        <v>S2-01082-BH</v>
      </c>
      <c r="E1010" s="2" t="str">
        <v>BAN_HANG</v>
      </c>
      <c r="F1010" s="2" t="str">
        <v>INP6007</v>
      </c>
      <c r="G1010" s="2" t="str">
        <v>2026-08-06</v>
      </c>
      <c r="H1010" s="2" t="str">
        <v>10200000.006</v>
      </c>
      <c r="I1010" s="28" t="n">
        <v>10200000.006</v>
      </c>
      <c r="J1010" s="7" t="n">
        <v>10200000</v>
      </c>
      <c r="K1010" s="28" t="n">
        <f>J1010-I1010</f>
        <v>-0.0059999991208314896</v>
      </c>
      <c r="L1010" s="2" t="str">
        <v>NHẬP</v>
      </c>
      <c r="M1010" s="2" t="str"/>
      <c r="N1010" s="2" t="str">
        <v>KHAC</v>
      </c>
    </row>
    <row r="1011" ht="25" customHeight="1">
      <c r="A1011" s="2" t="str">
        <v>Q1086</v>
      </c>
      <c r="B1011" s="2" t="str">
        <v>KH066</v>
      </c>
      <c r="C1011" s="2" t="str">
        <v>KH066</v>
      </c>
      <c r="D1011" s="2" t="str">
        <v>S2-01082-BH</v>
      </c>
      <c r="E1011" s="2" t="str">
        <v>BAN_HANG</v>
      </c>
      <c r="F1011" s="2" t="str">
        <v>INP6008</v>
      </c>
      <c r="G1011" s="2" t="str">
        <v>2026-08-06</v>
      </c>
      <c r="H1011" s="2" t="str">
        <v>9299999.934</v>
      </c>
      <c r="I1011" s="28" t="n">
        <v>9299999.934</v>
      </c>
      <c r="J1011" s="7" t="n">
        <v>9300000</v>
      </c>
      <c r="K1011" s="28" t="n">
        <f>J1011-I1011</f>
        <v>0.06599999964237213</v>
      </c>
      <c r="L1011" s="2" t="str">
        <v>NHẬP</v>
      </c>
      <c r="M1011" s="2" t="str"/>
      <c r="N1011" s="2" t="str">
        <v>KHAC</v>
      </c>
    </row>
    <row r="1012" ht="25" customHeight="1">
      <c r="A1012" s="2" t="str">
        <v>Q1087</v>
      </c>
      <c r="B1012" s="2" t="str">
        <v>KH066</v>
      </c>
      <c r="C1012" s="2" t="str">
        <v>KH066</v>
      </c>
      <c r="D1012" s="2" t="str">
        <v>S2-01082-BH</v>
      </c>
      <c r="E1012" s="2" t="str">
        <v>BAN_HANG</v>
      </c>
      <c r="F1012" s="2" t="str">
        <v>INP6009</v>
      </c>
      <c r="G1012" s="2" t="str">
        <v>2026-08-06</v>
      </c>
      <c r="H1012" s="2" t="str">
        <v>11249999.928</v>
      </c>
      <c r="I1012" s="28" t="n">
        <v>11249999.928</v>
      </c>
      <c r="J1012" s="7" t="n">
        <v>11250000</v>
      </c>
      <c r="K1012" s="28" t="n">
        <f>J1012-I1012</f>
        <v>0.07200000062584877</v>
      </c>
      <c r="L1012" s="2" t="str">
        <v>NHẬP</v>
      </c>
      <c r="M1012" s="2" t="str"/>
      <c r="N1012" s="2" t="str">
        <v>KHAC</v>
      </c>
    </row>
    <row r="1013" ht="25" customHeight="1">
      <c r="A1013" s="2" t="str">
        <v>Q1088</v>
      </c>
      <c r="B1013" s="2" t="str">
        <v>KH066</v>
      </c>
      <c r="C1013" s="2" t="str">
        <v>KH066</v>
      </c>
      <c r="D1013" s="2" t="str">
        <v>S2-01082-BH</v>
      </c>
      <c r="E1013" s="2" t="str">
        <v>BAN_HANG</v>
      </c>
      <c r="F1013" s="2" t="str">
        <v>INP6010</v>
      </c>
      <c r="G1013" s="2" t="str">
        <v>2026-08-06</v>
      </c>
      <c r="H1013" s="2" t="str">
        <v>7799999.976</v>
      </c>
      <c r="I1013" s="28" t="n">
        <v>7799999.976</v>
      </c>
      <c r="J1013" s="7" t="n">
        <v>7800000</v>
      </c>
      <c r="K1013" s="28" t="n">
        <f>J1013-I1013</f>
        <v>0.024000000208616257</v>
      </c>
      <c r="L1013" s="2" t="str">
        <v>NHẬP</v>
      </c>
      <c r="M1013" s="2" t="str"/>
      <c r="N1013" s="2" t="str">
        <v>KHAC</v>
      </c>
    </row>
    <row r="1014" ht="25" customHeight="1">
      <c r="A1014" s="2" t="str">
        <v>Q1089</v>
      </c>
      <c r="B1014" s="2" t="str">
        <v>KH066</v>
      </c>
      <c r="C1014" s="2" t="str">
        <v>KH066</v>
      </c>
      <c r="D1014" s="2" t="str">
        <v>S2-01082-BH</v>
      </c>
      <c r="E1014" s="2" t="str">
        <v>BAN_HANG</v>
      </c>
      <c r="F1014" s="2" t="str">
        <v>INP6011</v>
      </c>
      <c r="G1014" s="2" t="str">
        <v>2026-08-06</v>
      </c>
      <c r="H1014" s="2" t="str">
        <v>9299999.934</v>
      </c>
      <c r="I1014" s="28" t="n">
        <v>9299999.934</v>
      </c>
      <c r="J1014" s="7" t="n">
        <v>9300000</v>
      </c>
      <c r="K1014" s="28" t="n">
        <f>J1014-I1014</f>
        <v>0.06599999964237213</v>
      </c>
      <c r="L1014" s="2" t="str">
        <v>NHẬP</v>
      </c>
      <c r="M1014" s="2" t="str"/>
      <c r="N1014" s="2" t="str">
        <v>KHAC</v>
      </c>
    </row>
    <row r="1015" ht="25" customHeight="1">
      <c r="A1015" s="2" t="str">
        <v>Q1098</v>
      </c>
      <c r="B1015" s="2" t="str">
        <v>KH066</v>
      </c>
      <c r="C1015" s="2" t="str">
        <v>KH066</v>
      </c>
      <c r="D1015" s="2" t="str">
        <v>S2-01082-BH</v>
      </c>
      <c r="E1015" s="2" t="str">
        <v>BAN_HANG</v>
      </c>
      <c r="F1015" s="2" t="str">
        <v>INP6012</v>
      </c>
      <c r="G1015" s="2" t="str">
        <v>2026-08-06</v>
      </c>
      <c r="H1015" s="2" t="str">
        <v>2599999.992</v>
      </c>
      <c r="I1015" s="28" t="n">
        <v>2599999.992</v>
      </c>
      <c r="J1015" s="7" t="n">
        <v>2600000</v>
      </c>
      <c r="K1015" s="28" t="n">
        <f>J1015-I1015</f>
        <v>0.007999999914318323</v>
      </c>
      <c r="L1015" s="2" t="str">
        <v>NHẬP</v>
      </c>
      <c r="M1015" s="2" t="str"/>
      <c r="N1015" s="2" t="str">
        <v>KHAC</v>
      </c>
    </row>
    <row r="1016" ht="25" customHeight="1">
      <c r="A1016" s="2" t="str">
        <v>R1099</v>
      </c>
      <c r="B1016" s="2" t="str">
        <v>KH066</v>
      </c>
      <c r="C1016" s="2" t="str">
        <v>KH066</v>
      </c>
      <c r="D1016" s="2" t="str">
        <v>S2-01099-TT</v>
      </c>
      <c r="E1016" s="2" t="str">
        <v>THU_TIEN</v>
      </c>
      <c r="F1016" s="2" t="str"/>
      <c r="G1016" s="2" t="str">
        <v>2026-08-06</v>
      </c>
      <c r="H1016" s="2" t="str">
        <v>100000000</v>
      </c>
      <c r="I1016" s="28" t="n">
        <v>100000000</v>
      </c>
      <c r="J1016" s="7" t="n">
        <v>100000000</v>
      </c>
      <c r="K1016" s="28" t="n">
        <f>J1016-I1016</f>
        <v>0</v>
      </c>
      <c r="L1016" s="2" t="str">
        <v>NHẬP</v>
      </c>
      <c r="M1016" s="2" t="str"/>
      <c r="N1016" s="2" t="str">
        <v>KHAC</v>
      </c>
    </row>
    <row r="1017" ht="25" customHeight="1">
      <c r="A1017" s="2" t="str">
        <v>Q1100</v>
      </c>
      <c r="B1017" s="2" t="str">
        <v>KH095</v>
      </c>
      <c r="C1017" s="2" t="str">
        <v>NV00007</v>
      </c>
      <c r="D1017" s="2" t="str">
        <v>S2-01100-BH</v>
      </c>
      <c r="E1017" s="2" t="str">
        <v>BAN_HANG</v>
      </c>
      <c r="F1017" s="2" t="str">
        <v>INP6701</v>
      </c>
      <c r="G1017" s="2" t="str">
        <v>2026-08-08</v>
      </c>
      <c r="H1017" s="2" t="str">
        <v>389999.9988</v>
      </c>
      <c r="I1017" s="28" t="n">
        <v>389999.9988</v>
      </c>
      <c r="J1017" s="7" t="n">
        <v>390000</v>
      </c>
      <c r="K1017" s="28" t="n">
        <f>J1017-I1017</f>
        <v>0.0011999999987892807</v>
      </c>
      <c r="L1017" s="2" t="str">
        <v>NHẬP</v>
      </c>
      <c r="M1017" s="2" t="str"/>
      <c r="N1017" s="2" t="str">
        <v>KHAC</v>
      </c>
    </row>
    <row r="1018" ht="25" customHeight="1">
      <c r="A1018" s="2" t="str">
        <v>R1101</v>
      </c>
      <c r="B1018" s="2" t="str">
        <v>KH095</v>
      </c>
      <c r="C1018" s="2" t="str">
        <v>NV00007</v>
      </c>
      <c r="D1018" s="2" t="str">
        <v>S2-01101-TT</v>
      </c>
      <c r="E1018" s="2" t="str">
        <v>THU_TIEN</v>
      </c>
      <c r="F1018" s="2" t="str"/>
      <c r="G1018" s="2" t="str">
        <v>2026-08-10</v>
      </c>
      <c r="H1018" s="2" t="str">
        <v>390000</v>
      </c>
      <c r="I1018" s="28" t="n">
        <v>390000</v>
      </c>
      <c r="J1018" s="7" t="n">
        <v>390000</v>
      </c>
      <c r="K1018" s="28" t="n">
        <f>J1018-I1018</f>
        <v>0</v>
      </c>
      <c r="L1018" s="2" t="str">
        <v>NHẬP</v>
      </c>
      <c r="M1018" s="2" t="str"/>
      <c r="N1018" s="2" t="str">
        <v>KHAC</v>
      </c>
    </row>
    <row r="1019" ht="25" customHeight="1">
      <c r="A1019" s="2" t="str">
        <v>R1102</v>
      </c>
      <c r="B1019" s="2" t="str">
        <v>KH028</v>
      </c>
      <c r="C1019" s="2" t="str">
        <v>KH028</v>
      </c>
      <c r="D1019" s="2" t="str">
        <v>S2-01102-TT</v>
      </c>
      <c r="E1019" s="2" t="str">
        <v>THU_TIEN</v>
      </c>
      <c r="F1019" s="2" t="str"/>
      <c r="G1019" s="2" t="str">
        <v>2026-08-10</v>
      </c>
      <c r="H1019" s="2" t="str">
        <v>2520000</v>
      </c>
      <c r="I1019" s="28" t="n">
        <v>2520000</v>
      </c>
      <c r="J1019" s="7" t="n">
        <v>2520000</v>
      </c>
      <c r="K1019" s="28" t="n">
        <f>J1019-I1019</f>
        <v>0</v>
      </c>
      <c r="L1019" s="2" t="str">
        <v>NHẬP</v>
      </c>
      <c r="M1019" s="2" t="str"/>
      <c r="N1019" s="2" t="str">
        <v>KHAC</v>
      </c>
    </row>
    <row r="1020" ht="25" customHeight="1">
      <c r="A1020" s="2" t="str">
        <v>Q1103</v>
      </c>
      <c r="B1020" s="2" t="str">
        <v>KH012</v>
      </c>
      <c r="C1020" s="2" t="str">
        <v>KH012</v>
      </c>
      <c r="D1020" s="2" t="str">
        <v>S2-01103-BH</v>
      </c>
      <c r="E1020" s="2" t="str">
        <v>BAN_HANG</v>
      </c>
      <c r="F1020" s="2" t="str">
        <v>INP1002</v>
      </c>
      <c r="G1020" s="2" t="str">
        <v>2026-08-10</v>
      </c>
      <c r="H1020" s="2" t="str">
        <v>4193999.9856</v>
      </c>
      <c r="I1020" s="28" t="n">
        <v>4193999.9856</v>
      </c>
      <c r="J1020" s="7" t="n">
        <v>4194000</v>
      </c>
      <c r="K1020" s="28" t="n">
        <f>J1020-I1020</f>
        <v>0.014400000218302011</v>
      </c>
      <c r="L1020" s="2" t="str">
        <v>NHẬP</v>
      </c>
      <c r="M1020" s="2" t="str"/>
      <c r="N1020" s="2" t="str">
        <v>KHAC</v>
      </c>
    </row>
    <row r="1021" ht="25" customHeight="1">
      <c r="A1021" s="2" t="str">
        <v>Q1104</v>
      </c>
      <c r="B1021" s="2" t="str">
        <v>KH012</v>
      </c>
      <c r="C1021" s="2" t="str">
        <v>KH012</v>
      </c>
      <c r="D1021" s="2" t="str">
        <v>S2-01103-BH</v>
      </c>
      <c r="E1021" s="2" t="str">
        <v>BAN_HANG</v>
      </c>
      <c r="F1021" s="2" t="str">
        <v>INP1003</v>
      </c>
      <c r="G1021" s="2" t="str">
        <v>2026-08-10</v>
      </c>
      <c r="H1021" s="2" t="str">
        <v>7199999.928</v>
      </c>
      <c r="I1021" s="28" t="n">
        <v>7199999.928</v>
      </c>
      <c r="J1021" s="7" t="n">
        <v>7200000</v>
      </c>
      <c r="K1021" s="28" t="n">
        <f>J1021-I1021</f>
        <v>0.0719999996945262</v>
      </c>
      <c r="L1021" s="2" t="str">
        <v>NHẬP</v>
      </c>
      <c r="M1021" s="2" t="str"/>
      <c r="N1021" s="2" t="str">
        <v>KHAC</v>
      </c>
    </row>
    <row r="1022" ht="25" customHeight="1">
      <c r="A1022" s="2" t="str">
        <v>Q1105</v>
      </c>
      <c r="B1022" s="2" t="str">
        <v>KH012</v>
      </c>
      <c r="C1022" s="2" t="str">
        <v>KH012</v>
      </c>
      <c r="D1022" s="2" t="str">
        <v>S2-01103-BH</v>
      </c>
      <c r="E1022" s="2" t="str">
        <v>BAN_HANG</v>
      </c>
      <c r="F1022" s="2" t="str">
        <v>INP1101</v>
      </c>
      <c r="G1022" s="2" t="str">
        <v>2026-08-10</v>
      </c>
      <c r="H1022" s="2" t="str">
        <v>5219999.964</v>
      </c>
      <c r="I1022" s="28" t="n">
        <v>5219999.964</v>
      </c>
      <c r="J1022" s="7" t="n">
        <v>5220000</v>
      </c>
      <c r="K1022" s="28" t="n">
        <f>J1022-I1022</f>
        <v>0.036000000312924385</v>
      </c>
      <c r="L1022" s="2" t="str">
        <v>NHẬP</v>
      </c>
      <c r="M1022" s="2" t="str"/>
      <c r="N1022" s="2" t="str">
        <v>KHAC</v>
      </c>
    </row>
    <row r="1023" ht="25" customHeight="1">
      <c r="A1023" s="2" t="str">
        <v>Q1106</v>
      </c>
      <c r="B1023" s="2" t="str">
        <v>KH012</v>
      </c>
      <c r="C1023" s="2" t="str">
        <v>KH012</v>
      </c>
      <c r="D1023" s="2" t="str">
        <v>S2-01103-BH</v>
      </c>
      <c r="E1023" s="2" t="str">
        <v>BAN_HANG</v>
      </c>
      <c r="F1023" s="2" t="str">
        <v>INP1401</v>
      </c>
      <c r="G1023" s="2" t="str">
        <v>2026-08-10</v>
      </c>
      <c r="H1023" s="2" t="str">
        <v>5339999.9736</v>
      </c>
      <c r="I1023" s="28" t="n">
        <v>5339999.9736</v>
      </c>
      <c r="J1023" s="7" t="n">
        <v>5340000</v>
      </c>
      <c r="K1023" s="28" t="n">
        <f>J1023-I1023</f>
        <v>0.026399999856948853</v>
      </c>
      <c r="L1023" s="2" t="str">
        <v>NHẬP</v>
      </c>
      <c r="M1023" s="2" t="str"/>
      <c r="N1023" s="2" t="str">
        <v>KHAC</v>
      </c>
    </row>
    <row r="1024" ht="25" customHeight="1">
      <c r="A1024" s="2" t="str">
        <v>Q1107</v>
      </c>
      <c r="B1024" s="2" t="str">
        <v>KH012</v>
      </c>
      <c r="C1024" s="2" t="str">
        <v>KH012</v>
      </c>
      <c r="D1024" s="2" t="str">
        <v>S2-01103-BH</v>
      </c>
      <c r="E1024" s="2" t="str">
        <v>BAN_HANG</v>
      </c>
      <c r="F1024" s="2" t="str">
        <v>INP2105</v>
      </c>
      <c r="G1024" s="2" t="str">
        <v>2026-08-10</v>
      </c>
      <c r="H1024" s="2" t="str">
        <v>2599999.992</v>
      </c>
      <c r="I1024" s="28" t="n">
        <v>2599999.992</v>
      </c>
      <c r="J1024" s="7" t="n">
        <v>2600000</v>
      </c>
      <c r="K1024" s="28" t="n">
        <f>J1024-I1024</f>
        <v>0.007999999914318323</v>
      </c>
      <c r="L1024" s="2" t="str">
        <v>NHẬP</v>
      </c>
      <c r="M1024" s="2" t="str"/>
      <c r="N1024" s="2" t="str">
        <v>KHAC</v>
      </c>
    </row>
    <row r="1025" ht="25" customHeight="1">
      <c r="A1025" s="2" t="str">
        <v>Q1108</v>
      </c>
      <c r="B1025" s="2" t="str">
        <v>KH012</v>
      </c>
      <c r="C1025" s="2" t="str">
        <v>KH012</v>
      </c>
      <c r="D1025" s="2" t="str">
        <v>S2-01103-BH</v>
      </c>
      <c r="E1025" s="2" t="str">
        <v>BAN_HANG</v>
      </c>
      <c r="F1025" s="2" t="str">
        <v>INP2106</v>
      </c>
      <c r="G1025" s="2" t="str">
        <v>2026-08-10</v>
      </c>
      <c r="H1025" s="2" t="str">
        <v>2800000.008</v>
      </c>
      <c r="I1025" s="28" t="n">
        <v>2800000.008</v>
      </c>
      <c r="J1025" s="7" t="n">
        <v>2800000</v>
      </c>
      <c r="K1025" s="28" t="n">
        <f>J1025-I1025</f>
        <v>-0.007999999914318323</v>
      </c>
      <c r="L1025" s="2" t="str">
        <v>NHẬP</v>
      </c>
      <c r="M1025" s="2" t="str"/>
      <c r="N1025" s="2" t="str">
        <v>KHAC</v>
      </c>
    </row>
    <row r="1026" ht="25" customHeight="1">
      <c r="A1026" s="2" t="str">
        <v>Q1109</v>
      </c>
      <c r="B1026" s="2" t="str">
        <v>KH012</v>
      </c>
      <c r="C1026" s="2" t="str">
        <v>KH012</v>
      </c>
      <c r="D1026" s="2" t="str">
        <v>S2-01103-BH</v>
      </c>
      <c r="E1026" s="2" t="str">
        <v>BAN_HANG</v>
      </c>
      <c r="F1026" s="2" t="str">
        <v>INP2107</v>
      </c>
      <c r="G1026" s="2" t="str">
        <v>2026-08-10</v>
      </c>
      <c r="H1026" s="2" t="str">
        <v>3000000.024</v>
      </c>
      <c r="I1026" s="28" t="n">
        <v>3000000.024</v>
      </c>
      <c r="J1026" s="7" t="n">
        <v>3000000</v>
      </c>
      <c r="K1026" s="28" t="n">
        <f>J1026-I1026</f>
        <v>-0.024000000208616257</v>
      </c>
      <c r="L1026" s="2" t="str">
        <v>NHẬP</v>
      </c>
      <c r="M1026" s="2" t="str"/>
      <c r="N1026" s="2" t="str">
        <v>KHAC</v>
      </c>
    </row>
    <row r="1027" ht="25" customHeight="1">
      <c r="A1027" s="2" t="str">
        <v>Q1110</v>
      </c>
      <c r="B1027" s="2" t="str">
        <v>KH012</v>
      </c>
      <c r="C1027" s="2" t="str">
        <v>KH012</v>
      </c>
      <c r="D1027" s="2" t="str">
        <v>S2-01103-BH</v>
      </c>
      <c r="E1027" s="2" t="str">
        <v>BAN_HANG</v>
      </c>
      <c r="F1027" s="2" t="str">
        <v>INP2109</v>
      </c>
      <c r="G1027" s="2" t="str">
        <v>2026-08-10</v>
      </c>
      <c r="H1027" s="2" t="str">
        <v>1299999.996</v>
      </c>
      <c r="I1027" s="28" t="n">
        <v>1299999.996</v>
      </c>
      <c r="J1027" s="7" t="n">
        <v>1300000</v>
      </c>
      <c r="K1027" s="28" t="n">
        <f>J1027-I1027</f>
        <v>0.003999999957159162</v>
      </c>
      <c r="L1027" s="2" t="str">
        <v>NHẬP</v>
      </c>
      <c r="M1027" s="2" t="str"/>
      <c r="N1027" s="2" t="str">
        <v>KHAC</v>
      </c>
    </row>
    <row r="1028" ht="25" customHeight="1">
      <c r="A1028" s="2" t="str">
        <v>Q1111</v>
      </c>
      <c r="B1028" s="2" t="str">
        <v>KH012</v>
      </c>
      <c r="C1028" s="2" t="str">
        <v>KH012</v>
      </c>
      <c r="D1028" s="2" t="str">
        <v>S2-01103-BH</v>
      </c>
      <c r="E1028" s="2" t="str">
        <v>BAN_HANG</v>
      </c>
      <c r="F1028" s="2" t="str">
        <v>INP2110</v>
      </c>
      <c r="G1028" s="2" t="str">
        <v>2026-08-10</v>
      </c>
      <c r="H1028" s="2" t="str">
        <v>2800000.008</v>
      </c>
      <c r="I1028" s="28" t="n">
        <v>2800000.008</v>
      </c>
      <c r="J1028" s="7" t="n">
        <v>2800000</v>
      </c>
      <c r="K1028" s="28" t="n">
        <f>J1028-I1028</f>
        <v>-0.007999999914318323</v>
      </c>
      <c r="L1028" s="2" t="str">
        <v>NHẬP</v>
      </c>
      <c r="M1028" s="2" t="str"/>
      <c r="N1028" s="2" t="str">
        <v>KHAC</v>
      </c>
    </row>
    <row r="1029" ht="25" customHeight="1">
      <c r="A1029" s="2" t="str">
        <v>Q1112</v>
      </c>
      <c r="B1029" s="2" t="str">
        <v>KH012</v>
      </c>
      <c r="C1029" s="2" t="str">
        <v>KH012</v>
      </c>
      <c r="D1029" s="2" t="str">
        <v>S2-01112-BH</v>
      </c>
      <c r="E1029" s="2" t="str">
        <v>BAN_HANG</v>
      </c>
      <c r="F1029" s="2" t="str">
        <v>INP2111</v>
      </c>
      <c r="G1029" s="2" t="str">
        <v>2026-08-10</v>
      </c>
      <c r="H1029" s="2" t="str">
        <v>3000000.024</v>
      </c>
      <c r="I1029" s="28" t="n">
        <v>3000000.024</v>
      </c>
      <c r="J1029" s="7" t="n">
        <v>3000000</v>
      </c>
      <c r="K1029" s="28" t="n">
        <f>J1029-I1029</f>
        <v>-0.024000000208616257</v>
      </c>
      <c r="L1029" s="2" t="str">
        <v>NHẬP</v>
      </c>
      <c r="M1029" s="2" t="str"/>
      <c r="N1029" s="2" t="str">
        <v>KHAC</v>
      </c>
    </row>
    <row r="1030" ht="25" customHeight="1">
      <c r="A1030" s="2" t="str">
        <v>Q1113</v>
      </c>
      <c r="B1030" s="2" t="str">
        <v>KH012</v>
      </c>
      <c r="C1030" s="2" t="str">
        <v>KH012</v>
      </c>
      <c r="D1030" s="2" t="str">
        <v>S2-01113-BH</v>
      </c>
      <c r="E1030" s="2" t="str">
        <v>BAN_HANG</v>
      </c>
      <c r="F1030" s="2" t="str">
        <v>INP6004</v>
      </c>
      <c r="G1030" s="2" t="str">
        <v>2026-08-10</v>
      </c>
      <c r="H1030" s="2" t="str">
        <v>8700000.048</v>
      </c>
      <c r="I1030" s="28" t="n">
        <v>8700000.048</v>
      </c>
      <c r="J1030" s="7" t="n">
        <v>8700000</v>
      </c>
      <c r="K1030" s="28" t="n">
        <f>J1030-I1030</f>
        <v>-0.04800000041723251</v>
      </c>
      <c r="L1030" s="2" t="str">
        <v>NHẬP</v>
      </c>
      <c r="M1030" s="2" t="str"/>
      <c r="N1030" s="2" t="str">
        <v>KHAC</v>
      </c>
    </row>
    <row r="1031" ht="25" customHeight="1">
      <c r="A1031" s="2" t="str">
        <v>Q1114</v>
      </c>
      <c r="B1031" s="2" t="str">
        <v>KH012</v>
      </c>
      <c r="C1031" s="2" t="str">
        <v>KH012</v>
      </c>
      <c r="D1031" s="2" t="str">
        <v>S2-01113-BH</v>
      </c>
      <c r="E1031" s="2" t="str">
        <v>BAN_HANG</v>
      </c>
      <c r="F1031" s="2" t="str">
        <v>INP6005</v>
      </c>
      <c r="G1031" s="2" t="str">
        <v>2026-08-10</v>
      </c>
      <c r="H1031" s="2" t="str">
        <v>10350000.018</v>
      </c>
      <c r="I1031" s="28" t="n">
        <v>10350000.018</v>
      </c>
      <c r="J1031" s="7" t="n">
        <v>10350000</v>
      </c>
      <c r="K1031" s="28" t="n">
        <f>J1031-I1031</f>
        <v>-0.017999999225139618</v>
      </c>
      <c r="L1031" s="2" t="str">
        <v>NHẬP</v>
      </c>
      <c r="M1031" s="2" t="str"/>
      <c r="N1031" s="2" t="str">
        <v>KHAC</v>
      </c>
    </row>
    <row r="1032" ht="25" customHeight="1">
      <c r="A1032" s="2" t="str">
        <v>Q1115</v>
      </c>
      <c r="B1032" s="2" t="str">
        <v>KH012</v>
      </c>
      <c r="C1032" s="2" t="str">
        <v>KH012</v>
      </c>
      <c r="D1032" s="2" t="str">
        <v>S2-01113-BH</v>
      </c>
      <c r="E1032" s="2" t="str">
        <v>BAN_HANG</v>
      </c>
      <c r="F1032" s="2" t="str">
        <v>INP6006</v>
      </c>
      <c r="G1032" s="2" t="str">
        <v>2026-08-10</v>
      </c>
      <c r="H1032" s="2" t="str">
        <v>8550000.036</v>
      </c>
      <c r="I1032" s="28" t="n">
        <v>8550000.036</v>
      </c>
      <c r="J1032" s="7" t="n">
        <v>8550000</v>
      </c>
      <c r="K1032" s="28" t="n">
        <f>J1032-I1032</f>
        <v>-0.036000000312924385</v>
      </c>
      <c r="L1032" s="2" t="str">
        <v>NHẬP</v>
      </c>
      <c r="M1032" s="2" t="str"/>
      <c r="N1032" s="2" t="str">
        <v>KHAC</v>
      </c>
    </row>
    <row r="1033" ht="25" customHeight="1">
      <c r="A1033" s="2" t="str">
        <v>Q1116</v>
      </c>
      <c r="B1033" s="2" t="str">
        <v>KH012</v>
      </c>
      <c r="C1033" s="2" t="str">
        <v>KH012</v>
      </c>
      <c r="D1033" s="2" t="str">
        <v>S2-01113-BH</v>
      </c>
      <c r="E1033" s="2" t="str">
        <v>BAN_HANG</v>
      </c>
      <c r="F1033" s="2" t="str">
        <v>INP6007</v>
      </c>
      <c r="G1033" s="2" t="str">
        <v>2026-08-10</v>
      </c>
      <c r="H1033" s="2" t="str">
        <v>2720000.0016</v>
      </c>
      <c r="I1033" s="28" t="n">
        <v>2720000.0016</v>
      </c>
      <c r="J1033" s="7" t="n">
        <v>2720000</v>
      </c>
      <c r="K1033" s="28" t="n">
        <f>J1033-I1033</f>
        <v>-0.001600000075995922</v>
      </c>
      <c r="L1033" s="2" t="str">
        <v>NHẬP</v>
      </c>
      <c r="M1033" s="2" t="str"/>
      <c r="N1033" s="2" t="str">
        <v>KHAC</v>
      </c>
    </row>
    <row r="1034" ht="25" customHeight="1">
      <c r="A1034" s="2" t="str">
        <v>Q1117</v>
      </c>
      <c r="B1034" s="2" t="str">
        <v>KH012</v>
      </c>
      <c r="C1034" s="2" t="str">
        <v>KH012</v>
      </c>
      <c r="D1034" s="2" t="str">
        <v>S2-01113-BH</v>
      </c>
      <c r="E1034" s="2" t="str">
        <v>BAN_HANG</v>
      </c>
      <c r="F1034" s="2" t="str">
        <v>INP6008</v>
      </c>
      <c r="G1034" s="2" t="str">
        <v>2026-08-10</v>
      </c>
      <c r="H1034" s="2" t="str">
        <v>9299999.934</v>
      </c>
      <c r="I1034" s="28" t="n">
        <v>9299999.934</v>
      </c>
      <c r="J1034" s="7" t="n">
        <v>9300000</v>
      </c>
      <c r="K1034" s="28" t="n">
        <f>J1034-I1034</f>
        <v>0.06599999964237213</v>
      </c>
      <c r="L1034" s="2" t="str">
        <v>NHẬP</v>
      </c>
      <c r="M1034" s="2" t="str"/>
      <c r="N1034" s="2" t="str">
        <v>KHAC</v>
      </c>
    </row>
    <row r="1035" ht="25" customHeight="1">
      <c r="A1035" s="2" t="str">
        <v>Q1118</v>
      </c>
      <c r="B1035" s="2" t="str">
        <v>KH012</v>
      </c>
      <c r="C1035" s="2" t="str">
        <v>KH012</v>
      </c>
      <c r="D1035" s="2" t="str">
        <v>S2-01113-BH</v>
      </c>
      <c r="E1035" s="2" t="str">
        <v>BAN_HANG</v>
      </c>
      <c r="F1035" s="2" t="str">
        <v>INP6009</v>
      </c>
      <c r="G1035" s="2" t="str">
        <v>2026-08-10</v>
      </c>
      <c r="H1035" s="2" t="str">
        <v>11249999.928</v>
      </c>
      <c r="I1035" s="28" t="n">
        <v>11249999.928</v>
      </c>
      <c r="J1035" s="7" t="n">
        <v>11250000</v>
      </c>
      <c r="K1035" s="28" t="n">
        <f>J1035-I1035</f>
        <v>0.07200000062584877</v>
      </c>
      <c r="L1035" s="2" t="str">
        <v>NHẬP</v>
      </c>
      <c r="M1035" s="2" t="str"/>
      <c r="N1035" s="2" t="str">
        <v>KHAC</v>
      </c>
    </row>
    <row r="1036" ht="25" customHeight="1">
      <c r="A1036" s="2" t="str">
        <v>Q1119</v>
      </c>
      <c r="B1036" s="2" t="str">
        <v>KH012</v>
      </c>
      <c r="C1036" s="2" t="str">
        <v>KH012</v>
      </c>
      <c r="D1036" s="2" t="str">
        <v>S2-01113-BH</v>
      </c>
      <c r="E1036" s="2" t="str">
        <v>BAN_HANG</v>
      </c>
      <c r="F1036" s="2" t="str">
        <v>INP6010</v>
      </c>
      <c r="G1036" s="2" t="str">
        <v>2026-08-10</v>
      </c>
      <c r="H1036" s="2" t="str">
        <v>7799999.976</v>
      </c>
      <c r="I1036" s="28" t="n">
        <v>7799999.976</v>
      </c>
      <c r="J1036" s="7" t="n">
        <v>7800000</v>
      </c>
      <c r="K1036" s="28" t="n">
        <f>J1036-I1036</f>
        <v>0.024000000208616257</v>
      </c>
      <c r="L1036" s="2" t="str">
        <v>NHẬP</v>
      </c>
      <c r="M1036" s="2" t="str"/>
      <c r="N1036" s="2" t="str">
        <v>KHAC</v>
      </c>
    </row>
    <row r="1037" ht="25" customHeight="1">
      <c r="A1037" s="2" t="str">
        <v>Q1120</v>
      </c>
      <c r="B1037" s="2" t="str">
        <v>KH012</v>
      </c>
      <c r="C1037" s="2" t="str">
        <v>KH012</v>
      </c>
      <c r="D1037" s="2" t="str">
        <v>S2-01113-BH</v>
      </c>
      <c r="E1037" s="2" t="str">
        <v>BAN_HANG</v>
      </c>
      <c r="F1037" s="2" t="str">
        <v>INP6011</v>
      </c>
      <c r="G1037" s="2" t="str">
        <v>2026-08-10</v>
      </c>
      <c r="H1037" s="2" t="str">
        <v>16119999.8856</v>
      </c>
      <c r="I1037" s="28" t="n">
        <v>16119999.8856</v>
      </c>
      <c r="J1037" s="7" t="n">
        <v>16120000</v>
      </c>
      <c r="K1037" s="28" t="n">
        <f>J1037-I1037</f>
        <v>0.1143999993801117</v>
      </c>
      <c r="L1037" s="2" t="str">
        <v>NHẬP</v>
      </c>
      <c r="M1037" s="2" t="str"/>
      <c r="N1037" s="2" t="str">
        <v>KHAC</v>
      </c>
    </row>
    <row r="1038" ht="25" customHeight="1">
      <c r="A1038" s="2" t="str">
        <v>Q1121</v>
      </c>
      <c r="B1038" s="2" t="str">
        <v>KH012</v>
      </c>
      <c r="C1038" s="2" t="str">
        <v>KH012</v>
      </c>
      <c r="D1038" s="2" t="str">
        <v>S2-01121-BH</v>
      </c>
      <c r="E1038" s="2" t="str">
        <v>BAN_HANG</v>
      </c>
      <c r="F1038" s="2" t="str">
        <v>INP6901</v>
      </c>
      <c r="G1038" s="2" t="str">
        <v>2026-08-10</v>
      </c>
      <c r="H1038" s="2" t="str">
        <v>5579999.9928</v>
      </c>
      <c r="I1038" s="28" t="n">
        <v>5579999.9928</v>
      </c>
      <c r="J1038" s="7" t="n">
        <v>5580000</v>
      </c>
      <c r="K1038" s="28" t="n">
        <f>J1038-I1038</f>
        <v>0.007199999876320362</v>
      </c>
      <c r="L1038" s="2" t="str">
        <v>NHẬP</v>
      </c>
      <c r="M1038" s="2" t="str"/>
      <c r="N1038" s="2" t="str">
        <v>KHAC</v>
      </c>
    </row>
    <row r="1039" ht="25" customHeight="1">
      <c r="A1039" s="2" t="str">
        <v>Q1122</v>
      </c>
      <c r="B1039" s="2" t="str">
        <v>KH012</v>
      </c>
      <c r="C1039" s="2" t="str">
        <v>KH012</v>
      </c>
      <c r="D1039" s="2" t="str">
        <v>S2-01103-BH</v>
      </c>
      <c r="E1039" s="2" t="str">
        <v>BAN_HANG</v>
      </c>
      <c r="F1039" s="2" t="str">
        <v>INP6903</v>
      </c>
      <c r="G1039" s="2" t="str">
        <v>2026-08-10</v>
      </c>
      <c r="H1039" s="2" t="str">
        <v>5880000.0168</v>
      </c>
      <c r="I1039" s="28" t="n">
        <v>5880000.0168</v>
      </c>
      <c r="J1039" s="7" t="n">
        <v>5880000</v>
      </c>
      <c r="K1039" s="28" t="n">
        <f>J1039-I1039</f>
        <v>-0.016800000332295895</v>
      </c>
      <c r="L1039" s="2" t="str">
        <v>NHẬP</v>
      </c>
      <c r="M1039" s="2" t="str"/>
      <c r="N1039" s="2" t="str">
        <v>KHAC</v>
      </c>
    </row>
    <row r="1040" ht="25" customHeight="1">
      <c r="A1040" s="2" t="str">
        <v>Q1123</v>
      </c>
      <c r="B1040" s="2" t="str">
        <v>KH012</v>
      </c>
      <c r="C1040" s="2" t="str">
        <v>KH012</v>
      </c>
      <c r="D1040" s="2" t="str">
        <v>S2-01103-BH</v>
      </c>
      <c r="E1040" s="2" t="str">
        <v>BAN_HANG</v>
      </c>
      <c r="F1040" s="2" t="str">
        <v>INP6101</v>
      </c>
      <c r="G1040" s="2" t="str">
        <v>2026-08-10</v>
      </c>
      <c r="H1040" s="2" t="str">
        <v>3899999.988</v>
      </c>
      <c r="I1040" s="28" t="n">
        <v>3899999.988</v>
      </c>
      <c r="J1040" s="7" t="n">
        <v>3900000</v>
      </c>
      <c r="K1040" s="28" t="n">
        <f>J1040-I1040</f>
        <v>0.012000000104308128</v>
      </c>
      <c r="L1040" s="2" t="str">
        <v>NHẬP</v>
      </c>
      <c r="M1040" s="2" t="str"/>
      <c r="N1040" s="2" t="str">
        <v>KHAC</v>
      </c>
    </row>
    <row r="1041" ht="25" customHeight="1">
      <c r="A1041" s="2" t="str">
        <v>Q1124</v>
      </c>
      <c r="B1041" s="2" t="str">
        <v>KH012</v>
      </c>
      <c r="C1041" s="2" t="str">
        <v>KH012</v>
      </c>
      <c r="D1041" s="2" t="str">
        <v>S2-01103-BH</v>
      </c>
      <c r="E1041" s="2" t="str">
        <v>BAN_HANG</v>
      </c>
      <c r="F1041" s="2" t="str">
        <v>INP6103</v>
      </c>
      <c r="G1041" s="2" t="str">
        <v>2026-08-10</v>
      </c>
      <c r="H1041" s="2" t="str">
        <v>5177999.9736</v>
      </c>
      <c r="I1041" s="28" t="n">
        <v>5177999.9736</v>
      </c>
      <c r="J1041" s="7" t="n">
        <v>5178000</v>
      </c>
      <c r="K1041" s="28" t="n">
        <f>J1041-I1041</f>
        <v>0.026399999856948853</v>
      </c>
      <c r="L1041" s="2" t="str">
        <v>NHẬP</v>
      </c>
      <c r="M1041" s="2" t="str"/>
      <c r="N1041" s="2" t="str">
        <v>KHAC</v>
      </c>
    </row>
    <row r="1042" ht="25" customHeight="1">
      <c r="A1042" s="2" t="str">
        <v>Q1125</v>
      </c>
      <c r="B1042" s="2" t="str">
        <v>KH012</v>
      </c>
      <c r="C1042" s="2" t="str">
        <v>KH012</v>
      </c>
      <c r="D1042" s="2" t="str">
        <v>S2-01112-BH</v>
      </c>
      <c r="E1042" s="2" t="str">
        <v>BAN_HANG</v>
      </c>
      <c r="F1042" s="2" t="str">
        <v>INP6105</v>
      </c>
      <c r="G1042" s="2" t="str">
        <v>2026-08-10</v>
      </c>
      <c r="H1042" s="2" t="str">
        <v>4380000.0264</v>
      </c>
      <c r="I1042" s="28" t="n">
        <v>4380000.0264</v>
      </c>
      <c r="J1042" s="7" t="n">
        <v>4380000</v>
      </c>
      <c r="K1042" s="28" t="n">
        <f>J1042-I1042</f>
        <v>-0.026399999856948853</v>
      </c>
      <c r="L1042" s="2" t="str">
        <v>NHẬP</v>
      </c>
      <c r="M1042" s="2" t="str"/>
      <c r="N1042" s="2" t="str">
        <v>KHAC</v>
      </c>
    </row>
    <row r="1043" ht="25" customHeight="1">
      <c r="A1043" s="2" t="str">
        <v>Q1126</v>
      </c>
      <c r="B1043" s="2" t="str">
        <v>KH012</v>
      </c>
      <c r="C1043" s="2" t="str">
        <v>KH012</v>
      </c>
      <c r="D1043" s="2" t="str">
        <v>S2-01103-BH</v>
      </c>
      <c r="E1043" s="2" t="str">
        <v>BAN_HANG</v>
      </c>
      <c r="F1043" s="2" t="str">
        <v>INP1203</v>
      </c>
      <c r="G1043" s="2" t="str">
        <v>2026-08-10</v>
      </c>
      <c r="H1043" s="2" t="str">
        <v>5319999.972</v>
      </c>
      <c r="I1043" s="28" t="n">
        <v>5319999.972</v>
      </c>
      <c r="J1043" s="7" t="n">
        <v>5320000</v>
      </c>
      <c r="K1043" s="28" t="n">
        <f>J1043-I1043</f>
        <v>0.027999999932944775</v>
      </c>
      <c r="L1043" s="2" t="str">
        <v>NHẬP</v>
      </c>
      <c r="M1043" s="2" t="str"/>
      <c r="N1043" s="2" t="str">
        <v>KHAC</v>
      </c>
    </row>
    <row r="1044" ht="25" customHeight="1">
      <c r="A1044" s="2" t="str">
        <v>Q1135</v>
      </c>
      <c r="B1044" s="2" t="str">
        <v>KH015</v>
      </c>
      <c r="C1044" s="2" t="str">
        <v>KH015</v>
      </c>
      <c r="D1044" s="2" t="str">
        <v>S2-01135-BH</v>
      </c>
      <c r="E1044" s="2" t="str">
        <v>BAN_HANG</v>
      </c>
      <c r="F1044" s="2" t="str">
        <v>INP1203</v>
      </c>
      <c r="G1044" s="2" t="str">
        <v>2026-08-10</v>
      </c>
      <c r="H1044" s="2" t="str">
        <v>7040000.0448</v>
      </c>
      <c r="I1044" s="28" t="n">
        <v>7040000.0448</v>
      </c>
      <c r="J1044" s="7" t="n">
        <v>7040000</v>
      </c>
      <c r="K1044" s="28" t="n">
        <f>J1044-I1044</f>
        <v>-0.04480000026524067</v>
      </c>
      <c r="L1044" s="2" t="str">
        <v>NHẬP</v>
      </c>
      <c r="M1044" s="2" t="str"/>
      <c r="N1044" s="2" t="str">
        <v>KHAC</v>
      </c>
    </row>
    <row r="1045" ht="25" customHeight="1">
      <c r="A1045" s="2" t="str">
        <v>Q1136</v>
      </c>
      <c r="B1045" s="2" t="str">
        <v>KH015</v>
      </c>
      <c r="C1045" s="2" t="str">
        <v>KH015</v>
      </c>
      <c r="D1045" s="2" t="str">
        <v>S2-01136-BH</v>
      </c>
      <c r="E1045" s="2" t="str">
        <v>BAN_HANG</v>
      </c>
      <c r="F1045" s="2" t="str">
        <v>INP3001</v>
      </c>
      <c r="G1045" s="2" t="str">
        <v>2026-08-10</v>
      </c>
      <c r="H1045" s="2" t="str">
        <v>2479999.9824</v>
      </c>
      <c r="I1045" s="28" t="n">
        <v>2479999.9824</v>
      </c>
      <c r="J1045" s="7" t="n">
        <v>2480000</v>
      </c>
      <c r="K1045" s="28" t="n">
        <f>J1045-I1045</f>
        <v>0.01759999990463257</v>
      </c>
      <c r="L1045" s="2" t="str">
        <v>NHẬP</v>
      </c>
      <c r="M1045" s="2" t="str"/>
      <c r="N1045" s="2" t="str">
        <v>KHAC</v>
      </c>
    </row>
    <row r="1046" ht="25" customHeight="1">
      <c r="A1046" s="2" t="str">
        <v>Q1137</v>
      </c>
      <c r="B1046" s="2" t="str">
        <v>KH015</v>
      </c>
      <c r="C1046" s="2" t="str">
        <v>KH015</v>
      </c>
      <c r="D1046" s="2" t="str">
        <v>S2-01136-BH</v>
      </c>
      <c r="E1046" s="2" t="str">
        <v>BAN_HANG</v>
      </c>
      <c r="F1046" s="2" t="str">
        <v>INP3002</v>
      </c>
      <c r="G1046" s="2" t="str">
        <v>2026-08-10</v>
      </c>
      <c r="H1046" s="2" t="str">
        <v>1710000.0072</v>
      </c>
      <c r="I1046" s="28" t="n">
        <v>1710000.0072</v>
      </c>
      <c r="J1046" s="7" t="n">
        <v>1710000</v>
      </c>
      <c r="K1046" s="28" t="n">
        <f>J1046-I1046</f>
        <v>-0.007200000109151006</v>
      </c>
      <c r="L1046" s="2" t="str">
        <v>NHẬP</v>
      </c>
      <c r="M1046" s="2" t="str"/>
      <c r="N1046" s="2" t="str">
        <v>KHAC</v>
      </c>
    </row>
    <row r="1047" ht="25" customHeight="1">
      <c r="A1047" s="2" t="str">
        <v>Q1138</v>
      </c>
      <c r="B1047" s="2" t="str">
        <v>KH015</v>
      </c>
      <c r="C1047" s="2" t="str">
        <v>KH015</v>
      </c>
      <c r="D1047" s="2" t="str">
        <v>S2-01136-BH</v>
      </c>
      <c r="E1047" s="2" t="str">
        <v>BAN_HANG</v>
      </c>
      <c r="F1047" s="2" t="str">
        <v>INP3003</v>
      </c>
      <c r="G1047" s="2" t="str">
        <v>2026-08-10</v>
      </c>
      <c r="H1047" s="2" t="str">
        <v>2320000.0128</v>
      </c>
      <c r="I1047" s="28" t="n">
        <v>2320000.0128</v>
      </c>
      <c r="J1047" s="7" t="n">
        <v>2320000</v>
      </c>
      <c r="K1047" s="28" t="n">
        <f>J1047-I1047</f>
        <v>-0.01280000014230609</v>
      </c>
      <c r="L1047" s="2" t="str">
        <v>NHẬP</v>
      </c>
      <c r="M1047" s="2" t="str"/>
      <c r="N1047" s="2" t="str">
        <v>KHAC</v>
      </c>
    </row>
    <row r="1048" ht="25" customHeight="1">
      <c r="A1048" s="2" t="str">
        <v>Q1139</v>
      </c>
      <c r="B1048" s="2" t="str">
        <v>KH015</v>
      </c>
      <c r="C1048" s="2" t="str">
        <v>KH015</v>
      </c>
      <c r="D1048" s="2" t="str">
        <v>S2-01136-BH</v>
      </c>
      <c r="E1048" s="2" t="str">
        <v>BAN_HANG</v>
      </c>
      <c r="F1048" s="2" t="str">
        <v>INP3004</v>
      </c>
      <c r="G1048" s="2" t="str">
        <v>2026-08-10</v>
      </c>
      <c r="H1048" s="2" t="str">
        <v>1920000.024</v>
      </c>
      <c r="I1048" s="28" t="n">
        <v>1920000.024</v>
      </c>
      <c r="J1048" s="7" t="n">
        <v>1920000</v>
      </c>
      <c r="K1048" s="28" t="n">
        <f>J1048-I1048</f>
        <v>-0.023999999975785613</v>
      </c>
      <c r="L1048" s="2" t="str">
        <v>NHẬP</v>
      </c>
      <c r="M1048" s="2" t="str"/>
      <c r="N1048" s="2" t="str">
        <v>KHAC</v>
      </c>
    </row>
    <row r="1049" ht="25" customHeight="1">
      <c r="A1049" s="2" t="str">
        <v>Q1140</v>
      </c>
      <c r="B1049" s="2" t="str">
        <v>KH015</v>
      </c>
      <c r="C1049" s="2" t="str">
        <v>KH015</v>
      </c>
      <c r="D1049" s="2" t="str">
        <v>S2-01136-BH</v>
      </c>
      <c r="E1049" s="2" t="str">
        <v>BAN_HANG</v>
      </c>
      <c r="F1049" s="2" t="str">
        <v>INP3005</v>
      </c>
      <c r="G1049" s="2" t="str">
        <v>2026-08-10</v>
      </c>
      <c r="H1049" s="2" t="str">
        <v>2519999.9748</v>
      </c>
      <c r="I1049" s="28" t="n">
        <v>2519999.9748</v>
      </c>
      <c r="J1049" s="7" t="n">
        <v>2520000</v>
      </c>
      <c r="K1049" s="28" t="n">
        <f>J1049-I1049</f>
        <v>0.025200000032782555</v>
      </c>
      <c r="L1049" s="2" t="str">
        <v>NHẬP</v>
      </c>
      <c r="M1049" s="2" t="str"/>
      <c r="N1049" s="2" t="str">
        <v>KHAC</v>
      </c>
    </row>
    <row r="1050" ht="25" customHeight="1">
      <c r="A1050" s="2" t="str">
        <v>Q1141</v>
      </c>
      <c r="B1050" s="2" t="str">
        <v>KH015</v>
      </c>
      <c r="C1050" s="2" t="str">
        <v>KH015</v>
      </c>
      <c r="D1050" s="2" t="str">
        <v>S2-01136-BH</v>
      </c>
      <c r="E1050" s="2" t="str">
        <v>BAN_HANG</v>
      </c>
      <c r="F1050" s="2" t="str">
        <v>INP3201</v>
      </c>
      <c r="G1050" s="2" t="str">
        <v>2026-08-10</v>
      </c>
      <c r="H1050" s="2" t="str">
        <v>1039999.9968</v>
      </c>
      <c r="I1050" s="28" t="n">
        <v>1039999.9968</v>
      </c>
      <c r="J1050" s="7" t="n">
        <v>1040000</v>
      </c>
      <c r="K1050" s="28" t="n">
        <f>J1050-I1050</f>
        <v>0.0032000000355765224</v>
      </c>
      <c r="L1050" s="2" t="str">
        <v>NHẬP</v>
      </c>
      <c r="M1050" s="2" t="str"/>
      <c r="N1050" s="2" t="str">
        <v>KHAC</v>
      </c>
    </row>
    <row r="1051" ht="25" customHeight="1">
      <c r="A1051" s="2" t="str">
        <v>Q1142</v>
      </c>
      <c r="B1051" s="2" t="str">
        <v>KH015</v>
      </c>
      <c r="C1051" s="2" t="str">
        <v>KH015</v>
      </c>
      <c r="D1051" s="2" t="str">
        <v>S2-01136-BH</v>
      </c>
      <c r="E1051" s="2" t="str">
        <v>BAN_HANG</v>
      </c>
      <c r="F1051" s="2" t="str">
        <v>INP6602</v>
      </c>
      <c r="G1051" s="2" t="str">
        <v>2026-08-10</v>
      </c>
      <c r="H1051" s="2" t="str">
        <v>4409999.9964</v>
      </c>
      <c r="I1051" s="28" t="n">
        <v>4409999.9964</v>
      </c>
      <c r="J1051" s="7" t="n">
        <v>4410000</v>
      </c>
      <c r="K1051" s="28" t="n">
        <f>J1051-I1051</f>
        <v>0.0036000004038214684</v>
      </c>
      <c r="L1051" s="2" t="str">
        <v>NHẬP</v>
      </c>
      <c r="M1051" s="2" t="str"/>
      <c r="N1051" s="2" t="str">
        <v>KHAC</v>
      </c>
    </row>
    <row r="1052" ht="25" customHeight="1">
      <c r="A1052" s="2" t="str">
        <v>Q1143</v>
      </c>
      <c r="B1052" s="2" t="str">
        <v>KH082</v>
      </c>
      <c r="C1052" s="2" t="str">
        <v>KH082</v>
      </c>
      <c r="D1052" s="2" t="str">
        <v>S2-01143-BH</v>
      </c>
      <c r="E1052" s="2" t="str">
        <v>BAN_HANG</v>
      </c>
      <c r="F1052" s="2" t="str">
        <v>INP6103</v>
      </c>
      <c r="G1052" s="2" t="str">
        <v>2026-08-10</v>
      </c>
      <c r="H1052" s="2" t="str">
        <v>2699999.9892</v>
      </c>
      <c r="I1052" s="28" t="n">
        <v>2699999.9892</v>
      </c>
      <c r="J1052" s="7" t="n">
        <v>2700000</v>
      </c>
      <c r="K1052" s="28" t="n">
        <f>J1052-I1052</f>
        <v>0.010799999814480543</v>
      </c>
      <c r="L1052" s="2" t="str">
        <v>NHẬP</v>
      </c>
      <c r="M1052" s="2" t="str"/>
      <c r="N1052" s="2" t="str">
        <v>KHAC</v>
      </c>
    </row>
    <row r="1053" ht="25" customHeight="1">
      <c r="A1053" s="2" t="str">
        <v>Q1145</v>
      </c>
      <c r="B1053" s="2" t="str">
        <v>KH005</v>
      </c>
      <c r="C1053" s="2" t="str">
        <v>KH005</v>
      </c>
      <c r="D1053" s="2" t="str">
        <v>S2-01145-BH</v>
      </c>
      <c r="E1053" s="2" t="str">
        <v>BAN_HANG</v>
      </c>
      <c r="F1053" s="2" t="str">
        <v>INP6601</v>
      </c>
      <c r="G1053" s="2" t="str">
        <v>2026-08-10</v>
      </c>
      <c r="H1053" s="2" t="str">
        <v>1299999.996</v>
      </c>
      <c r="I1053" s="28" t="n">
        <v>1299999.996</v>
      </c>
      <c r="J1053" s="7" t="n">
        <v>1300000</v>
      </c>
      <c r="K1053" s="28" t="n">
        <f>J1053-I1053</f>
        <v>0.003999999957159162</v>
      </c>
      <c r="L1053" s="2" t="str">
        <v>NHẬP</v>
      </c>
      <c r="M1053" s="2" t="str"/>
      <c r="N1053" s="2" t="str">
        <v>KHAC</v>
      </c>
    </row>
    <row r="1054" ht="25" customHeight="1">
      <c r="A1054" s="2" t="str">
        <v>Q1146</v>
      </c>
      <c r="B1054" s="2" t="str">
        <v>KH005</v>
      </c>
      <c r="C1054" s="2" t="str">
        <v>KH005</v>
      </c>
      <c r="D1054" s="2" t="str">
        <v>S2-01145-BH</v>
      </c>
      <c r="E1054" s="2" t="str">
        <v>BAN_HANG</v>
      </c>
      <c r="F1054" s="2" t="str">
        <v>INP6602</v>
      </c>
      <c r="G1054" s="2" t="str">
        <v>2026-08-10</v>
      </c>
      <c r="H1054" s="2" t="str">
        <v>1469999.9988</v>
      </c>
      <c r="I1054" s="28" t="n">
        <v>1469999.9988</v>
      </c>
      <c r="J1054" s="7" t="n">
        <v>1470000</v>
      </c>
      <c r="K1054" s="28" t="n">
        <f>J1054-I1054</f>
        <v>0.0012000000569969416</v>
      </c>
      <c r="L1054" s="2" t="str">
        <v>NHẬP</v>
      </c>
      <c r="M1054" s="2" t="str"/>
      <c r="N1054" s="2" t="str">
        <v>KHAC</v>
      </c>
    </row>
    <row r="1055" ht="25" customHeight="1">
      <c r="A1055" s="2" t="str">
        <v>Q1147</v>
      </c>
      <c r="B1055" s="2" t="str">
        <v>KH005</v>
      </c>
      <c r="C1055" s="2" t="str">
        <v>KH005</v>
      </c>
      <c r="D1055" s="2" t="str">
        <v>S2-01145-BH</v>
      </c>
      <c r="E1055" s="2" t="str">
        <v>BAN_HANG</v>
      </c>
      <c r="F1055" s="2" t="str">
        <v>INP6002</v>
      </c>
      <c r="G1055" s="2" t="str">
        <v>2026-08-10</v>
      </c>
      <c r="H1055" s="2" t="str">
        <v>3554999.9928</v>
      </c>
      <c r="I1055" s="28" t="n">
        <v>3554999.9928</v>
      </c>
      <c r="J1055" s="7" t="n">
        <v>3555000</v>
      </c>
      <c r="K1055" s="28" t="n">
        <f>J1055-I1055</f>
        <v>0.007199999876320362</v>
      </c>
      <c r="L1055" s="2" t="str">
        <v>NHẬP</v>
      </c>
      <c r="M1055" s="2" t="str"/>
      <c r="N1055" s="2" t="str">
        <v>KHAC</v>
      </c>
    </row>
    <row r="1056" ht="25" customHeight="1">
      <c r="A1056" s="2" t="str">
        <v>Q1148</v>
      </c>
      <c r="B1056" s="2" t="str">
        <v>KH005</v>
      </c>
      <c r="C1056" s="2" t="str">
        <v>KH005</v>
      </c>
      <c r="D1056" s="2" t="str">
        <v>S2-01145-BH</v>
      </c>
      <c r="E1056" s="2" t="str">
        <v>BAN_HANG</v>
      </c>
      <c r="F1056" s="2" t="str">
        <v>INP6202</v>
      </c>
      <c r="G1056" s="2" t="str">
        <v>2026-08-10</v>
      </c>
      <c r="H1056" s="2" t="str">
        <v>703999.9872</v>
      </c>
      <c r="I1056" s="28" t="n">
        <v>703999.9872</v>
      </c>
      <c r="J1056" s="7" t="n">
        <v>704000</v>
      </c>
      <c r="K1056" s="28" t="n">
        <f>J1056-I1056</f>
        <v>0.012800000025890768</v>
      </c>
      <c r="L1056" s="2" t="str">
        <v>NHẬP</v>
      </c>
      <c r="M1056" s="2" t="str"/>
      <c r="N1056" s="2" t="str">
        <v>KHAC</v>
      </c>
    </row>
    <row r="1057" ht="25" customHeight="1">
      <c r="A1057" s="2" t="str">
        <v>R1149</v>
      </c>
      <c r="B1057" s="2" t="str">
        <v>KH006</v>
      </c>
      <c r="C1057" s="2" t="str">
        <v>KH006</v>
      </c>
      <c r="D1057" s="2" t="str">
        <v>S2-01149-TT</v>
      </c>
      <c r="E1057" s="2" t="str">
        <v>THU_TIEN</v>
      </c>
      <c r="F1057" s="2" t="str"/>
      <c r="G1057" s="2" t="str">
        <v>2026-08-11</v>
      </c>
      <c r="H1057" s="2" t="str">
        <v>31748000</v>
      </c>
      <c r="I1057" s="28" t="n">
        <v>31748000</v>
      </c>
      <c r="J1057" s="7" t="n">
        <v>31748000</v>
      </c>
      <c r="K1057" s="28" t="n">
        <f>J1057-I1057</f>
        <v>0</v>
      </c>
      <c r="L1057" s="2" t="str">
        <v>NHẬP</v>
      </c>
      <c r="M1057" s="2" t="str"/>
      <c r="N1057" s="2" t="str">
        <v>KHAC</v>
      </c>
    </row>
    <row r="1058" ht="25" customHeight="1">
      <c r="A1058" s="2" t="str">
        <v>Q1150</v>
      </c>
      <c r="B1058" s="2" t="str">
        <v>KH011</v>
      </c>
      <c r="C1058" s="2" t="str">
        <v>KH011</v>
      </c>
      <c r="D1058" s="2" t="str">
        <v>S2-01150-BH</v>
      </c>
      <c r="E1058" s="2" t="str">
        <v>BAN_HANG</v>
      </c>
      <c r="F1058" s="2" t="str">
        <v>INP1001</v>
      </c>
      <c r="G1058" s="2" t="str">
        <v>2026-08-11</v>
      </c>
      <c r="H1058" s="2" t="str">
        <v>1038000.0096</v>
      </c>
      <c r="I1058" s="28" t="n">
        <v>1038000.0096</v>
      </c>
      <c r="J1058" s="7" t="n">
        <v>1038000</v>
      </c>
      <c r="K1058" s="28" t="n">
        <f>J1058-I1058</f>
        <v>-0.009599999990314245</v>
      </c>
      <c r="L1058" s="2" t="str">
        <v>NHẬP</v>
      </c>
      <c r="M1058" s="2" t="str"/>
      <c r="N1058" s="2" t="str">
        <v>KHAC</v>
      </c>
    </row>
    <row r="1059" ht="25" customHeight="1">
      <c r="A1059" s="2" t="str">
        <v>Q1151</v>
      </c>
      <c r="B1059" s="2" t="str">
        <v>KH011</v>
      </c>
      <c r="C1059" s="2" t="str">
        <v>KH011</v>
      </c>
      <c r="D1059" s="2" t="str">
        <v>S2-01150-BH</v>
      </c>
      <c r="E1059" s="2" t="str">
        <v>BAN_HANG</v>
      </c>
      <c r="F1059" s="2" t="str">
        <v>INP1002</v>
      </c>
      <c r="G1059" s="2" t="str">
        <v>2026-08-11</v>
      </c>
      <c r="H1059" s="2" t="str">
        <v>1397999.9952</v>
      </c>
      <c r="I1059" s="28" t="n">
        <v>1397999.9952</v>
      </c>
      <c r="J1059" s="7" t="n">
        <v>1398000</v>
      </c>
      <c r="K1059" s="28" t="n">
        <f>J1059-I1059</f>
        <v>0.004799999995157123</v>
      </c>
      <c r="L1059" s="2" t="str">
        <v>NHẬP</v>
      </c>
      <c r="M1059" s="2" t="str"/>
      <c r="N1059" s="2" t="str">
        <v>KHAC</v>
      </c>
    </row>
    <row r="1060" ht="25" customHeight="1">
      <c r="A1060" s="2" t="str">
        <v>Q1152</v>
      </c>
      <c r="B1060" s="2" t="str">
        <v>KH011</v>
      </c>
      <c r="C1060" s="2" t="str">
        <v>KH011</v>
      </c>
      <c r="D1060" s="2" t="str">
        <v>S2-01150-BH</v>
      </c>
      <c r="E1060" s="2" t="str">
        <v>BAN_HANG</v>
      </c>
      <c r="F1060" s="2" t="str">
        <v>INP1003</v>
      </c>
      <c r="G1060" s="2" t="str">
        <v>2026-08-11</v>
      </c>
      <c r="H1060" s="2" t="str">
        <v>4199999.9472</v>
      </c>
      <c r="I1060" s="28" t="n">
        <v>4199999.9472</v>
      </c>
      <c r="J1060" s="7" t="n">
        <v>4200000</v>
      </c>
      <c r="K1060" s="28" t="n">
        <f>J1060-I1060</f>
        <v>0.052799999713897705</v>
      </c>
      <c r="L1060" s="2" t="str">
        <v>NHẬP</v>
      </c>
      <c r="M1060" s="2" t="str"/>
      <c r="N1060" s="2" t="str">
        <v>KHAC</v>
      </c>
    </row>
    <row r="1061" ht="25" customHeight="1">
      <c r="A1061" s="2" t="str">
        <v>Q1153</v>
      </c>
      <c r="B1061" s="2" t="str">
        <v>KH011</v>
      </c>
      <c r="C1061" s="2" t="str">
        <v>KH011</v>
      </c>
      <c r="D1061" s="2" t="str">
        <v>S2-01150-BH</v>
      </c>
      <c r="E1061" s="2" t="str">
        <v>BAN_HANG</v>
      </c>
      <c r="F1061" s="2" t="str">
        <v>INP1101</v>
      </c>
      <c r="G1061" s="2" t="str">
        <v>2026-08-11</v>
      </c>
      <c r="H1061" s="2" t="str">
        <v>1043999.9928</v>
      </c>
      <c r="I1061" s="28" t="n">
        <v>1043999.9928</v>
      </c>
      <c r="J1061" s="7" t="n">
        <v>1044000</v>
      </c>
      <c r="K1061" s="28" t="n">
        <f>J1061-I1061</f>
        <v>0.007199999992735684</v>
      </c>
      <c r="L1061" s="2" t="str">
        <v>NHẬP</v>
      </c>
      <c r="M1061" s="2" t="str"/>
      <c r="N1061" s="2" t="str">
        <v>KHAC</v>
      </c>
    </row>
    <row r="1062" ht="25" customHeight="1">
      <c r="A1062" s="2" t="str">
        <v>Q1154</v>
      </c>
      <c r="B1062" s="2" t="str">
        <v>KH011</v>
      </c>
      <c r="C1062" s="2" t="str">
        <v>KH011</v>
      </c>
      <c r="D1062" s="2" t="str">
        <v>S2-01150-BH</v>
      </c>
      <c r="E1062" s="2" t="str">
        <v>BAN_HANG</v>
      </c>
      <c r="F1062" s="2" t="str">
        <v>INP1401</v>
      </c>
      <c r="G1062" s="2" t="str">
        <v>2026-08-11</v>
      </c>
      <c r="H1062" s="2" t="str">
        <v>3559999.9824</v>
      </c>
      <c r="I1062" s="28" t="n">
        <v>3559999.9824</v>
      </c>
      <c r="J1062" s="7" t="n">
        <v>3560000</v>
      </c>
      <c r="K1062" s="28" t="n">
        <f>J1062-I1062</f>
        <v>0.01759999990463257</v>
      </c>
      <c r="L1062" s="2" t="str">
        <v>NHẬP</v>
      </c>
      <c r="M1062" s="2" t="str"/>
      <c r="N1062" s="2" t="str">
        <v>KHAC</v>
      </c>
    </row>
    <row r="1063" ht="25" customHeight="1">
      <c r="A1063" s="2" t="str">
        <v>Q1155</v>
      </c>
      <c r="B1063" s="2" t="str">
        <v>KH011</v>
      </c>
      <c r="C1063" s="2" t="str">
        <v>KH011</v>
      </c>
      <c r="D1063" s="2" t="str">
        <v>S2-01150-BH</v>
      </c>
      <c r="E1063" s="2" t="str">
        <v>BAN_HANG</v>
      </c>
      <c r="F1063" s="2" t="str">
        <v>INP2001</v>
      </c>
      <c r="G1063" s="2" t="str">
        <v>2026-08-11</v>
      </c>
      <c r="H1063" s="2" t="str">
        <v>4508000.0064</v>
      </c>
      <c r="I1063" s="28" t="n">
        <v>4508000.0064</v>
      </c>
      <c r="J1063" s="7" t="n">
        <v>4508000</v>
      </c>
      <c r="K1063" s="28" t="n">
        <f>J1063-I1063</f>
        <v>-0.006400000303983688</v>
      </c>
      <c r="L1063" s="2" t="str">
        <v>NHẬP</v>
      </c>
      <c r="M1063" s="2" t="str"/>
      <c r="N1063" s="2" t="str">
        <v>KHAC</v>
      </c>
    </row>
    <row r="1064" ht="25" customHeight="1">
      <c r="A1064" s="2" t="str">
        <v>Q1156</v>
      </c>
      <c r="B1064" s="2" t="str">
        <v>KH011</v>
      </c>
      <c r="C1064" s="2" t="str">
        <v>KH011</v>
      </c>
      <c r="D1064" s="2" t="str">
        <v>S2-01150-BH</v>
      </c>
      <c r="E1064" s="2" t="str">
        <v>BAN_HANG</v>
      </c>
      <c r="F1064" s="2" t="str">
        <v>INP2002</v>
      </c>
      <c r="G1064" s="2" t="str">
        <v>2026-08-11</v>
      </c>
      <c r="H1064" s="2" t="str">
        <v>3679999.992</v>
      </c>
      <c r="I1064" s="28" t="n">
        <v>3679999.992</v>
      </c>
      <c r="J1064" s="7" t="n">
        <v>3680000</v>
      </c>
      <c r="K1064" s="28" t="n">
        <f>J1064-I1064</f>
        <v>0.007999999914318323</v>
      </c>
      <c r="L1064" s="2" t="str">
        <v>NHẬP</v>
      </c>
      <c r="M1064" s="2" t="str"/>
      <c r="N1064" s="2" t="str">
        <v>KHAC</v>
      </c>
    </row>
    <row r="1065" ht="25" customHeight="1">
      <c r="A1065" s="2" t="str">
        <v>Q1157</v>
      </c>
      <c r="B1065" s="2" t="str">
        <v>KH011</v>
      </c>
      <c r="C1065" s="2" t="str">
        <v>KH011</v>
      </c>
      <c r="D1065" s="2" t="str">
        <v>S2-01150-BH</v>
      </c>
      <c r="E1065" s="2" t="str">
        <v>BAN_HANG</v>
      </c>
      <c r="F1065" s="2" t="str">
        <v>INP2101</v>
      </c>
      <c r="G1065" s="2" t="str">
        <v>2026-08-11</v>
      </c>
      <c r="H1065" s="2" t="str">
        <v>5060000.016</v>
      </c>
      <c r="I1065" s="28" t="n">
        <v>5060000.016</v>
      </c>
      <c r="J1065" s="7" t="n">
        <v>5060000</v>
      </c>
      <c r="K1065" s="28" t="n">
        <f>J1065-I1065</f>
        <v>-0.015999999828636646</v>
      </c>
      <c r="L1065" s="2" t="str">
        <v>NHẬP</v>
      </c>
      <c r="M1065" s="2" t="str"/>
      <c r="N1065" s="2" t="str">
        <v>KHAC</v>
      </c>
    </row>
    <row r="1066" ht="25" customHeight="1">
      <c r="A1066" s="2" t="str">
        <v>Q1158</v>
      </c>
      <c r="B1066" s="2" t="str">
        <v>KH011</v>
      </c>
      <c r="C1066" s="2" t="str">
        <v>KH011</v>
      </c>
      <c r="D1066" s="2" t="str">
        <v>S2-01150-BH</v>
      </c>
      <c r="E1066" s="2" t="str">
        <v>BAN_HANG</v>
      </c>
      <c r="F1066" s="2" t="str">
        <v>INP2102</v>
      </c>
      <c r="G1066" s="2" t="str">
        <v>2026-08-11</v>
      </c>
      <c r="H1066" s="2" t="str">
        <v>8309999.952</v>
      </c>
      <c r="I1066" s="28" t="n">
        <v>8309999.952</v>
      </c>
      <c r="J1066" s="7" t="n">
        <v>8310000</v>
      </c>
      <c r="K1066" s="28" t="n">
        <f>J1066-I1066</f>
        <v>0.04800000041723251</v>
      </c>
      <c r="L1066" s="2" t="str">
        <v>NHẬP</v>
      </c>
      <c r="M1066" s="2" t="str"/>
      <c r="N1066" s="2" t="str">
        <v>KHAC</v>
      </c>
    </row>
    <row r="1067" ht="25" customHeight="1">
      <c r="A1067" s="2" t="str">
        <v>Q1159</v>
      </c>
      <c r="B1067" s="2" t="str">
        <v>KH011</v>
      </c>
      <c r="C1067" s="2" t="str">
        <v>KH011</v>
      </c>
      <c r="D1067" s="2" t="str">
        <v>S2-01150-BH</v>
      </c>
      <c r="E1067" s="2" t="str">
        <v>BAN_HANG</v>
      </c>
      <c r="F1067" s="2" t="str">
        <v>INP2103</v>
      </c>
      <c r="G1067" s="2" t="str">
        <v>2026-08-11</v>
      </c>
      <c r="H1067" s="2" t="str">
        <v>9119999.952</v>
      </c>
      <c r="I1067" s="28" t="n">
        <v>9119999.952</v>
      </c>
      <c r="J1067" s="7" t="n">
        <v>9120000</v>
      </c>
      <c r="K1067" s="28" t="n">
        <f>J1067-I1067</f>
        <v>0.04800000041723251</v>
      </c>
      <c r="L1067" s="2" t="str">
        <v>NHẬP</v>
      </c>
      <c r="M1067" s="2" t="str"/>
      <c r="N1067" s="2" t="str">
        <v>KHAC</v>
      </c>
    </row>
    <row r="1068" ht="25" customHeight="1">
      <c r="A1068" s="2" t="str">
        <v>Q1160</v>
      </c>
      <c r="B1068" s="2" t="str">
        <v>KH011</v>
      </c>
      <c r="C1068" s="2" t="str">
        <v>KH011</v>
      </c>
      <c r="D1068" s="2" t="str">
        <v>S2-01150-BH</v>
      </c>
      <c r="E1068" s="2" t="str">
        <v>BAN_HANG</v>
      </c>
      <c r="F1068" s="2" t="str">
        <v>INP2104</v>
      </c>
      <c r="G1068" s="2" t="str">
        <v>2026-08-11</v>
      </c>
      <c r="H1068" s="2" t="str">
        <v>9660000.06</v>
      </c>
      <c r="I1068" s="28" t="n">
        <v>9660000.06</v>
      </c>
      <c r="J1068" s="7" t="n">
        <v>9660000</v>
      </c>
      <c r="K1068" s="28" t="n">
        <f>J1068-I1068</f>
        <v>-0.06000000052154064</v>
      </c>
      <c r="L1068" s="2" t="str">
        <v>NHẬP</v>
      </c>
      <c r="M1068" s="2" t="str"/>
      <c r="N1068" s="2" t="str">
        <v>KHAC</v>
      </c>
    </row>
    <row r="1069" ht="25" customHeight="1">
      <c r="A1069" s="2" t="str">
        <v>Q1161</v>
      </c>
      <c r="B1069" s="2" t="str">
        <v>KH011</v>
      </c>
      <c r="C1069" s="2" t="str">
        <v>KH011</v>
      </c>
      <c r="D1069" s="2" t="str">
        <v>S2-01150-BH</v>
      </c>
      <c r="E1069" s="2" t="str">
        <v>BAN_HANG</v>
      </c>
      <c r="F1069" s="2" t="str">
        <v>INP2105</v>
      </c>
      <c r="G1069" s="2" t="str">
        <v>2026-08-11</v>
      </c>
      <c r="H1069" s="2" t="str">
        <v>2599999.992</v>
      </c>
      <c r="I1069" s="28" t="n">
        <v>2599999.992</v>
      </c>
      <c r="J1069" s="7" t="n">
        <v>2600000</v>
      </c>
      <c r="K1069" s="28" t="n">
        <f>J1069-I1069</f>
        <v>0.007999999914318323</v>
      </c>
      <c r="L1069" s="2" t="str">
        <v>NHẬP</v>
      </c>
      <c r="M1069" s="2" t="str"/>
      <c r="N1069" s="2" t="str">
        <v>KHAC</v>
      </c>
    </row>
    <row r="1070" ht="25" customHeight="1">
      <c r="A1070" s="2" t="str">
        <v>Q1162</v>
      </c>
      <c r="B1070" s="2" t="str">
        <v>KH011</v>
      </c>
      <c r="C1070" s="2" t="str">
        <v>KH011</v>
      </c>
      <c r="D1070" s="2" t="str">
        <v>S2-01150-BH</v>
      </c>
      <c r="E1070" s="2" t="str">
        <v>BAN_HANG</v>
      </c>
      <c r="F1070" s="2" t="str">
        <v>INP2106</v>
      </c>
      <c r="G1070" s="2" t="str">
        <v>2026-08-11</v>
      </c>
      <c r="H1070" s="2" t="str">
        <v>2800000.008</v>
      </c>
      <c r="I1070" s="28" t="n">
        <v>2800000.008</v>
      </c>
      <c r="J1070" s="7" t="n">
        <v>2800000</v>
      </c>
      <c r="K1070" s="28" t="n">
        <f>J1070-I1070</f>
        <v>-0.007999999914318323</v>
      </c>
      <c r="L1070" s="2" t="str">
        <v>NHẬP</v>
      </c>
      <c r="M1070" s="2" t="str"/>
      <c r="N1070" s="2" t="str">
        <v>KHAC</v>
      </c>
    </row>
    <row r="1071" ht="25" customHeight="1">
      <c r="A1071" s="2" t="str">
        <v>Q1163</v>
      </c>
      <c r="B1071" s="2" t="str">
        <v>KH011</v>
      </c>
      <c r="C1071" s="2" t="str">
        <v>KH011</v>
      </c>
      <c r="D1071" s="2" t="str">
        <v>S2-01150-BH</v>
      </c>
      <c r="E1071" s="2" t="str">
        <v>BAN_HANG</v>
      </c>
      <c r="F1071" s="2" t="str">
        <v>INP2107</v>
      </c>
      <c r="G1071" s="2" t="str">
        <v>2026-08-11</v>
      </c>
      <c r="H1071" s="2" t="str">
        <v>3000000.024</v>
      </c>
      <c r="I1071" s="28" t="n">
        <v>3000000.024</v>
      </c>
      <c r="J1071" s="7" t="n">
        <v>3000000</v>
      </c>
      <c r="K1071" s="28" t="n">
        <f>J1071-I1071</f>
        <v>-0.024000000208616257</v>
      </c>
      <c r="L1071" s="2" t="str">
        <v>NHẬP</v>
      </c>
      <c r="M1071" s="2" t="str"/>
      <c r="N1071" s="2" t="str">
        <v>KHAC</v>
      </c>
    </row>
    <row r="1072" ht="25" customHeight="1">
      <c r="A1072" s="2" t="str">
        <v>Q1164</v>
      </c>
      <c r="B1072" s="2" t="str">
        <v>KH011</v>
      </c>
      <c r="C1072" s="2" t="str">
        <v>KH011</v>
      </c>
      <c r="D1072" s="2" t="str">
        <v>S2-01150-BH</v>
      </c>
      <c r="E1072" s="2" t="str">
        <v>BAN_HANG</v>
      </c>
      <c r="F1072" s="2" t="str">
        <v>INP2108</v>
      </c>
      <c r="G1072" s="2" t="str">
        <v>2026-08-11</v>
      </c>
      <c r="H1072" s="2" t="str">
        <v>2449999.98</v>
      </c>
      <c r="I1072" s="28" t="n">
        <v>2449999.98</v>
      </c>
      <c r="J1072" s="7" t="n">
        <v>2450000</v>
      </c>
      <c r="K1072" s="28" t="n">
        <f>J1072-I1072</f>
        <v>0.02000000001862645</v>
      </c>
      <c r="L1072" s="2" t="str">
        <v>NHẬP</v>
      </c>
      <c r="M1072" s="2" t="str"/>
      <c r="N1072" s="2" t="str">
        <v>KHAC</v>
      </c>
    </row>
    <row r="1073" ht="25" customHeight="1">
      <c r="A1073" s="2" t="str">
        <v>Q1165</v>
      </c>
      <c r="B1073" s="2" t="str">
        <v>KH011</v>
      </c>
      <c r="C1073" s="2" t="str">
        <v>KH011</v>
      </c>
      <c r="D1073" s="2" t="str">
        <v>S2-01150-BH</v>
      </c>
      <c r="E1073" s="2" t="str">
        <v>BAN_HANG</v>
      </c>
      <c r="F1073" s="2" t="str">
        <v>INP2110</v>
      </c>
      <c r="G1073" s="2" t="str">
        <v>2026-08-11</v>
      </c>
      <c r="H1073" s="2" t="str">
        <v>2800000.008</v>
      </c>
      <c r="I1073" s="28" t="n">
        <v>2800000.008</v>
      </c>
      <c r="J1073" s="7" t="n">
        <v>2800000</v>
      </c>
      <c r="K1073" s="28" t="n">
        <f>J1073-I1073</f>
        <v>-0.007999999914318323</v>
      </c>
      <c r="L1073" s="2" t="str">
        <v>NHẬP</v>
      </c>
      <c r="M1073" s="2" t="str"/>
      <c r="N1073" s="2" t="str">
        <v>KHAC</v>
      </c>
    </row>
    <row r="1074" ht="25" customHeight="1">
      <c r="A1074" s="2" t="str">
        <v>Q1166</v>
      </c>
      <c r="B1074" s="2" t="str">
        <v>KH011</v>
      </c>
      <c r="C1074" s="2" t="str">
        <v>KH011</v>
      </c>
      <c r="D1074" s="2" t="str">
        <v>S2-01150-BH</v>
      </c>
      <c r="E1074" s="2" t="str">
        <v>BAN_HANG</v>
      </c>
      <c r="F1074" s="2" t="str">
        <v>INP2111</v>
      </c>
      <c r="G1074" s="2" t="str">
        <v>2026-08-11</v>
      </c>
      <c r="H1074" s="2" t="str">
        <v>3000000.024</v>
      </c>
      <c r="I1074" s="28" t="n">
        <v>3000000.024</v>
      </c>
      <c r="J1074" s="7" t="n">
        <v>3000000</v>
      </c>
      <c r="K1074" s="28" t="n">
        <f>J1074-I1074</f>
        <v>-0.024000000208616257</v>
      </c>
      <c r="L1074" s="2" t="str">
        <v>NHẬP</v>
      </c>
      <c r="M1074" s="2" t="str"/>
      <c r="N1074" s="2" t="str">
        <v>KHAC</v>
      </c>
    </row>
    <row r="1075" ht="25" customHeight="1">
      <c r="A1075" s="2" t="str">
        <v>Q1167</v>
      </c>
      <c r="B1075" s="2" t="str">
        <v>KH011</v>
      </c>
      <c r="C1075" s="2" t="str">
        <v>KH011</v>
      </c>
      <c r="D1075" s="2" t="str">
        <v>S2-01150-BH</v>
      </c>
      <c r="E1075" s="2" t="str">
        <v>BAN_HANG</v>
      </c>
      <c r="F1075" s="2" t="str">
        <v>INP2112</v>
      </c>
      <c r="G1075" s="2" t="str">
        <v>2026-08-11</v>
      </c>
      <c r="H1075" s="2" t="str">
        <v>2460000.024</v>
      </c>
      <c r="I1075" s="28" t="n">
        <v>2460000.024</v>
      </c>
      <c r="J1075" s="7" t="n">
        <v>2460000</v>
      </c>
      <c r="K1075" s="28" t="n">
        <f>J1075-I1075</f>
        <v>-0.024000000208616257</v>
      </c>
      <c r="L1075" s="2" t="str">
        <v>NHẬP</v>
      </c>
      <c r="M1075" s="2" t="str"/>
      <c r="N1075" s="2" t="str">
        <v>KHAC</v>
      </c>
    </row>
    <row r="1076" ht="25" customHeight="1">
      <c r="A1076" s="2" t="str">
        <v>Q1168</v>
      </c>
      <c r="B1076" s="2" t="str">
        <v>KH011</v>
      </c>
      <c r="C1076" s="2" t="str">
        <v>KH011</v>
      </c>
      <c r="D1076" s="2" t="str">
        <v>S2-01150-BH</v>
      </c>
      <c r="E1076" s="2" t="str">
        <v>BAN_HANG</v>
      </c>
      <c r="F1076" s="2" t="str">
        <v>INP2113</v>
      </c>
      <c r="G1076" s="2" t="str">
        <v>2026-08-11</v>
      </c>
      <c r="H1076" s="2" t="str">
        <v>2599999.992</v>
      </c>
      <c r="I1076" s="28" t="n">
        <v>2599999.992</v>
      </c>
      <c r="J1076" s="7" t="n">
        <v>2600000</v>
      </c>
      <c r="K1076" s="28" t="n">
        <f>J1076-I1076</f>
        <v>0.007999999914318323</v>
      </c>
      <c r="L1076" s="2" t="str">
        <v>NHẬP</v>
      </c>
      <c r="M1076" s="2" t="str"/>
      <c r="N1076" s="2" t="str">
        <v>KHAC</v>
      </c>
    </row>
    <row r="1077" ht="25" customHeight="1">
      <c r="A1077" s="2" t="str">
        <v>Q1169</v>
      </c>
      <c r="B1077" s="2" t="str">
        <v>KH011</v>
      </c>
      <c r="C1077" s="2" t="str">
        <v>KH011</v>
      </c>
      <c r="D1077" s="2" t="str">
        <v>S2-01150-BH</v>
      </c>
      <c r="E1077" s="2" t="str">
        <v>BAN_HANG</v>
      </c>
      <c r="F1077" s="2" t="str">
        <v>INP2114</v>
      </c>
      <c r="G1077" s="2" t="str">
        <v>2026-08-11</v>
      </c>
      <c r="H1077" s="2" t="str">
        <v>2800000.008</v>
      </c>
      <c r="I1077" s="28" t="n">
        <v>2800000.008</v>
      </c>
      <c r="J1077" s="7" t="n">
        <v>2800000</v>
      </c>
      <c r="K1077" s="28" t="n">
        <f>J1077-I1077</f>
        <v>-0.007999999914318323</v>
      </c>
      <c r="L1077" s="2" t="str">
        <v>NHẬP</v>
      </c>
      <c r="M1077" s="2" t="str"/>
      <c r="N1077" s="2" t="str">
        <v>KHAC</v>
      </c>
    </row>
    <row r="1078" ht="25" customHeight="1">
      <c r="A1078" s="2" t="str">
        <v>Q1170</v>
      </c>
      <c r="B1078" s="2" t="str">
        <v>KH011</v>
      </c>
      <c r="C1078" s="2" t="str">
        <v>KH011</v>
      </c>
      <c r="D1078" s="2" t="str">
        <v>S2-01150-BH</v>
      </c>
      <c r="E1078" s="2" t="str">
        <v>BAN_HANG</v>
      </c>
      <c r="F1078" s="2" t="str">
        <v>INP2115</v>
      </c>
      <c r="G1078" s="2" t="str">
        <v>2026-08-11</v>
      </c>
      <c r="H1078" s="2" t="str">
        <v>3000000.024</v>
      </c>
      <c r="I1078" s="28" t="n">
        <v>3000000.024</v>
      </c>
      <c r="J1078" s="7" t="n">
        <v>3000000</v>
      </c>
      <c r="K1078" s="28" t="n">
        <f>J1078-I1078</f>
        <v>-0.024000000208616257</v>
      </c>
      <c r="L1078" s="2" t="str">
        <v>NHẬP</v>
      </c>
      <c r="M1078" s="2" t="str"/>
      <c r="N1078" s="2" t="str">
        <v>KHAC</v>
      </c>
    </row>
    <row r="1079" ht="25" customHeight="1">
      <c r="A1079" s="2" t="str">
        <v>Q1171</v>
      </c>
      <c r="B1079" s="2" t="str">
        <v>KH011</v>
      </c>
      <c r="C1079" s="2" t="str">
        <v>KH011</v>
      </c>
      <c r="D1079" s="2" t="str">
        <v>S2-01150-BH</v>
      </c>
      <c r="E1079" s="2" t="str">
        <v>BAN_HANG</v>
      </c>
      <c r="F1079" s="2" t="str">
        <v>INP2116</v>
      </c>
      <c r="G1079" s="2" t="str">
        <v>2026-08-11</v>
      </c>
      <c r="H1079" s="2" t="str">
        <v>3300000.048</v>
      </c>
      <c r="I1079" s="28" t="n">
        <v>3300000.048</v>
      </c>
      <c r="J1079" s="7" t="n">
        <v>3300000</v>
      </c>
      <c r="K1079" s="28" t="n">
        <f>J1079-I1079</f>
        <v>-0.047999999951571226</v>
      </c>
      <c r="L1079" s="2" t="str">
        <v>NHẬP</v>
      </c>
      <c r="M1079" s="2" t="str"/>
      <c r="N1079" s="2" t="str">
        <v>KHAC</v>
      </c>
    </row>
    <row r="1080" ht="25" customHeight="1">
      <c r="A1080" s="2" t="str">
        <v>Q1172</v>
      </c>
      <c r="B1080" s="2" t="str">
        <v>KH011</v>
      </c>
      <c r="C1080" s="2" t="str">
        <v>KH011</v>
      </c>
      <c r="D1080" s="2" t="str">
        <v>S2-01150-BH</v>
      </c>
      <c r="E1080" s="2" t="str">
        <v>BAN_HANG</v>
      </c>
      <c r="F1080" s="2" t="str">
        <v>INP2117</v>
      </c>
      <c r="G1080" s="2" t="str">
        <v>2026-08-11</v>
      </c>
      <c r="H1080" s="2" t="str">
        <v>3599999.964</v>
      </c>
      <c r="I1080" s="28" t="n">
        <v>3599999.964</v>
      </c>
      <c r="J1080" s="7" t="n">
        <v>3600000</v>
      </c>
      <c r="K1080" s="28" t="n">
        <f>J1080-I1080</f>
        <v>0.0359999998472631</v>
      </c>
      <c r="L1080" s="2" t="str">
        <v>NHẬP</v>
      </c>
      <c r="M1080" s="2" t="str"/>
      <c r="N1080" s="2" t="str">
        <v>KHAC</v>
      </c>
    </row>
    <row r="1081" ht="25" customHeight="1">
      <c r="A1081" s="2" t="str">
        <v>Q1173</v>
      </c>
      <c r="B1081" s="2" t="str">
        <v>KH011</v>
      </c>
      <c r="C1081" s="2" t="str">
        <v>KH011</v>
      </c>
      <c r="D1081" s="2" t="str">
        <v>S2-01150-BH</v>
      </c>
      <c r="E1081" s="2" t="str">
        <v>BAN_HANG</v>
      </c>
      <c r="F1081" s="2" t="str">
        <v>INP2301</v>
      </c>
      <c r="G1081" s="2" t="str">
        <v>2026-08-11</v>
      </c>
      <c r="H1081" s="2" t="str">
        <v>4500000.036</v>
      </c>
      <c r="I1081" s="28" t="n">
        <v>4500000.036</v>
      </c>
      <c r="J1081" s="7" t="n">
        <v>4500000</v>
      </c>
      <c r="K1081" s="28" t="n">
        <f>J1081-I1081</f>
        <v>-0.036000000312924385</v>
      </c>
      <c r="L1081" s="2" t="str">
        <v>NHẬP</v>
      </c>
      <c r="M1081" s="2" t="str"/>
      <c r="N1081" s="2" t="str">
        <v>KHAC</v>
      </c>
    </row>
    <row r="1082" ht="25" customHeight="1">
      <c r="A1082" s="2" t="str">
        <v>Q1174</v>
      </c>
      <c r="B1082" s="2" t="str">
        <v>KH011</v>
      </c>
      <c r="C1082" s="2" t="str">
        <v>KH011</v>
      </c>
      <c r="D1082" s="2" t="str">
        <v>S2-01150-BH</v>
      </c>
      <c r="E1082" s="2" t="str">
        <v>BAN_HANG</v>
      </c>
      <c r="F1082" s="2" t="str">
        <v>INP2202</v>
      </c>
      <c r="G1082" s="2" t="str">
        <v>2026-08-11</v>
      </c>
      <c r="H1082" s="2" t="str">
        <v>3647999.9808</v>
      </c>
      <c r="I1082" s="28" t="n">
        <v>3647999.9808</v>
      </c>
      <c r="J1082" s="7" t="n">
        <v>3648000</v>
      </c>
      <c r="K1082" s="28" t="n">
        <f>J1082-I1082</f>
        <v>0.01919999998062849</v>
      </c>
      <c r="L1082" s="2" t="str">
        <v>NHẬP</v>
      </c>
      <c r="M1082" s="2" t="str"/>
      <c r="N1082" s="2" t="str">
        <v>KHAC</v>
      </c>
    </row>
    <row r="1083" ht="25" customHeight="1">
      <c r="A1083" s="2" t="str">
        <v>Q1175</v>
      </c>
      <c r="B1083" s="2" t="str">
        <v>KH011</v>
      </c>
      <c r="C1083" s="2" t="str">
        <v>KH011</v>
      </c>
      <c r="D1083" s="2" t="str">
        <v>S2-01150-BH</v>
      </c>
      <c r="E1083" s="2" t="str">
        <v>BAN_HANG</v>
      </c>
      <c r="F1083" s="2" t="str">
        <v>INP3004</v>
      </c>
      <c r="G1083" s="2" t="str">
        <v>2026-08-11</v>
      </c>
      <c r="H1083" s="2" t="str">
        <v>1547999.9856</v>
      </c>
      <c r="I1083" s="28" t="n">
        <v>1547999.9856</v>
      </c>
      <c r="J1083" s="7" t="n">
        <v>1548000</v>
      </c>
      <c r="K1083" s="28" t="n">
        <f>J1083-I1083</f>
        <v>0.014399999985471368</v>
      </c>
      <c r="L1083" s="2" t="str">
        <v>NHẬP</v>
      </c>
      <c r="M1083" s="2" t="str"/>
      <c r="N1083" s="2" t="str">
        <v>KHAC</v>
      </c>
    </row>
    <row r="1084" ht="25" customHeight="1">
      <c r="A1084" s="2" t="str">
        <v>Q1176</v>
      </c>
      <c r="B1084" s="2" t="str">
        <v>KH011</v>
      </c>
      <c r="C1084" s="2" t="str">
        <v>KH011</v>
      </c>
      <c r="D1084" s="2" t="str">
        <v>S2-01150-BH</v>
      </c>
      <c r="E1084" s="2" t="str">
        <v>BAN_HANG</v>
      </c>
      <c r="F1084" s="2" t="str">
        <v>INP3005</v>
      </c>
      <c r="G1084" s="2" t="str">
        <v>2026-08-11</v>
      </c>
      <c r="H1084" s="2" t="str">
        <v>1720000.008</v>
      </c>
      <c r="I1084" s="28" t="n">
        <v>1720000.008</v>
      </c>
      <c r="J1084" s="7" t="n">
        <v>1720000</v>
      </c>
      <c r="K1084" s="28" t="n">
        <f>J1084-I1084</f>
        <v>-0.007999999914318323</v>
      </c>
      <c r="L1084" s="2" t="str">
        <v>NHẬP</v>
      </c>
      <c r="M1084" s="2" t="str"/>
      <c r="N1084" s="2" t="str">
        <v>KHAC</v>
      </c>
    </row>
    <row r="1085" ht="25" customHeight="1">
      <c r="A1085" s="2" t="str">
        <v>Q1177</v>
      </c>
      <c r="B1085" s="2" t="str">
        <v>KH011</v>
      </c>
      <c r="C1085" s="2" t="str">
        <v>KH011</v>
      </c>
      <c r="D1085" s="2" t="str">
        <v>S2-01150-BH</v>
      </c>
      <c r="E1085" s="2" t="str">
        <v>BAN_HANG</v>
      </c>
      <c r="F1085" s="2" t="str">
        <v>INP3201</v>
      </c>
      <c r="G1085" s="2" t="str">
        <v>2026-08-11</v>
      </c>
      <c r="H1085" s="2" t="str">
        <v>1555679.9736</v>
      </c>
      <c r="I1085" s="28" t="n">
        <v>1555679.9736</v>
      </c>
      <c r="J1085" s="7" t="n">
        <v>1555680</v>
      </c>
      <c r="K1085" s="28" t="n">
        <f>J1085-I1085</f>
        <v>0.026400000089779496</v>
      </c>
      <c r="L1085" s="2" t="str">
        <v>NHẬP</v>
      </c>
      <c r="M1085" s="2" t="str"/>
      <c r="N1085" s="2" t="str">
        <v>KHAC</v>
      </c>
    </row>
    <row r="1086" ht="25" customHeight="1">
      <c r="A1086" s="2" t="str">
        <v>Q1178</v>
      </c>
      <c r="B1086" s="2" t="str">
        <v>KH011</v>
      </c>
      <c r="C1086" s="2" t="str">
        <v>KH011</v>
      </c>
      <c r="D1086" s="2" t="str">
        <v>S2-01150-BH</v>
      </c>
      <c r="E1086" s="2" t="str">
        <v>BAN_HANG</v>
      </c>
      <c r="F1086" s="2" t="str">
        <v>INP3202</v>
      </c>
      <c r="G1086" s="2" t="str">
        <v>2026-08-11</v>
      </c>
      <c r="H1086" s="2" t="str">
        <v>2219999.9832</v>
      </c>
      <c r="I1086" s="28" t="n">
        <v>2219999.9832</v>
      </c>
      <c r="J1086" s="7" t="n">
        <v>2220000</v>
      </c>
      <c r="K1086" s="28" t="n">
        <f>J1086-I1086</f>
        <v>0.016799999866634607</v>
      </c>
      <c r="L1086" s="2" t="str">
        <v>NHẬP</v>
      </c>
      <c r="M1086" s="2" t="str"/>
      <c r="N1086" s="2" t="str">
        <v>KHAC</v>
      </c>
    </row>
    <row r="1087" ht="25" customHeight="1">
      <c r="A1087" s="2" t="str">
        <v>Q1179</v>
      </c>
      <c r="B1087" s="2" t="str">
        <v>KH011</v>
      </c>
      <c r="C1087" s="2" t="str">
        <v>KH011</v>
      </c>
      <c r="D1087" s="2" t="str">
        <v>S2-01150-BH</v>
      </c>
      <c r="E1087" s="2" t="str">
        <v>BAN_HANG</v>
      </c>
      <c r="F1087" s="2" t="str">
        <v>INP6001</v>
      </c>
      <c r="G1087" s="2" t="str">
        <v>2026-08-11</v>
      </c>
      <c r="H1087" s="2" t="str">
        <v>4920000.0048</v>
      </c>
      <c r="I1087" s="28" t="n">
        <v>4920000.0048</v>
      </c>
      <c r="J1087" s="7" t="n">
        <v>4920000</v>
      </c>
      <c r="K1087" s="28" t="n">
        <f>J1087-I1087</f>
        <v>-0.004800000227987766</v>
      </c>
      <c r="L1087" s="2" t="str">
        <v>NHẬP</v>
      </c>
      <c r="M1087" s="2" t="str"/>
      <c r="N1087" s="2" t="str">
        <v>KHAC</v>
      </c>
    </row>
    <row r="1088" ht="25" customHeight="1">
      <c r="A1088" s="2" t="str">
        <v>Q1180</v>
      </c>
      <c r="B1088" s="2" t="str">
        <v>KH011</v>
      </c>
      <c r="C1088" s="2" t="str">
        <v>KH011</v>
      </c>
      <c r="D1088" s="2" t="str">
        <v>S2-01150-BH</v>
      </c>
      <c r="E1088" s="2" t="str">
        <v>BAN_HANG</v>
      </c>
      <c r="F1088" s="2" t="str">
        <v>INP6003</v>
      </c>
      <c r="G1088" s="2" t="str">
        <v>2026-08-11</v>
      </c>
      <c r="H1088" s="2" t="str">
        <v>7359999.984</v>
      </c>
      <c r="I1088" s="28" t="n">
        <v>7359999.984</v>
      </c>
      <c r="J1088" s="7" t="n">
        <v>7360000</v>
      </c>
      <c r="K1088" s="28" t="n">
        <f>J1088-I1088</f>
        <v>0.015999999828636646</v>
      </c>
      <c r="L1088" s="2" t="str">
        <v>NHẬP</v>
      </c>
      <c r="M1088" s="2" t="str"/>
      <c r="N1088" s="2" t="str">
        <v>KHAC</v>
      </c>
    </row>
    <row r="1089" ht="25" customHeight="1">
      <c r="A1089" s="2" t="str">
        <v>Q1181</v>
      </c>
      <c r="B1089" s="2" t="str">
        <v>KH011</v>
      </c>
      <c r="C1089" s="2" t="str">
        <v>KH011</v>
      </c>
      <c r="D1089" s="2" t="str">
        <v>S2-01181-BH</v>
      </c>
      <c r="E1089" s="2" t="str">
        <v>BAN_HANG</v>
      </c>
      <c r="F1089" s="2" t="str">
        <v>INP6006</v>
      </c>
      <c r="G1089" s="2" t="str">
        <v>2026-08-11</v>
      </c>
      <c r="H1089" s="2" t="str">
        <v>8550000.036</v>
      </c>
      <c r="I1089" s="28" t="n">
        <v>8550000.036</v>
      </c>
      <c r="J1089" s="7" t="n">
        <v>8550000</v>
      </c>
      <c r="K1089" s="28" t="n">
        <f>J1089-I1089</f>
        <v>-0.036000000312924385</v>
      </c>
      <c r="L1089" s="2" t="str">
        <v>NHẬP</v>
      </c>
      <c r="M1089" s="2" t="str"/>
      <c r="N1089" s="2" t="str">
        <v>KHAC</v>
      </c>
    </row>
    <row r="1090" ht="25" customHeight="1">
      <c r="A1090" s="2" t="str">
        <v>Q1182</v>
      </c>
      <c r="B1090" s="2" t="str">
        <v>KH011</v>
      </c>
      <c r="C1090" s="2" t="str">
        <v>KH011</v>
      </c>
      <c r="D1090" s="2" t="str">
        <v>S2-01181-BH</v>
      </c>
      <c r="E1090" s="2" t="str">
        <v>BAN_HANG</v>
      </c>
      <c r="F1090" s="2" t="str">
        <v>INP6007</v>
      </c>
      <c r="G1090" s="2" t="str">
        <v>2026-08-11</v>
      </c>
      <c r="H1090" s="2" t="str">
        <v>10200000.006</v>
      </c>
      <c r="I1090" s="28" t="n">
        <v>10200000.006</v>
      </c>
      <c r="J1090" s="7" t="n">
        <v>10200000</v>
      </c>
      <c r="K1090" s="28" t="n">
        <f>J1090-I1090</f>
        <v>-0.0059999991208314896</v>
      </c>
      <c r="L1090" s="2" t="str">
        <v>NHẬP</v>
      </c>
      <c r="M1090" s="2" t="str"/>
      <c r="N1090" s="2" t="str">
        <v>KHAC</v>
      </c>
    </row>
    <row r="1091" ht="25" customHeight="1">
      <c r="A1091" s="2" t="str">
        <v>Q1183</v>
      </c>
      <c r="B1091" s="2" t="str">
        <v>KH011</v>
      </c>
      <c r="C1091" s="2" t="str">
        <v>KH011</v>
      </c>
      <c r="D1091" s="2" t="str">
        <v>S2-01181-BH</v>
      </c>
      <c r="E1091" s="2" t="str">
        <v>BAN_HANG</v>
      </c>
      <c r="F1091" s="2" t="str">
        <v>INP6901</v>
      </c>
      <c r="G1091" s="2" t="str">
        <v>2026-08-11</v>
      </c>
      <c r="H1091" s="2" t="str">
        <v>3719999.9952</v>
      </c>
      <c r="I1091" s="28" t="n">
        <v>3719999.9952</v>
      </c>
      <c r="J1091" s="7" t="n">
        <v>3720000</v>
      </c>
      <c r="K1091" s="28" t="n">
        <f>J1091-I1091</f>
        <v>0.004800000227987766</v>
      </c>
      <c r="L1091" s="2" t="str">
        <v>NHẬP</v>
      </c>
      <c r="M1091" s="2" t="str"/>
      <c r="N1091" s="2" t="str">
        <v>KHAC</v>
      </c>
    </row>
    <row r="1092" ht="25" customHeight="1">
      <c r="A1092" s="2" t="str">
        <v>Q1184</v>
      </c>
      <c r="B1092" s="2" t="str">
        <v>KH011</v>
      </c>
      <c r="C1092" s="2" t="str">
        <v>KH011</v>
      </c>
      <c r="D1092" s="2" t="str">
        <v>S2-01150-BH</v>
      </c>
      <c r="E1092" s="2" t="str">
        <v>BAN_HANG</v>
      </c>
      <c r="F1092" s="2" t="str">
        <v>INP6902</v>
      </c>
      <c r="G1092" s="2" t="str">
        <v>2026-08-11</v>
      </c>
      <c r="H1092" s="2" t="str">
        <v>3519999.9792</v>
      </c>
      <c r="I1092" s="28" t="n">
        <v>3519999.9792</v>
      </c>
      <c r="J1092" s="7" t="n">
        <v>3520000</v>
      </c>
      <c r="K1092" s="28" t="n">
        <f>J1092-I1092</f>
        <v>0.020800000056624413</v>
      </c>
      <c r="L1092" s="2" t="str">
        <v>NHẬP</v>
      </c>
      <c r="M1092" s="2" t="str"/>
      <c r="N1092" s="2" t="str">
        <v>KHAC</v>
      </c>
    </row>
    <row r="1093" ht="25" customHeight="1">
      <c r="A1093" s="2" t="str">
        <v>Q1185</v>
      </c>
      <c r="B1093" s="2" t="str">
        <v>KH011</v>
      </c>
      <c r="C1093" s="2" t="str">
        <v>KH011</v>
      </c>
      <c r="D1093" s="2" t="str">
        <v>S2-01150-BH</v>
      </c>
      <c r="E1093" s="2" t="str">
        <v>BAN_HANG</v>
      </c>
      <c r="F1093" s="2" t="str">
        <v>INP6202</v>
      </c>
      <c r="G1093" s="2" t="str">
        <v>2026-08-11</v>
      </c>
      <c r="H1093" s="2" t="str">
        <v>3520000.044</v>
      </c>
      <c r="I1093" s="28" t="n">
        <v>3520000.044</v>
      </c>
      <c r="J1093" s="7" t="n">
        <v>3520000</v>
      </c>
      <c r="K1093" s="28" t="n">
        <f>J1093-I1093</f>
        <v>-0.04400000022724271</v>
      </c>
      <c r="L1093" s="2" t="str">
        <v>NHẬP</v>
      </c>
      <c r="M1093" s="2" t="str"/>
      <c r="N1093" s="2" t="str">
        <v>KHAC</v>
      </c>
    </row>
    <row r="1094" ht="25" customHeight="1">
      <c r="A1094" s="2" t="str">
        <v>Q1186</v>
      </c>
      <c r="B1094" s="2" t="str">
        <v>KH011</v>
      </c>
      <c r="C1094" s="2" t="str">
        <v>KH011</v>
      </c>
      <c r="D1094" s="2" t="str">
        <v>S2-01150-BH</v>
      </c>
      <c r="E1094" s="2" t="str">
        <v>BAN_HANG</v>
      </c>
      <c r="F1094" s="2" t="str">
        <v>INP6203</v>
      </c>
      <c r="G1094" s="2" t="str">
        <v>2026-08-11</v>
      </c>
      <c r="H1094" s="2" t="str">
        <v>3769999.956</v>
      </c>
      <c r="I1094" s="28" t="n">
        <v>3769999.956</v>
      </c>
      <c r="J1094" s="7" t="n">
        <v>3770000</v>
      </c>
      <c r="K1094" s="28" t="n">
        <f>J1094-I1094</f>
        <v>0.04400000022724271</v>
      </c>
      <c r="L1094" s="2" t="str">
        <v>NHẬP</v>
      </c>
      <c r="M1094" s="2" t="str"/>
      <c r="N1094" s="2" t="str">
        <v>KHAC</v>
      </c>
    </row>
    <row r="1095" ht="25" customHeight="1">
      <c r="A1095" s="2" t="str">
        <v>Q1187</v>
      </c>
      <c r="B1095" s="2" t="str">
        <v>KH011</v>
      </c>
      <c r="C1095" s="2" t="str">
        <v>KH011</v>
      </c>
      <c r="D1095" s="2" t="str">
        <v>S2-01150-BH</v>
      </c>
      <c r="E1095" s="2" t="str">
        <v>BAN_HANG</v>
      </c>
      <c r="F1095" s="2" t="str">
        <v>INP6204</v>
      </c>
      <c r="G1095" s="2" t="str">
        <v>2026-08-11</v>
      </c>
      <c r="H1095" s="2" t="str">
        <v>3070000.008</v>
      </c>
      <c r="I1095" s="28" t="n">
        <v>3070000.008</v>
      </c>
      <c r="J1095" s="7" t="n">
        <v>3070000</v>
      </c>
      <c r="K1095" s="28" t="n">
        <f>J1095-I1095</f>
        <v>-0.007999999914318323</v>
      </c>
      <c r="L1095" s="2" t="str">
        <v>NHẬP</v>
      </c>
      <c r="M1095" s="2" t="str"/>
      <c r="N1095" s="2" t="str">
        <v>KHAC</v>
      </c>
    </row>
    <row r="1096" ht="25" customHeight="1">
      <c r="A1096" s="2" t="str">
        <v>Q1188</v>
      </c>
      <c r="B1096" s="2" t="str">
        <v>KH011</v>
      </c>
      <c r="C1096" s="2" t="str">
        <v>KH011</v>
      </c>
      <c r="D1096" s="2" t="str">
        <v>S2-01150-BH</v>
      </c>
      <c r="E1096" s="2" t="str">
        <v>BAN_HANG</v>
      </c>
      <c r="F1096" s="2" t="str">
        <v>INP6802</v>
      </c>
      <c r="G1096" s="2" t="str">
        <v>2026-08-11</v>
      </c>
      <c r="H1096" s="2" t="str">
        <v>1906000.0056</v>
      </c>
      <c r="I1096" s="28" t="n">
        <v>1906000.0056</v>
      </c>
      <c r="J1096" s="7" t="n">
        <v>1906000</v>
      </c>
      <c r="K1096" s="28" t="n">
        <f>J1096-I1096</f>
        <v>-0.005600000033155084</v>
      </c>
      <c r="L1096" s="2" t="str">
        <v>NHẬP</v>
      </c>
      <c r="M1096" s="2" t="str"/>
      <c r="N1096" s="2" t="str">
        <v>KHAC</v>
      </c>
    </row>
    <row r="1097" ht="25" customHeight="1">
      <c r="A1097" s="2" t="str">
        <v>Q1191</v>
      </c>
      <c r="B1097" s="2" t="str">
        <v>KH070</v>
      </c>
      <c r="C1097" s="2" t="str">
        <v>KH070</v>
      </c>
      <c r="D1097" s="2" t="str">
        <v>S2-01191-BH</v>
      </c>
      <c r="E1097" s="2" t="str">
        <v>BAN_HANG</v>
      </c>
      <c r="F1097" s="2" t="str">
        <v>INP6001</v>
      </c>
      <c r="G1097" s="2" t="str">
        <v>2026-08-11</v>
      </c>
      <c r="H1097" s="2" t="str">
        <v>10559999.9808</v>
      </c>
      <c r="I1097" s="28" t="n">
        <v>10559999.9808</v>
      </c>
      <c r="J1097" s="7" t="n">
        <v>10560000</v>
      </c>
      <c r="K1097" s="28" t="n">
        <f>J1097-I1097</f>
        <v>0.019200000911951065</v>
      </c>
      <c r="L1097" s="2" t="str">
        <v>NHẬP</v>
      </c>
      <c r="M1097" s="2" t="str"/>
      <c r="N1097" s="2" t="str">
        <v>KHAC</v>
      </c>
    </row>
    <row r="1098" ht="25" customHeight="1">
      <c r="A1098" s="2" t="str">
        <v>Q1192</v>
      </c>
      <c r="B1098" s="2" t="str">
        <v>KH070</v>
      </c>
      <c r="C1098" s="2" t="str">
        <v>KH070</v>
      </c>
      <c r="D1098" s="2" t="str">
        <v>S2-01191-BH</v>
      </c>
      <c r="E1098" s="2" t="str">
        <v>BAN_HANG</v>
      </c>
      <c r="F1098" s="2" t="str">
        <v>INP1501</v>
      </c>
      <c r="G1098" s="2" t="str">
        <v>2026-08-11</v>
      </c>
      <c r="H1098" s="2" t="str">
        <v>3360000.0096</v>
      </c>
      <c r="I1098" s="28" t="n">
        <v>3360000.0096</v>
      </c>
      <c r="J1098" s="7" t="n">
        <v>3360000</v>
      </c>
      <c r="K1098" s="28" t="n">
        <f>J1098-I1098</f>
        <v>-0.009599999990314245</v>
      </c>
      <c r="L1098" s="2" t="str">
        <v>NHẬP</v>
      </c>
      <c r="M1098" s="2" t="str"/>
      <c r="N1098" s="2" t="str">
        <v>KHAC</v>
      </c>
    </row>
    <row r="1099" ht="25" customHeight="1">
      <c r="A1099" s="2" t="str">
        <v>Q1193</v>
      </c>
      <c r="B1099" s="2" t="str">
        <v>KH070</v>
      </c>
      <c r="C1099" s="2" t="str">
        <v>KH070</v>
      </c>
      <c r="D1099" s="2" t="str">
        <v>S2-01191-BH</v>
      </c>
      <c r="E1099" s="2" t="str">
        <v>BAN_HANG</v>
      </c>
      <c r="F1099" s="2" t="str">
        <v>INP1503</v>
      </c>
      <c r="G1099" s="2" t="str">
        <v>2026-08-11</v>
      </c>
      <c r="H1099" s="2" t="str">
        <v>3840000.048</v>
      </c>
      <c r="I1099" s="28" t="n">
        <v>3840000.048</v>
      </c>
      <c r="J1099" s="7" t="n">
        <v>3840000</v>
      </c>
      <c r="K1099" s="28" t="n">
        <f>J1099-I1099</f>
        <v>-0.047999999951571226</v>
      </c>
      <c r="L1099" s="2" t="str">
        <v>NHẬP</v>
      </c>
      <c r="M1099" s="2" t="str"/>
      <c r="N1099" s="2" t="str">
        <v>KHAC</v>
      </c>
    </row>
    <row r="1100" ht="25" customHeight="1">
      <c r="A1100" s="2" t="str">
        <v>Q1194</v>
      </c>
      <c r="B1100" s="2" t="str">
        <v>KH084</v>
      </c>
      <c r="C1100" s="2" t="str">
        <v>KH084</v>
      </c>
      <c r="D1100" s="2" t="str">
        <v>S2-01194-BH</v>
      </c>
      <c r="E1100" s="2" t="str">
        <v>BAN_HANG</v>
      </c>
      <c r="F1100" s="2" t="str">
        <v>INP2105</v>
      </c>
      <c r="G1100" s="2" t="str">
        <v>2026-08-11</v>
      </c>
      <c r="H1100" s="2" t="str">
        <v>2460000.024</v>
      </c>
      <c r="I1100" s="28" t="n">
        <v>2460000.024</v>
      </c>
      <c r="J1100" s="7" t="n">
        <v>2460000</v>
      </c>
      <c r="K1100" s="28" t="n">
        <f>J1100-I1100</f>
        <v>-0.024000000208616257</v>
      </c>
      <c r="L1100" s="2" t="str">
        <v>NHẬP</v>
      </c>
      <c r="M1100" s="2" t="str"/>
      <c r="N1100" s="2" t="str">
        <v>KHAC</v>
      </c>
    </row>
    <row r="1101" ht="25" customHeight="1">
      <c r="A1101" s="2" t="str">
        <v>Q1195</v>
      </c>
      <c r="B1101" s="2" t="str">
        <v>KH084</v>
      </c>
      <c r="C1101" s="2" t="str">
        <v>KH084</v>
      </c>
      <c r="D1101" s="2" t="str">
        <v>S2-01194-BH</v>
      </c>
      <c r="E1101" s="2" t="str">
        <v>BAN_HANG</v>
      </c>
      <c r="F1101" s="2" t="str">
        <v>INP2107</v>
      </c>
      <c r="G1101" s="2" t="str">
        <v>2026-08-11</v>
      </c>
      <c r="H1101" s="2" t="str">
        <v>2900000.016</v>
      </c>
      <c r="I1101" s="28" t="n">
        <v>2900000.016</v>
      </c>
      <c r="J1101" s="7" t="n">
        <v>2900000</v>
      </c>
      <c r="K1101" s="28" t="n">
        <f>J1101-I1101</f>
        <v>-0.015999999828636646</v>
      </c>
      <c r="L1101" s="2" t="str">
        <v>NHẬP</v>
      </c>
      <c r="M1101" s="2" t="str"/>
      <c r="N1101" s="2" t="str">
        <v>KHAC</v>
      </c>
    </row>
    <row r="1102" ht="25" customHeight="1">
      <c r="A1102" s="2" t="str">
        <v>Q1196</v>
      </c>
      <c r="B1102" s="2" t="str">
        <v>KH084</v>
      </c>
      <c r="C1102" s="2" t="str">
        <v>KH084</v>
      </c>
      <c r="D1102" s="2" t="str">
        <v>S2-01194-BH</v>
      </c>
      <c r="E1102" s="2" t="str">
        <v>BAN_HANG</v>
      </c>
      <c r="F1102" s="2" t="str">
        <v>INP2110</v>
      </c>
      <c r="G1102" s="2" t="str">
        <v>2026-08-11</v>
      </c>
      <c r="H1102" s="2" t="str">
        <v>2729999.916</v>
      </c>
      <c r="I1102" s="28" t="n">
        <v>2729999.916</v>
      </c>
      <c r="J1102" s="7" t="n">
        <v>2730000</v>
      </c>
      <c r="K1102" s="28" t="n">
        <f>J1102-I1102</f>
        <v>0.08399999979883432</v>
      </c>
      <c r="L1102" s="2" t="str">
        <v>NHẬP</v>
      </c>
      <c r="M1102" s="2" t="str"/>
      <c r="N1102" s="2" t="str">
        <v>KHAC</v>
      </c>
    </row>
    <row r="1103" ht="25" customHeight="1">
      <c r="A1103" s="2" t="str">
        <v>Q1197</v>
      </c>
      <c r="B1103" s="2" t="str">
        <v>KH084</v>
      </c>
      <c r="C1103" s="2" t="str">
        <v>KH084</v>
      </c>
      <c r="D1103" s="2" t="str">
        <v>S2-01194-BH</v>
      </c>
      <c r="E1103" s="2" t="str">
        <v>BAN_HANG</v>
      </c>
      <c r="F1103" s="2" t="str">
        <v>INP2111</v>
      </c>
      <c r="G1103" s="2" t="str">
        <v>2026-08-11</v>
      </c>
      <c r="H1103" s="2" t="str">
        <v>3000000.024</v>
      </c>
      <c r="I1103" s="28" t="n">
        <v>3000000.024</v>
      </c>
      <c r="J1103" s="7" t="n">
        <v>3000000</v>
      </c>
      <c r="K1103" s="28" t="n">
        <f>J1103-I1103</f>
        <v>-0.024000000208616257</v>
      </c>
      <c r="L1103" s="2" t="str">
        <v>NHẬP</v>
      </c>
      <c r="M1103" s="2" t="str"/>
      <c r="N1103" s="2" t="str">
        <v>KHAC</v>
      </c>
    </row>
    <row r="1104" ht="25" customHeight="1">
      <c r="A1104" s="2" t="str">
        <v>Q1198</v>
      </c>
      <c r="B1104" s="2" t="str">
        <v>KH084</v>
      </c>
      <c r="C1104" s="2" t="str">
        <v>KH084</v>
      </c>
      <c r="D1104" s="2" t="str">
        <v>S2-01198-BH</v>
      </c>
      <c r="E1104" s="2" t="str">
        <v>BAN_HANG</v>
      </c>
      <c r="F1104" s="2" t="str">
        <v>INP6007</v>
      </c>
      <c r="G1104" s="2" t="str">
        <v>2026-08-11</v>
      </c>
      <c r="H1104" s="2" t="str">
        <v>10200000.006</v>
      </c>
      <c r="I1104" s="28" t="n">
        <v>10200000.006</v>
      </c>
      <c r="J1104" s="7" t="n">
        <v>10200000</v>
      </c>
      <c r="K1104" s="28" t="n">
        <f>J1104-I1104</f>
        <v>-0.0059999991208314896</v>
      </c>
      <c r="L1104" s="2" t="str">
        <v>NHẬP</v>
      </c>
      <c r="M1104" s="2" t="str"/>
      <c r="N1104" s="2" t="str">
        <v>KHAC</v>
      </c>
    </row>
    <row r="1105" ht="25" customHeight="1">
      <c r="A1105" s="2" t="str">
        <v>Q1199</v>
      </c>
      <c r="B1105" s="2" t="str">
        <v>KH084</v>
      </c>
      <c r="C1105" s="2" t="str">
        <v>KH084</v>
      </c>
      <c r="D1105" s="2" t="str">
        <v>S2-01198-BH</v>
      </c>
      <c r="E1105" s="2" t="str">
        <v>BAN_HANG</v>
      </c>
      <c r="F1105" s="2" t="str">
        <v>INP6009</v>
      </c>
      <c r="G1105" s="2" t="str">
        <v>2026-08-11</v>
      </c>
      <c r="H1105" s="2" t="str">
        <v>11249999.928</v>
      </c>
      <c r="I1105" s="28" t="n">
        <v>11249999.928</v>
      </c>
      <c r="J1105" s="7" t="n">
        <v>11250000</v>
      </c>
      <c r="K1105" s="28" t="n">
        <f>J1105-I1105</f>
        <v>0.07200000062584877</v>
      </c>
      <c r="L1105" s="2" t="str">
        <v>NHẬP</v>
      </c>
      <c r="M1105" s="2" t="str"/>
      <c r="N1105" s="2" t="str">
        <v>KHAC</v>
      </c>
    </row>
    <row r="1106" ht="25" customHeight="1">
      <c r="A1106" s="2" t="str">
        <v>Q1200</v>
      </c>
      <c r="B1106" s="2" t="str">
        <v>KH084</v>
      </c>
      <c r="C1106" s="2" t="str">
        <v>KH084</v>
      </c>
      <c r="D1106" s="2" t="str">
        <v>S2-01198-BH</v>
      </c>
      <c r="E1106" s="2" t="str">
        <v>BAN_HANG</v>
      </c>
      <c r="F1106" s="2" t="str">
        <v>INP6105</v>
      </c>
      <c r="G1106" s="2" t="str">
        <v>2026-08-11</v>
      </c>
      <c r="H1106" s="2" t="str">
        <v>8760000.0528</v>
      </c>
      <c r="I1106" s="28" t="n">
        <v>8760000.0528</v>
      </c>
      <c r="J1106" s="7" t="n">
        <v>8760000</v>
      </c>
      <c r="K1106" s="28" t="n">
        <f>J1106-I1106</f>
        <v>-0.052799999713897705</v>
      </c>
      <c r="L1106" s="2" t="str">
        <v>NHẬP</v>
      </c>
      <c r="M1106" s="2" t="str"/>
      <c r="N1106" s="2" t="str">
        <v>KHAC</v>
      </c>
    </row>
    <row r="1107" ht="25" customHeight="1">
      <c r="A1107" s="2" t="str">
        <v>Q1201</v>
      </c>
      <c r="B1107" s="2" t="str">
        <v>KH084</v>
      </c>
      <c r="C1107" s="2" t="str">
        <v>KH084</v>
      </c>
      <c r="D1107" s="2" t="str">
        <v>S2-01194-BH</v>
      </c>
      <c r="E1107" s="2" t="str">
        <v>BAN_HANG</v>
      </c>
      <c r="F1107" s="2" t="str">
        <v>INP6602</v>
      </c>
      <c r="G1107" s="2" t="str">
        <v>2026-08-11</v>
      </c>
      <c r="H1107" s="2" t="str">
        <v>2939999.9976</v>
      </c>
      <c r="I1107" s="28" t="n">
        <v>2939999.9976</v>
      </c>
      <c r="J1107" s="7" t="n">
        <v>2940000</v>
      </c>
      <c r="K1107" s="28" t="n">
        <f>J1107-I1107</f>
        <v>0.002400000113993883</v>
      </c>
      <c r="L1107" s="2" t="str">
        <v>NHẬP</v>
      </c>
      <c r="M1107" s="2" t="str"/>
      <c r="N1107" s="2" t="str">
        <v>KHAC</v>
      </c>
    </row>
    <row r="1108" ht="25" customHeight="1">
      <c r="A1108" s="2" t="str">
        <v>Q1202</v>
      </c>
      <c r="B1108" s="2" t="str">
        <v>KH084</v>
      </c>
      <c r="C1108" s="2" t="str">
        <v>KH084</v>
      </c>
      <c r="D1108" s="2" t="str">
        <v>S2-01194-BH</v>
      </c>
      <c r="E1108" s="2" t="str">
        <v>BAN_HANG</v>
      </c>
      <c r="F1108" s="2" t="str">
        <v>INP6902</v>
      </c>
      <c r="G1108" s="2" t="str">
        <v>2026-08-11</v>
      </c>
      <c r="H1108" s="2" t="str">
        <v>8799999.948</v>
      </c>
      <c r="I1108" s="28" t="n">
        <v>8799999.948</v>
      </c>
      <c r="J1108" s="7" t="n">
        <v>8800000</v>
      </c>
      <c r="K1108" s="28" t="n">
        <f>J1108-I1108</f>
        <v>0.05199999921023846</v>
      </c>
      <c r="L1108" s="2" t="str">
        <v>NHẬP</v>
      </c>
      <c r="M1108" s="2" t="str"/>
      <c r="N1108" s="2" t="str">
        <v>KHAC</v>
      </c>
    </row>
    <row r="1109" ht="25" customHeight="1">
      <c r="A1109" s="2" t="str">
        <v>Q1206</v>
      </c>
      <c r="B1109" s="2" t="str">
        <v>KH089</v>
      </c>
      <c r="C1109" s="2" t="str">
        <v>NV000014</v>
      </c>
      <c r="D1109" s="2" t="str">
        <v>S2-01206-BH</v>
      </c>
      <c r="E1109" s="2" t="str">
        <v>BAN_HANG</v>
      </c>
      <c r="F1109" s="2" t="str">
        <v>INP2003</v>
      </c>
      <c r="G1109" s="2" t="str">
        <v>2026-08-11</v>
      </c>
      <c r="H1109" s="2" t="str">
        <v>1279999.9944</v>
      </c>
      <c r="I1109" s="28" t="n">
        <v>1279999.9944</v>
      </c>
      <c r="J1109" s="7" t="n">
        <v>1280000</v>
      </c>
      <c r="K1109" s="28" t="n">
        <f>J1109-I1109</f>
        <v>0.005600000033155084</v>
      </c>
      <c r="L1109" s="2" t="str">
        <v>NHẬP</v>
      </c>
      <c r="M1109" s="2" t="str"/>
      <c r="N1109" s="2" t="str">
        <v>KHAC</v>
      </c>
    </row>
    <row r="1110" ht="25" customHeight="1">
      <c r="A1110" s="2" t="str">
        <v>Q1207</v>
      </c>
      <c r="B1110" s="2" t="str">
        <v>KH089</v>
      </c>
      <c r="C1110" s="2" t="str">
        <v>NV000014</v>
      </c>
      <c r="D1110" s="2" t="str">
        <v>S2-01206-BH</v>
      </c>
      <c r="E1110" s="2" t="str">
        <v>BAN_HANG</v>
      </c>
      <c r="F1110" s="2" t="str">
        <v>INP2301</v>
      </c>
      <c r="G1110" s="2" t="str">
        <v>2026-08-11</v>
      </c>
      <c r="H1110" s="2" t="str">
        <v>450000.0036</v>
      </c>
      <c r="I1110" s="28" t="n">
        <v>450000.0036</v>
      </c>
      <c r="J1110" s="7" t="n">
        <v>450000</v>
      </c>
      <c r="K1110" s="28" t="n">
        <f>J1110-I1110</f>
        <v>-0.003599999996367842</v>
      </c>
      <c r="L1110" s="2" t="str">
        <v>NHẬP</v>
      </c>
      <c r="M1110" s="2" t="str"/>
      <c r="N1110" s="2" t="str">
        <v>KHAC</v>
      </c>
    </row>
    <row r="1111" ht="25" customHeight="1">
      <c r="A1111" s="2" t="str">
        <v>Q1208</v>
      </c>
      <c r="B1111" s="2" t="str">
        <v>KH053</v>
      </c>
      <c r="C1111" s="2" t="str">
        <v>KH053</v>
      </c>
      <c r="D1111" s="2" t="str">
        <v>S2-01208-BH</v>
      </c>
      <c r="E1111" s="2" t="str">
        <v>BAN_HANG</v>
      </c>
      <c r="F1111" s="2" t="str">
        <v>INP6902</v>
      </c>
      <c r="G1111" s="2" t="str">
        <v>2026-08-11</v>
      </c>
      <c r="H1111" s="2" t="str">
        <v>7839999.936</v>
      </c>
      <c r="I1111" s="28" t="n">
        <v>7839999.936</v>
      </c>
      <c r="J1111" s="7" t="n">
        <v>7840000</v>
      </c>
      <c r="K1111" s="28" t="n">
        <f>J1111-I1111</f>
        <v>0.06400000024586916</v>
      </c>
      <c r="L1111" s="2" t="str">
        <v>NHẬP</v>
      </c>
      <c r="M1111" s="2" t="str"/>
      <c r="N1111" s="2" t="str">
        <v>KHAC</v>
      </c>
    </row>
    <row r="1112" ht="25" customHeight="1">
      <c r="A1112" s="2" t="str">
        <v>Q1209</v>
      </c>
      <c r="B1112" s="2" t="str">
        <v>KH024</v>
      </c>
      <c r="C1112" s="2" t="str">
        <v>KH024</v>
      </c>
      <c r="D1112" s="2" t="str">
        <v>S2-01209-BH</v>
      </c>
      <c r="E1112" s="2" t="str">
        <v>BAN_HANG</v>
      </c>
      <c r="F1112" s="2" t="str">
        <v>INP6006</v>
      </c>
      <c r="G1112" s="2" t="str">
        <v>2026-08-12</v>
      </c>
      <c r="H1112" s="2" t="str">
        <v>17100000.072</v>
      </c>
      <c r="I1112" s="28" t="n">
        <v>17100000.072</v>
      </c>
      <c r="J1112" s="7" t="n">
        <v>17100000</v>
      </c>
      <c r="K1112" s="28" t="n">
        <f>J1112-I1112</f>
        <v>-0.07200000062584877</v>
      </c>
      <c r="L1112" s="2" t="str">
        <v>NHẬP</v>
      </c>
      <c r="M1112" s="2" t="str"/>
      <c r="N1112" s="2" t="str">
        <v>KHAC</v>
      </c>
    </row>
    <row r="1113" ht="25" customHeight="1">
      <c r="A1113" s="2" t="str">
        <v>Q1210</v>
      </c>
      <c r="B1113" s="2" t="str">
        <v>KH024</v>
      </c>
      <c r="C1113" s="2" t="str">
        <v>KH024</v>
      </c>
      <c r="D1113" s="2" t="str">
        <v>S2-01209-BH</v>
      </c>
      <c r="E1113" s="2" t="str">
        <v>BAN_HANG</v>
      </c>
      <c r="F1113" s="2" t="str">
        <v>INP6007</v>
      </c>
      <c r="G1113" s="2" t="str">
        <v>2026-08-12</v>
      </c>
      <c r="H1113" s="2" t="str">
        <v>20400000.012</v>
      </c>
      <c r="I1113" s="28" t="n">
        <v>20400000.012</v>
      </c>
      <c r="J1113" s="7" t="n">
        <v>20400000</v>
      </c>
      <c r="K1113" s="28" t="n">
        <f>J1113-I1113</f>
        <v>-0.011999998241662979</v>
      </c>
      <c r="L1113" s="2" t="str">
        <v>NHẬP</v>
      </c>
      <c r="M1113" s="2" t="str"/>
      <c r="N1113" s="2" t="str">
        <v>KHAC</v>
      </c>
    </row>
    <row r="1114" ht="25" customHeight="1">
      <c r="A1114" s="2" t="str">
        <v>Q1211</v>
      </c>
      <c r="B1114" s="2" t="str">
        <v>KH024</v>
      </c>
      <c r="C1114" s="2" t="str">
        <v>KH024</v>
      </c>
      <c r="D1114" s="2" t="str">
        <v>S2-01209-BH</v>
      </c>
      <c r="E1114" s="2" t="str">
        <v>BAN_HANG</v>
      </c>
      <c r="F1114" s="2" t="str">
        <v>INP6010</v>
      </c>
      <c r="G1114" s="2" t="str">
        <v>2026-08-12</v>
      </c>
      <c r="H1114" s="2" t="str">
        <v>7799999.976</v>
      </c>
      <c r="I1114" s="28" t="n">
        <v>7799999.976</v>
      </c>
      <c r="J1114" s="7" t="n">
        <v>7800000</v>
      </c>
      <c r="K1114" s="28" t="n">
        <f>J1114-I1114</f>
        <v>0.024000000208616257</v>
      </c>
      <c r="L1114" s="2" t="str">
        <v>NHẬP</v>
      </c>
      <c r="M1114" s="2" t="str"/>
      <c r="N1114" s="2" t="str">
        <v>KHAC</v>
      </c>
    </row>
    <row r="1115" ht="25" customHeight="1">
      <c r="A1115" s="2" t="str">
        <v>Q1212</v>
      </c>
      <c r="B1115" s="2" t="str">
        <v>KH024</v>
      </c>
      <c r="C1115" s="2" t="str">
        <v>KH024</v>
      </c>
      <c r="D1115" s="2" t="str">
        <v>S2-01209-BH</v>
      </c>
      <c r="E1115" s="2" t="str">
        <v>BAN_HANG</v>
      </c>
      <c r="F1115" s="2" t="str">
        <v>INP6011</v>
      </c>
      <c r="G1115" s="2" t="str">
        <v>2026-08-12</v>
      </c>
      <c r="H1115" s="2" t="str">
        <v>9299999.934</v>
      </c>
      <c r="I1115" s="28" t="n">
        <v>9299999.934</v>
      </c>
      <c r="J1115" s="7" t="n">
        <v>9300000</v>
      </c>
      <c r="K1115" s="28" t="n">
        <f>J1115-I1115</f>
        <v>0.06599999964237213</v>
      </c>
      <c r="L1115" s="2" t="str">
        <v>NHẬP</v>
      </c>
      <c r="M1115" s="2" t="str"/>
      <c r="N1115" s="2" t="str">
        <v>KHAC</v>
      </c>
    </row>
    <row r="1116" ht="25" customHeight="1">
      <c r="A1116" s="2" t="str">
        <v>Q1217</v>
      </c>
      <c r="B1116" s="2" t="str">
        <v>KH024</v>
      </c>
      <c r="C1116" s="2" t="str">
        <v>KH024</v>
      </c>
      <c r="D1116" s="2" t="str">
        <v>S2-01209-BH</v>
      </c>
      <c r="E1116" s="2" t="str">
        <v>BAN_HANG</v>
      </c>
      <c r="F1116" s="2" t="str">
        <v>INP2202</v>
      </c>
      <c r="G1116" s="2" t="str">
        <v>2026-08-12</v>
      </c>
      <c r="H1116" s="2" t="str">
        <v>3647999.9808</v>
      </c>
      <c r="I1116" s="28" t="n">
        <v>3647999.9808</v>
      </c>
      <c r="J1116" s="7" t="n">
        <v>3648000</v>
      </c>
      <c r="K1116" s="28" t="n">
        <f>J1116-I1116</f>
        <v>0.01919999998062849</v>
      </c>
      <c r="L1116" s="2" t="str">
        <v>NHẬP</v>
      </c>
      <c r="M1116" s="2" t="str"/>
      <c r="N1116" s="2" t="str">
        <v>KHAC</v>
      </c>
    </row>
    <row r="1117" ht="25" customHeight="1">
      <c r="A1117" s="2" t="str">
        <v>S1218</v>
      </c>
      <c r="B1117" s="2" t="str">
        <v>KH034</v>
      </c>
      <c r="C1117" s="2" t="str">
        <v>KH034</v>
      </c>
      <c r="D1117" s="2" t="str">
        <v>S2-01218-VC</v>
      </c>
      <c r="E1117" s="2" t="str">
        <v>PHI_VAN_CHUYEN</v>
      </c>
      <c r="F1117" s="2" t="str"/>
      <c r="G1117" s="2" t="str">
        <v>2026-08-06</v>
      </c>
      <c r="H1117" s="2" t="str">
        <v>1385000</v>
      </c>
      <c r="I1117" s="28" t="n">
        <v>1385000</v>
      </c>
      <c r="J1117" s="7" t="n">
        <v>1385000</v>
      </c>
      <c r="K1117" s="28" t="n">
        <f>J1117-I1117</f>
        <v>0</v>
      </c>
      <c r="L1117" s="2" t="str">
        <v>NHẬP</v>
      </c>
      <c r="M1117" s="2" t="str"/>
      <c r="N1117" s="2" t="str">
        <v>KHAC</v>
      </c>
    </row>
    <row r="1118" ht="25" customHeight="1">
      <c r="A1118" s="2" t="str">
        <v>Q1220</v>
      </c>
      <c r="B1118" s="2" t="str">
        <v>KH055</v>
      </c>
      <c r="C1118" s="2" t="str">
        <v>KH055</v>
      </c>
      <c r="D1118" s="2" t="str">
        <v>S2-01220-BH</v>
      </c>
      <c r="E1118" s="2" t="str">
        <v>BAN_HANG</v>
      </c>
      <c r="F1118" s="2" t="str">
        <v>INP6101</v>
      </c>
      <c r="G1118" s="2" t="str">
        <v>2026-08-12</v>
      </c>
      <c r="H1118" s="2" t="str">
        <v>3899999.988</v>
      </c>
      <c r="I1118" s="28" t="n">
        <v>3899999.988</v>
      </c>
      <c r="J1118" s="7" t="n">
        <v>3900000</v>
      </c>
      <c r="K1118" s="28" t="n">
        <f>J1118-I1118</f>
        <v>0.012000000104308128</v>
      </c>
      <c r="L1118" s="2" t="str">
        <v>NHẬP</v>
      </c>
      <c r="M1118" s="2" t="str"/>
      <c r="N1118" s="2" t="str">
        <v>KHAC</v>
      </c>
    </row>
    <row r="1119" ht="25" customHeight="1">
      <c r="A1119" s="2" t="str">
        <v>Q1221</v>
      </c>
      <c r="B1119" s="2" t="str">
        <v>KH055</v>
      </c>
      <c r="C1119" s="2" t="str">
        <v>KH055</v>
      </c>
      <c r="D1119" s="2" t="str">
        <v>S2-01220-BH</v>
      </c>
      <c r="E1119" s="2" t="str">
        <v>BAN_HANG</v>
      </c>
      <c r="F1119" s="2" t="str">
        <v>INP6902</v>
      </c>
      <c r="G1119" s="2" t="str">
        <v>2026-08-12</v>
      </c>
      <c r="H1119" s="2" t="str">
        <v>1960000.0056</v>
      </c>
      <c r="I1119" s="28" t="n">
        <v>1960000.0056</v>
      </c>
      <c r="J1119" s="7" t="n">
        <v>1960000</v>
      </c>
      <c r="K1119" s="28" t="n">
        <f>J1119-I1119</f>
        <v>-0.005600000033155084</v>
      </c>
      <c r="L1119" s="2" t="str">
        <v>NHẬP</v>
      </c>
      <c r="M1119" s="2" t="str"/>
      <c r="N1119" s="2" t="str">
        <v>KHAC</v>
      </c>
    </row>
    <row r="1120" ht="25" customHeight="1">
      <c r="A1120" s="2" t="str">
        <v>R1223</v>
      </c>
      <c r="B1120" s="2" t="str">
        <v>KH089</v>
      </c>
      <c r="C1120" s="2" t="str">
        <v>NV000014</v>
      </c>
      <c r="D1120" s="2" t="str">
        <v>S2-01223-TT</v>
      </c>
      <c r="E1120" s="2" t="str">
        <v>THU_TIEN</v>
      </c>
      <c r="F1120" s="2" t="str"/>
      <c r="G1120" s="2" t="str">
        <v>2026-08-12</v>
      </c>
      <c r="H1120" s="2" t="str">
        <v>1730000</v>
      </c>
      <c r="I1120" s="28" t="n">
        <v>1730000</v>
      </c>
      <c r="J1120" s="7" t="n">
        <v>1730000</v>
      </c>
      <c r="K1120" s="28" t="n">
        <f>J1120-I1120</f>
        <v>0</v>
      </c>
      <c r="L1120" s="2" t="str">
        <v>NHẬP</v>
      </c>
      <c r="M1120" s="2" t="str"/>
      <c r="N1120" s="2" t="str">
        <v>KHAC</v>
      </c>
    </row>
    <row r="1121" ht="25" customHeight="1">
      <c r="A1121" s="2" t="str">
        <v>R1224</v>
      </c>
      <c r="B1121" s="2" t="str">
        <v>KH024</v>
      </c>
      <c r="C1121" s="2" t="str">
        <v>KH024</v>
      </c>
      <c r="D1121" s="2" t="str">
        <v>S2-01224-TT</v>
      </c>
      <c r="E1121" s="2" t="str">
        <v>THU_TIEN</v>
      </c>
      <c r="F1121" s="2" t="str"/>
      <c r="G1121" s="2" t="str">
        <v>2026-08-12</v>
      </c>
      <c r="H1121" s="2" t="str">
        <v>60000000</v>
      </c>
      <c r="I1121" s="28" t="n">
        <v>60000000</v>
      </c>
      <c r="J1121" s="7" t="n">
        <v>60000000</v>
      </c>
      <c r="K1121" s="28" t="n">
        <f>J1121-I1121</f>
        <v>0</v>
      </c>
      <c r="L1121" s="2" t="str">
        <v>NHẬP</v>
      </c>
      <c r="M1121" s="2" t="str"/>
      <c r="N1121" s="2" t="str">
        <v>KHAC</v>
      </c>
    </row>
    <row r="1122" ht="25" customHeight="1">
      <c r="A1122" s="2" t="str">
        <v>S1225</v>
      </c>
      <c r="B1122" s="2" t="str">
        <v>KH024</v>
      </c>
      <c r="C1122" s="2" t="str">
        <v>KH024</v>
      </c>
      <c r="D1122" s="2" t="str">
        <v>S2-01225-VC</v>
      </c>
      <c r="E1122" s="2" t="str">
        <v>PHI_VAN_CHUYEN</v>
      </c>
      <c r="F1122" s="2" t="str"/>
      <c r="G1122" s="2" t="str">
        <v>2026-08-12</v>
      </c>
      <c r="H1122" s="2" t="str">
        <v>750000</v>
      </c>
      <c r="I1122" s="28" t="n">
        <v>750000</v>
      </c>
      <c r="J1122" s="7" t="n">
        <v>750000</v>
      </c>
      <c r="K1122" s="28" t="n">
        <f>J1122-I1122</f>
        <v>0</v>
      </c>
      <c r="L1122" s="2" t="str">
        <v>NHẬP</v>
      </c>
      <c r="M1122" s="2" t="str"/>
      <c r="N1122" s="2" t="str">
        <v>KHAC</v>
      </c>
    </row>
    <row r="1123" ht="25" customHeight="1">
      <c r="A1123" s="2" t="str">
        <v>Q1226</v>
      </c>
      <c r="B1123" s="2" t="str">
        <v>KH066</v>
      </c>
      <c r="C1123" s="2" t="str">
        <v>KH066</v>
      </c>
      <c r="D1123" s="2" t="str">
        <v>S2-01226-BH</v>
      </c>
      <c r="E1123" s="2" t="str">
        <v>BAN_HANG</v>
      </c>
      <c r="F1123" s="2" t="str">
        <v>INP6005</v>
      </c>
      <c r="G1123" s="2" t="str">
        <v>2026-08-13</v>
      </c>
      <c r="H1123" s="2" t="str">
        <v>10439999.928</v>
      </c>
      <c r="I1123" s="28" t="n">
        <v>10439999.928</v>
      </c>
      <c r="J1123" s="7" t="n">
        <v>10440000</v>
      </c>
      <c r="K1123" s="28" t="n">
        <f>J1123-I1123</f>
        <v>0.07200000062584877</v>
      </c>
      <c r="L1123" s="2" t="str">
        <v>NHẬP</v>
      </c>
      <c r="M1123" s="2" t="str"/>
      <c r="N1123" s="2" t="str">
        <v>KHAC</v>
      </c>
    </row>
    <row r="1124" ht="25" customHeight="1">
      <c r="A1124" s="2" t="str">
        <v>Q1227</v>
      </c>
      <c r="B1124" s="2" t="str">
        <v>KH066</v>
      </c>
      <c r="C1124" s="2" t="str">
        <v>KH066</v>
      </c>
      <c r="D1124" s="2" t="str">
        <v>S2-01226-BH</v>
      </c>
      <c r="E1124" s="2" t="str">
        <v>BAN_HANG</v>
      </c>
      <c r="F1124" s="2" t="str">
        <v>INP6006</v>
      </c>
      <c r="G1124" s="2" t="str">
        <v>2026-08-13</v>
      </c>
      <c r="H1124" s="2" t="str">
        <v>8550000.036</v>
      </c>
      <c r="I1124" s="28" t="n">
        <v>8550000.036</v>
      </c>
      <c r="J1124" s="7" t="n">
        <v>8550000</v>
      </c>
      <c r="K1124" s="28" t="n">
        <f>J1124-I1124</f>
        <v>-0.036000000312924385</v>
      </c>
      <c r="L1124" s="2" t="str">
        <v>NHẬP</v>
      </c>
      <c r="M1124" s="2" t="str"/>
      <c r="N1124" s="2" t="str">
        <v>KHAC</v>
      </c>
    </row>
    <row r="1125" ht="25" customHeight="1">
      <c r="A1125" s="2" t="str">
        <v>Q1228</v>
      </c>
      <c r="B1125" s="2" t="str">
        <v>KH066</v>
      </c>
      <c r="C1125" s="2" t="str">
        <v>KH066</v>
      </c>
      <c r="D1125" s="2" t="str">
        <v>S2-01226-BH</v>
      </c>
      <c r="E1125" s="2" t="str">
        <v>BAN_HANG</v>
      </c>
      <c r="F1125" s="2" t="str">
        <v>INP6007</v>
      </c>
      <c r="G1125" s="2" t="str">
        <v>2026-08-13</v>
      </c>
      <c r="H1125" s="2" t="str">
        <v>10200000.006</v>
      </c>
      <c r="I1125" s="28" t="n">
        <v>10200000.006</v>
      </c>
      <c r="J1125" s="7" t="n">
        <v>10200000</v>
      </c>
      <c r="K1125" s="28" t="n">
        <f>J1125-I1125</f>
        <v>-0.0059999991208314896</v>
      </c>
      <c r="L1125" s="2" t="str">
        <v>NHẬP</v>
      </c>
      <c r="M1125" s="2" t="str"/>
      <c r="N1125" s="2" t="str">
        <v>KHAC</v>
      </c>
    </row>
    <row r="1126" ht="25" customHeight="1">
      <c r="A1126" s="2" t="str">
        <v>Q1229</v>
      </c>
      <c r="B1126" s="2" t="str">
        <v>KH066</v>
      </c>
      <c r="C1126" s="2" t="str">
        <v>KH066</v>
      </c>
      <c r="D1126" s="2" t="str">
        <v>S2-01226-BH</v>
      </c>
      <c r="E1126" s="2" t="str">
        <v>BAN_HANG</v>
      </c>
      <c r="F1126" s="2" t="str">
        <v>INP6009</v>
      </c>
      <c r="G1126" s="2" t="str">
        <v>2026-08-13</v>
      </c>
      <c r="H1126" s="2" t="str">
        <v>11249999.928</v>
      </c>
      <c r="I1126" s="28" t="n">
        <v>11249999.928</v>
      </c>
      <c r="J1126" s="7" t="n">
        <v>11250000</v>
      </c>
      <c r="K1126" s="28" t="n">
        <f>J1126-I1126</f>
        <v>0.07200000062584877</v>
      </c>
      <c r="L1126" s="2" t="str">
        <v>NHẬP</v>
      </c>
      <c r="M1126" s="2" t="str"/>
      <c r="N1126" s="2" t="str">
        <v>KHAC</v>
      </c>
    </row>
    <row r="1127" ht="25" customHeight="1">
      <c r="A1127" s="2" t="str">
        <v>Q1230</v>
      </c>
      <c r="B1127" s="2" t="str">
        <v>KH066</v>
      </c>
      <c r="C1127" s="2" t="str">
        <v>KH066</v>
      </c>
      <c r="D1127" s="2" t="str">
        <v>S2-01226-BH</v>
      </c>
      <c r="E1127" s="2" t="str">
        <v>BAN_HANG</v>
      </c>
      <c r="F1127" s="2" t="str">
        <v>INP6011</v>
      </c>
      <c r="G1127" s="2" t="str">
        <v>2026-08-13</v>
      </c>
      <c r="H1127" s="2" t="str">
        <v>9299999.934</v>
      </c>
      <c r="I1127" s="28" t="n">
        <v>9299999.934</v>
      </c>
      <c r="J1127" s="7" t="n">
        <v>9300000</v>
      </c>
      <c r="K1127" s="28" t="n">
        <f>J1127-I1127</f>
        <v>0.06599999964237213</v>
      </c>
      <c r="L1127" s="2" t="str">
        <v>NHẬP</v>
      </c>
      <c r="M1127" s="2" t="str"/>
      <c r="N1127" s="2" t="str">
        <v>KHAC</v>
      </c>
    </row>
    <row r="1128" ht="25" customHeight="1">
      <c r="A1128" s="2" t="str">
        <v>Q1231</v>
      </c>
      <c r="B1128" s="2" t="str">
        <v>KH066</v>
      </c>
      <c r="C1128" s="2" t="str">
        <v>KH066</v>
      </c>
      <c r="D1128" s="2" t="str">
        <v>S2-01226-BH</v>
      </c>
      <c r="E1128" s="2" t="str">
        <v>BAN_HANG</v>
      </c>
      <c r="F1128" s="2" t="str">
        <v>INP6012</v>
      </c>
      <c r="G1128" s="2" t="str">
        <v>2026-08-13</v>
      </c>
      <c r="H1128" s="2" t="str">
        <v>4549999.986</v>
      </c>
      <c r="I1128" s="28" t="n">
        <v>4549999.986</v>
      </c>
      <c r="J1128" s="7" t="n">
        <v>4550000</v>
      </c>
      <c r="K1128" s="28" t="n">
        <f>J1128-I1128</f>
        <v>0.014000000432133675</v>
      </c>
      <c r="L1128" s="2" t="str">
        <v>NHẬP</v>
      </c>
      <c r="M1128" s="2" t="str"/>
      <c r="N1128" s="2" t="str">
        <v>KHAC</v>
      </c>
    </row>
    <row r="1129" ht="25" customHeight="1">
      <c r="A1129" s="2" t="str">
        <v>Q1232</v>
      </c>
      <c r="B1129" s="2" t="str">
        <v>KH066</v>
      </c>
      <c r="C1129" s="2" t="str">
        <v>KH066</v>
      </c>
      <c r="D1129" s="2" t="str">
        <v>S2-01226-BH</v>
      </c>
      <c r="E1129" s="2" t="str">
        <v>BAN_HANG</v>
      </c>
      <c r="F1129" s="2" t="str">
        <v>INP1301</v>
      </c>
      <c r="G1129" s="2" t="str">
        <v>2026-08-13</v>
      </c>
      <c r="H1129" s="2" t="str">
        <v>2549999.88</v>
      </c>
      <c r="I1129" s="28" t="n">
        <v>2549999.88</v>
      </c>
      <c r="J1129" s="7" t="n">
        <v>2550000</v>
      </c>
      <c r="K1129" s="28" t="n">
        <f>J1129-I1129</f>
        <v>0.12000000011175871</v>
      </c>
      <c r="L1129" s="2" t="str">
        <v>NHẬP</v>
      </c>
      <c r="M1129" s="2" t="str"/>
      <c r="N1129" s="2" t="str">
        <v>KHAC</v>
      </c>
    </row>
    <row r="1130" ht="25" customHeight="1">
      <c r="A1130" s="2" t="str">
        <v>Q1233</v>
      </c>
      <c r="B1130" s="2" t="str">
        <v>KH066</v>
      </c>
      <c r="C1130" s="2" t="str">
        <v>KH066</v>
      </c>
      <c r="D1130" s="2" t="str">
        <v>S2-01226-BH</v>
      </c>
      <c r="E1130" s="2" t="str">
        <v>BAN_HANG</v>
      </c>
      <c r="F1130" s="2" t="str">
        <v>INP1301</v>
      </c>
      <c r="G1130" s="2" t="str">
        <v>2026-08-13</v>
      </c>
      <c r="H1130" s="2" t="str">
        <v>1099999.98</v>
      </c>
      <c r="I1130" s="28" t="n">
        <v>1099999.98</v>
      </c>
      <c r="J1130" s="7" t="n">
        <v>1100000</v>
      </c>
      <c r="K1130" s="28" t="n">
        <f>J1130-I1130</f>
        <v>0.02000000001862645</v>
      </c>
      <c r="L1130" s="2" t="str">
        <v>NHẬP</v>
      </c>
      <c r="M1130" s="2" t="str"/>
      <c r="N1130" s="2" t="str">
        <v>KHAC</v>
      </c>
    </row>
    <row r="1131" ht="25" customHeight="1">
      <c r="A1131" s="2" t="str">
        <v>Q1240</v>
      </c>
      <c r="B1131" s="2" t="str">
        <v>KH066</v>
      </c>
      <c r="C1131" s="2" t="str">
        <v>KH066</v>
      </c>
      <c r="D1131" s="2" t="str">
        <v>S2-01240-BH</v>
      </c>
      <c r="E1131" s="2" t="str">
        <v>BAN_HANG</v>
      </c>
      <c r="F1131" s="2" t="str">
        <v>INP6403</v>
      </c>
      <c r="G1131" s="2" t="str">
        <v>2026-08-13</v>
      </c>
      <c r="H1131" s="2" t="str">
        <v>22499999.856</v>
      </c>
      <c r="I1131" s="28" t="n">
        <v>22499999.856</v>
      </c>
      <c r="J1131" s="7" t="n">
        <v>22499999</v>
      </c>
      <c r="K1131" s="28" t="n">
        <f>J1131-I1131</f>
        <v>-0.8559999987483025</v>
      </c>
      <c r="L1131" s="2" t="str">
        <v>NHẬP</v>
      </c>
      <c r="M1131" s="2" t="str"/>
      <c r="N1131" s="2" t="str">
        <v>QUAT</v>
      </c>
    </row>
    <row r="1132" ht="25" customHeight="1">
      <c r="A1132" s="2" t="str">
        <v>Q1241</v>
      </c>
      <c r="B1132" s="2" t="str">
        <v>KH074</v>
      </c>
      <c r="C1132" s="2" t="str">
        <v>KH074</v>
      </c>
      <c r="D1132" s="2" t="str">
        <v>S2-01241-BH</v>
      </c>
      <c r="E1132" s="2" t="str">
        <v>BAN_HANG</v>
      </c>
      <c r="F1132" s="2" t="str">
        <v>INP6105</v>
      </c>
      <c r="G1132" s="2" t="str">
        <v>2026-08-14</v>
      </c>
      <c r="H1132" s="2" t="str">
        <v>4380000.0264</v>
      </c>
      <c r="I1132" s="28" t="n">
        <v>4380000.0264</v>
      </c>
      <c r="J1132" s="7" t="n">
        <v>4380000</v>
      </c>
      <c r="K1132" s="28" t="n">
        <f>J1132-I1132</f>
        <v>-0.026399999856948853</v>
      </c>
      <c r="L1132" s="2" t="str">
        <v>NHẬP</v>
      </c>
      <c r="M1132" s="2" t="str"/>
      <c r="N1132" s="2" t="str">
        <v>KHAC</v>
      </c>
    </row>
    <row r="1133" ht="25" customHeight="1">
      <c r="A1133" s="2" t="str">
        <v>Q1242</v>
      </c>
      <c r="B1133" s="2" t="str">
        <v>KH074</v>
      </c>
      <c r="C1133" s="2" t="str">
        <v>KH074</v>
      </c>
      <c r="D1133" s="2" t="str">
        <v>S2-01241-BH</v>
      </c>
      <c r="E1133" s="2" t="str">
        <v>BAN_HANG</v>
      </c>
      <c r="F1133" s="2" t="str">
        <v>INP6007</v>
      </c>
      <c r="G1133" s="2" t="str">
        <v>2026-08-14</v>
      </c>
      <c r="H1133" s="2" t="str">
        <v>10200000.006</v>
      </c>
      <c r="I1133" s="28" t="n">
        <v>10200000.006</v>
      </c>
      <c r="J1133" s="7" t="n">
        <v>10200000</v>
      </c>
      <c r="K1133" s="28" t="n">
        <f>J1133-I1133</f>
        <v>-0.0059999991208314896</v>
      </c>
      <c r="L1133" s="2" t="str">
        <v>NHẬP</v>
      </c>
      <c r="M1133" s="2" t="str"/>
      <c r="N1133" s="2" t="str">
        <v>KHAC</v>
      </c>
    </row>
    <row r="1134" ht="25" customHeight="1">
      <c r="A1134" s="2" t="str">
        <v>Q1243</v>
      </c>
      <c r="B1134" s="2" t="str">
        <v>KH074</v>
      </c>
      <c r="C1134" s="2" t="str">
        <v>KH074</v>
      </c>
      <c r="D1134" s="2" t="str">
        <v>S2-01241-BH</v>
      </c>
      <c r="E1134" s="2" t="str">
        <v>BAN_HANG</v>
      </c>
      <c r="F1134" s="2" t="str">
        <v>INP6009</v>
      </c>
      <c r="G1134" s="2" t="str">
        <v>2026-08-14</v>
      </c>
      <c r="H1134" s="2" t="str">
        <v>11249999.928</v>
      </c>
      <c r="I1134" s="28" t="n">
        <v>11249999.928</v>
      </c>
      <c r="J1134" s="7" t="n">
        <v>11250000</v>
      </c>
      <c r="K1134" s="28" t="n">
        <f>J1134-I1134</f>
        <v>0.07200000062584877</v>
      </c>
      <c r="L1134" s="2" t="str">
        <v>NHẬP</v>
      </c>
      <c r="M1134" s="2" t="str"/>
      <c r="N1134" s="2" t="str">
        <v>KHAC</v>
      </c>
    </row>
    <row r="1135" ht="25" customHeight="1">
      <c r="A1135" s="2" t="str">
        <v>Q1244</v>
      </c>
      <c r="B1135" s="2" t="str">
        <v>KH074</v>
      </c>
      <c r="C1135" s="2" t="str">
        <v>KH074</v>
      </c>
      <c r="D1135" s="2" t="str">
        <v>S2-01241-BH</v>
      </c>
      <c r="E1135" s="2" t="str">
        <v>BAN_HANG</v>
      </c>
      <c r="F1135" s="2" t="str">
        <v>INP6011</v>
      </c>
      <c r="G1135" s="2" t="str">
        <v>2026-08-14</v>
      </c>
      <c r="H1135" s="2" t="str">
        <v>9299999.934</v>
      </c>
      <c r="I1135" s="28" t="n">
        <v>9299999.934</v>
      </c>
      <c r="J1135" s="7" t="n">
        <v>9300000</v>
      </c>
      <c r="K1135" s="28" t="n">
        <f>J1135-I1135</f>
        <v>0.06599999964237213</v>
      </c>
      <c r="L1135" s="2" t="str">
        <v>NHẬP</v>
      </c>
      <c r="M1135" s="2" t="str"/>
      <c r="N1135" s="2" t="str">
        <v>KHAC</v>
      </c>
    </row>
    <row r="1136" ht="25" customHeight="1">
      <c r="A1136" s="2" t="str">
        <v>Q1245</v>
      </c>
      <c r="B1136" s="2" t="str">
        <v>KH074</v>
      </c>
      <c r="C1136" s="2" t="str">
        <v>KH074</v>
      </c>
      <c r="D1136" s="2" t="str">
        <v>S2-01241-BH</v>
      </c>
      <c r="E1136" s="2" t="str">
        <v>BAN_HANG</v>
      </c>
      <c r="F1136" s="2" t="str">
        <v>INP1301</v>
      </c>
      <c r="G1136" s="2" t="str">
        <v>2026-08-14</v>
      </c>
      <c r="H1136" s="2" t="str">
        <v>1199999.988</v>
      </c>
      <c r="I1136" s="28" t="n">
        <v>1199999.988</v>
      </c>
      <c r="J1136" s="7" t="n">
        <v>1200000</v>
      </c>
      <c r="K1136" s="28" t="n">
        <f>J1136-I1136</f>
        <v>0.012000000104308128</v>
      </c>
      <c r="L1136" s="2" t="str">
        <v>NHẬP</v>
      </c>
      <c r="M1136" s="2" t="str"/>
      <c r="N1136" s="2" t="str">
        <v>KHAC</v>
      </c>
    </row>
    <row r="1137" ht="25" customHeight="1">
      <c r="A1137" s="2" t="str">
        <v>Q1250</v>
      </c>
      <c r="B1137" s="2" t="str">
        <v>KH034</v>
      </c>
      <c r="C1137" s="2" t="str">
        <v>KH034</v>
      </c>
      <c r="D1137" s="2" t="str">
        <v>S2-01250-BH</v>
      </c>
      <c r="E1137" s="2" t="str">
        <v>BAN_HANG</v>
      </c>
      <c r="F1137" s="2" t="str">
        <v>INP6004</v>
      </c>
      <c r="G1137" s="2" t="str">
        <v>2026-08-14</v>
      </c>
      <c r="H1137" s="2" t="str">
        <v>17400000.096</v>
      </c>
      <c r="I1137" s="28" t="n">
        <v>17400000.096</v>
      </c>
      <c r="J1137" s="7" t="n">
        <v>17400000</v>
      </c>
      <c r="K1137" s="28" t="n">
        <f>J1137-I1137</f>
        <v>-0.09600000083446503</v>
      </c>
      <c r="L1137" s="2" t="str">
        <v>NHẬP</v>
      </c>
      <c r="M1137" s="2" t="str"/>
      <c r="N1137" s="2" t="str">
        <v>KHAC</v>
      </c>
    </row>
    <row r="1138" ht="25" customHeight="1">
      <c r="A1138" s="2" t="str">
        <v>Q1251</v>
      </c>
      <c r="B1138" s="2" t="str">
        <v>KH034</v>
      </c>
      <c r="C1138" s="2" t="str">
        <v>KH034</v>
      </c>
      <c r="D1138" s="2" t="str">
        <v>S2-01250-BH</v>
      </c>
      <c r="E1138" s="2" t="str">
        <v>BAN_HANG</v>
      </c>
      <c r="F1138" s="2" t="str">
        <v>INP6005</v>
      </c>
      <c r="G1138" s="2" t="str">
        <v>2026-08-14</v>
      </c>
      <c r="H1138" s="2" t="str">
        <v>20700000.036</v>
      </c>
      <c r="I1138" s="28" t="n">
        <v>20700000.036</v>
      </c>
      <c r="J1138" s="7" t="n">
        <v>20700000</v>
      </c>
      <c r="K1138" s="28" t="n">
        <f>J1138-I1138</f>
        <v>-0.035999998450279236</v>
      </c>
      <c r="L1138" s="2" t="str">
        <v>NHẬP</v>
      </c>
      <c r="M1138" s="2" t="str"/>
      <c r="N1138" s="2" t="str">
        <v>KHAC</v>
      </c>
    </row>
    <row r="1139" ht="25" customHeight="1">
      <c r="A1139" s="2" t="str">
        <v>Q1252</v>
      </c>
      <c r="B1139" s="2" t="str">
        <v>KH034</v>
      </c>
      <c r="C1139" s="2" t="str">
        <v>KH034</v>
      </c>
      <c r="D1139" s="2" t="str">
        <v>S2-01250-BH</v>
      </c>
      <c r="E1139" s="2" t="str">
        <v>BAN_HANG</v>
      </c>
      <c r="F1139" s="2" t="str">
        <v>INP6006</v>
      </c>
      <c r="G1139" s="2" t="str">
        <v>2026-08-14</v>
      </c>
      <c r="H1139" s="2" t="str">
        <v>17100000.072</v>
      </c>
      <c r="I1139" s="28" t="n">
        <v>17100000.072</v>
      </c>
      <c r="J1139" s="7" t="n">
        <v>17100000</v>
      </c>
      <c r="K1139" s="28" t="n">
        <f>J1139-I1139</f>
        <v>-0.07200000062584877</v>
      </c>
      <c r="L1139" s="2" t="str">
        <v>NHẬP</v>
      </c>
      <c r="M1139" s="2" t="str"/>
      <c r="N1139" s="2" t="str">
        <v>KHAC</v>
      </c>
    </row>
    <row r="1140" ht="25" customHeight="1">
      <c r="A1140" s="2" t="str">
        <v>Q1253</v>
      </c>
      <c r="B1140" s="2" t="str">
        <v>KH034</v>
      </c>
      <c r="C1140" s="2" t="str">
        <v>KH034</v>
      </c>
      <c r="D1140" s="2" t="str">
        <v>S2-01250-BH</v>
      </c>
      <c r="E1140" s="2" t="str">
        <v>BAN_HANG</v>
      </c>
      <c r="F1140" s="2" t="str">
        <v>INP6007</v>
      </c>
      <c r="G1140" s="2" t="str">
        <v>2026-08-14</v>
      </c>
      <c r="H1140" s="2" t="str">
        <v>20400000.012</v>
      </c>
      <c r="I1140" s="28" t="n">
        <v>20400000.012</v>
      </c>
      <c r="J1140" s="7" t="n">
        <v>20400000</v>
      </c>
      <c r="K1140" s="28" t="n">
        <f>J1140-I1140</f>
        <v>-0.011999998241662979</v>
      </c>
      <c r="L1140" s="2" t="str">
        <v>NHẬP</v>
      </c>
      <c r="M1140" s="2" t="str"/>
      <c r="N1140" s="2" t="str">
        <v>KHAC</v>
      </c>
    </row>
    <row r="1141" ht="25" customHeight="1">
      <c r="A1141" s="2" t="str">
        <v>Q1254</v>
      </c>
      <c r="B1141" s="2" t="str">
        <v>KH034</v>
      </c>
      <c r="C1141" s="2" t="str">
        <v>KH034</v>
      </c>
      <c r="D1141" s="2" t="str">
        <v>S2-01250-BH</v>
      </c>
      <c r="E1141" s="2" t="str">
        <v>BAN_HANG</v>
      </c>
      <c r="F1141" s="2" t="str">
        <v>INP6010</v>
      </c>
      <c r="G1141" s="2" t="str">
        <v>2026-08-14</v>
      </c>
      <c r="H1141" s="2" t="str">
        <v>15599999.952</v>
      </c>
      <c r="I1141" s="28" t="n">
        <v>15599999.952</v>
      </c>
      <c r="J1141" s="7" t="n">
        <v>15600000</v>
      </c>
      <c r="K1141" s="28" t="n">
        <f>J1141-I1141</f>
        <v>0.04800000041723251</v>
      </c>
      <c r="L1141" s="2" t="str">
        <v>NHẬP</v>
      </c>
      <c r="M1141" s="2" t="str"/>
      <c r="N1141" s="2" t="str">
        <v>KHAC</v>
      </c>
    </row>
    <row r="1142" ht="25" customHeight="1">
      <c r="A1142" s="2" t="str">
        <v>Q1255</v>
      </c>
      <c r="B1142" s="2" t="str">
        <v>KH034</v>
      </c>
      <c r="C1142" s="2" t="str">
        <v>KH034</v>
      </c>
      <c r="D1142" s="2" t="str">
        <v>S2-01250-BH</v>
      </c>
      <c r="E1142" s="2" t="str">
        <v>BAN_HANG</v>
      </c>
      <c r="F1142" s="2" t="str">
        <v>INP6011</v>
      </c>
      <c r="G1142" s="2" t="str">
        <v>2026-08-14</v>
      </c>
      <c r="H1142" s="2" t="str">
        <v>18599999.868</v>
      </c>
      <c r="I1142" s="28" t="n">
        <v>18599999.868</v>
      </c>
      <c r="J1142" s="7" t="n">
        <v>18600000</v>
      </c>
      <c r="K1142" s="28" t="n">
        <f>J1142-I1142</f>
        <v>0.13199999928474426</v>
      </c>
      <c r="L1142" s="2" t="str">
        <v>NHẬP</v>
      </c>
      <c r="M1142" s="2" t="str"/>
      <c r="N1142" s="2" t="str">
        <v>KHAC</v>
      </c>
    </row>
    <row r="1143" ht="25" customHeight="1">
      <c r="A1143" s="2" t="str">
        <v>Q1256</v>
      </c>
      <c r="B1143" s="2" t="str">
        <v>KH034</v>
      </c>
      <c r="C1143" s="2" t="str">
        <v>KH034</v>
      </c>
      <c r="D1143" s="2" t="str">
        <v>S2-01250-BH</v>
      </c>
      <c r="E1143" s="2" t="str">
        <v>BAN_HANG</v>
      </c>
      <c r="F1143" s="2" t="str">
        <v>INP6012</v>
      </c>
      <c r="G1143" s="2" t="str">
        <v>2026-08-14</v>
      </c>
      <c r="H1143" s="2" t="str">
        <v>2599999.992</v>
      </c>
      <c r="I1143" s="28" t="n">
        <v>2599999.992</v>
      </c>
      <c r="J1143" s="7" t="n">
        <v>2600000</v>
      </c>
      <c r="K1143" s="28" t="n">
        <f>J1143-I1143</f>
        <v>0.007999999914318323</v>
      </c>
      <c r="L1143" s="2" t="str">
        <v>NHẬP</v>
      </c>
      <c r="M1143" s="2" t="str"/>
      <c r="N1143" s="2" t="str">
        <v>KHAC</v>
      </c>
    </row>
    <row r="1144" ht="25" customHeight="1">
      <c r="A1144" s="2" t="str">
        <v>Q1257</v>
      </c>
      <c r="B1144" s="2" t="str">
        <v>KH034</v>
      </c>
      <c r="C1144" s="2" t="str">
        <v>KH034</v>
      </c>
      <c r="D1144" s="2" t="str">
        <v>S2-01250-BH</v>
      </c>
      <c r="E1144" s="2" t="str">
        <v>BAN_HANG</v>
      </c>
      <c r="F1144" s="2" t="str">
        <v>INP6701</v>
      </c>
      <c r="G1144" s="2" t="str">
        <v>2026-08-14</v>
      </c>
      <c r="H1144" s="2" t="str">
        <v>16520000.112</v>
      </c>
      <c r="I1144" s="28" t="n">
        <v>16520000.112</v>
      </c>
      <c r="J1144" s="7" t="n">
        <v>16520000</v>
      </c>
      <c r="K1144" s="28" t="n">
        <f>J1144-I1144</f>
        <v>-0.1119999997317791</v>
      </c>
      <c r="L1144" s="2" t="str">
        <v>NHẬP</v>
      </c>
      <c r="M1144" s="2" t="str"/>
      <c r="N1144" s="2" t="str">
        <v>KHAC</v>
      </c>
    </row>
    <row r="1145" ht="25" customHeight="1">
      <c r="A1145" s="2" t="str">
        <v>Q1258</v>
      </c>
      <c r="B1145" s="2" t="str">
        <v>KH034</v>
      </c>
      <c r="C1145" s="2" t="str">
        <v>KH034</v>
      </c>
      <c r="D1145" s="2" t="str">
        <v>S2-01250-BH</v>
      </c>
      <c r="E1145" s="2" t="str">
        <v>BAN_HANG</v>
      </c>
      <c r="F1145" s="2" t="str">
        <v>INP6202</v>
      </c>
      <c r="G1145" s="2" t="str">
        <v>2026-08-14</v>
      </c>
      <c r="H1145" s="2" t="str">
        <v>12672000.1584</v>
      </c>
      <c r="I1145" s="28" t="n">
        <v>12672000.1584</v>
      </c>
      <c r="J1145" s="7" t="n">
        <v>12672000</v>
      </c>
      <c r="K1145" s="28" t="n">
        <f>J1145-I1145</f>
        <v>-0.15839999914169312</v>
      </c>
      <c r="L1145" s="2" t="str">
        <v>NHẬP</v>
      </c>
      <c r="M1145" s="2" t="str"/>
      <c r="N1145" s="2" t="str">
        <v>KHAC</v>
      </c>
    </row>
    <row r="1146" ht="25" customHeight="1">
      <c r="A1146" s="2" t="str">
        <v>Q1259</v>
      </c>
      <c r="B1146" s="2" t="str">
        <v>KH034</v>
      </c>
      <c r="C1146" s="2" t="str">
        <v>KH034</v>
      </c>
      <c r="D1146" s="2" t="str">
        <v>S2-01250-BH</v>
      </c>
      <c r="E1146" s="2" t="str">
        <v>BAN_HANG</v>
      </c>
      <c r="F1146" s="2" t="str">
        <v>INP6204</v>
      </c>
      <c r="G1146" s="2" t="str">
        <v>2026-08-14</v>
      </c>
      <c r="H1146" s="2" t="str">
        <v>7368000.0192</v>
      </c>
      <c r="I1146" s="28" t="n">
        <v>7368000.0192</v>
      </c>
      <c r="J1146" s="7" t="n">
        <v>7368000</v>
      </c>
      <c r="K1146" s="28" t="n">
        <f>J1146-I1146</f>
        <v>-0.01919999998062849</v>
      </c>
      <c r="L1146" s="2" t="str">
        <v>NHẬP</v>
      </c>
      <c r="M1146" s="2" t="str"/>
      <c r="N1146" s="2" t="str">
        <v>KHAC</v>
      </c>
    </row>
    <row r="1147" ht="25" customHeight="1">
      <c r="A1147" s="2" t="str">
        <v>Q1260</v>
      </c>
      <c r="B1147" s="2" t="str">
        <v>KH034</v>
      </c>
      <c r="C1147" s="2" t="str">
        <v>KH034</v>
      </c>
      <c r="D1147" s="2" t="str">
        <v>S2-01250-BH</v>
      </c>
      <c r="E1147" s="2" t="str">
        <v>BAN_HANG</v>
      </c>
      <c r="F1147" s="2" t="str">
        <v>INP6206</v>
      </c>
      <c r="G1147" s="2" t="str">
        <v>2026-08-14</v>
      </c>
      <c r="H1147" s="2" t="str">
        <v>3420000.0144</v>
      </c>
      <c r="I1147" s="28" t="n">
        <v>3420000.0144</v>
      </c>
      <c r="J1147" s="7" t="n">
        <v>3420000</v>
      </c>
      <c r="K1147" s="28" t="n">
        <f>J1147-I1147</f>
        <v>-0.014400000218302011</v>
      </c>
      <c r="L1147" s="2" t="str">
        <v>NHẬP</v>
      </c>
      <c r="M1147" s="2" t="str"/>
      <c r="N1147" s="2" t="str">
        <v>KHAC</v>
      </c>
    </row>
    <row r="1148" ht="25" customHeight="1">
      <c r="A1148" s="2" t="str">
        <v>R1267</v>
      </c>
      <c r="B1148" s="2" t="str">
        <v>KH012</v>
      </c>
      <c r="C1148" s="2" t="str">
        <v>KH012</v>
      </c>
      <c r="D1148" s="2" t="str">
        <v>S2-01267-TT</v>
      </c>
      <c r="E1148" s="2" t="str">
        <v>THU_TIEN</v>
      </c>
      <c r="F1148" s="2" t="str"/>
      <c r="G1148" s="2" t="str">
        <v>2026-08-14</v>
      </c>
      <c r="H1148" s="2" t="str">
        <v>61652000</v>
      </c>
      <c r="I1148" s="28" t="n">
        <v>61652000</v>
      </c>
      <c r="J1148" s="7" t="n">
        <v>61652000</v>
      </c>
      <c r="K1148" s="28" t="n">
        <f>J1148-I1148</f>
        <v>0</v>
      </c>
      <c r="L1148" s="2" t="str">
        <v>NHẬP</v>
      </c>
      <c r="M1148" s="2" t="str"/>
      <c r="N1148" s="2" t="str">
        <v>KHAC</v>
      </c>
    </row>
    <row r="1149" ht="25" customHeight="1">
      <c r="A1149" s="2" t="str">
        <v>R1268</v>
      </c>
      <c r="B1149" s="2" t="str">
        <v>KH084</v>
      </c>
      <c r="C1149" s="2" t="str">
        <v>KH084</v>
      </c>
      <c r="D1149" s="2" t="str">
        <v>S2-01268-TT</v>
      </c>
      <c r="E1149" s="2" t="str">
        <v>THU_TIEN</v>
      </c>
      <c r="F1149" s="2" t="str"/>
      <c r="G1149" s="2" t="str">
        <v>2026-08-14</v>
      </c>
      <c r="H1149" s="2" t="str">
        <v>22830000</v>
      </c>
      <c r="I1149" s="28" t="n">
        <v>22830000</v>
      </c>
      <c r="J1149" s="7" t="n">
        <v>22830000</v>
      </c>
      <c r="K1149" s="28" t="n">
        <f>J1149-I1149</f>
        <v>0</v>
      </c>
      <c r="L1149" s="2" t="str">
        <v>NHẬP</v>
      </c>
      <c r="M1149" s="2" t="str"/>
      <c r="N1149" s="2" t="str">
        <v>KHAC</v>
      </c>
    </row>
    <row r="1150" ht="25" customHeight="1">
      <c r="A1150" s="2" t="str">
        <v>R1269</v>
      </c>
      <c r="B1150" s="2" t="str">
        <v>KH050</v>
      </c>
      <c r="C1150" s="2" t="str">
        <v>KH050</v>
      </c>
      <c r="D1150" s="2" t="str">
        <v>S2-01269-TT</v>
      </c>
      <c r="E1150" s="2" t="str">
        <v>THU_TIEN</v>
      </c>
      <c r="F1150" s="2" t="str"/>
      <c r="G1150" s="2" t="str">
        <v>2026-08-14</v>
      </c>
      <c r="H1150" s="2" t="str">
        <v>2300000</v>
      </c>
      <c r="I1150" s="28" t="n">
        <v>2300000</v>
      </c>
      <c r="J1150" s="7" t="n">
        <v>2300000</v>
      </c>
      <c r="K1150" s="28" t="n">
        <f>J1150-I1150</f>
        <v>0</v>
      </c>
      <c r="L1150" s="2" t="str">
        <v>NHẬP</v>
      </c>
      <c r="M1150" s="2" t="str"/>
      <c r="N1150" s="2" t="str">
        <v>KHAC</v>
      </c>
    </row>
    <row r="1151" ht="25" customHeight="1">
      <c r="A1151" s="2" t="str">
        <v>S1270</v>
      </c>
      <c r="B1151" s="2" t="str">
        <v>KH034</v>
      </c>
      <c r="C1151" s="2" t="str">
        <v>KH034</v>
      </c>
      <c r="D1151" s="2" t="str">
        <v>S2-01270-VC</v>
      </c>
      <c r="E1151" s="2" t="str">
        <v>PHI_VAN_CHUYEN</v>
      </c>
      <c r="F1151" s="2" t="str"/>
      <c r="G1151" s="2" t="str">
        <v>2026-08-15</v>
      </c>
      <c r="H1151" s="2" t="str">
        <v>1800000</v>
      </c>
      <c r="I1151" s="28" t="n">
        <v>1800000</v>
      </c>
      <c r="J1151" s="7" t="n">
        <v>1800000</v>
      </c>
      <c r="K1151" s="28" t="n">
        <f>J1151-I1151</f>
        <v>0</v>
      </c>
      <c r="L1151" s="2" t="str">
        <v>NHẬP</v>
      </c>
      <c r="M1151" s="2" t="str"/>
      <c r="N1151" s="2" t="str">
        <v>KHAC</v>
      </c>
    </row>
    <row r="1152" ht="25" customHeight="1">
      <c r="A1152" s="2" t="str">
        <v>Q1271</v>
      </c>
      <c r="B1152" s="2" t="str">
        <v>KH034</v>
      </c>
      <c r="C1152" s="2" t="str">
        <v>KH034</v>
      </c>
      <c r="D1152" s="2" t="str">
        <v>S2-01271-BH</v>
      </c>
      <c r="E1152" s="2" t="str">
        <v>BAN_HANG</v>
      </c>
      <c r="F1152" s="2" t="str">
        <v>INP6012</v>
      </c>
      <c r="G1152" s="2" t="str">
        <v>2026-08-17</v>
      </c>
      <c r="H1152" s="2" t="str">
        <v>16899999.948</v>
      </c>
      <c r="I1152" s="28" t="n">
        <v>16899999.948</v>
      </c>
      <c r="J1152" s="7" t="n">
        <v>16900000</v>
      </c>
      <c r="K1152" s="28" t="n">
        <f>J1152-I1152</f>
        <v>0.052000001072883606</v>
      </c>
      <c r="L1152" s="2" t="str">
        <v>NHẬP</v>
      </c>
      <c r="M1152" s="2" t="str"/>
      <c r="N1152" s="2" t="str">
        <v>KHAC</v>
      </c>
    </row>
    <row r="1153" ht="25" customHeight="1">
      <c r="A1153" s="2" t="str">
        <v>Q1273</v>
      </c>
      <c r="B1153" s="2" t="str">
        <v>KH012</v>
      </c>
      <c r="C1153" s="2" t="str">
        <v>KH012</v>
      </c>
      <c r="D1153" s="2" t="str">
        <v>S2-01273-BH</v>
      </c>
      <c r="E1153" s="2" t="str">
        <v>BAN_HANG</v>
      </c>
      <c r="F1153" s="2" t="str">
        <v>INP6005</v>
      </c>
      <c r="G1153" s="2" t="str">
        <v>2026-08-17</v>
      </c>
      <c r="H1153" s="2" t="str">
        <v>20700000.036</v>
      </c>
      <c r="I1153" s="28" t="n">
        <v>20700000.036</v>
      </c>
      <c r="J1153" s="7" t="n">
        <v>20700000</v>
      </c>
      <c r="K1153" s="28" t="n">
        <f>J1153-I1153</f>
        <v>-0.035999998450279236</v>
      </c>
      <c r="L1153" s="2" t="str">
        <v>NHẬP</v>
      </c>
      <c r="M1153" s="2" t="str"/>
      <c r="N1153" s="2" t="str">
        <v>KHAC</v>
      </c>
    </row>
    <row r="1154" ht="25" customHeight="1">
      <c r="A1154" s="2" t="str">
        <v>Q1274</v>
      </c>
      <c r="B1154" s="2" t="str">
        <v>KH012</v>
      </c>
      <c r="C1154" s="2" t="str">
        <v>KH012</v>
      </c>
      <c r="D1154" s="2" t="str">
        <v>S2-01273-BH</v>
      </c>
      <c r="E1154" s="2" t="str">
        <v>BAN_HANG</v>
      </c>
      <c r="F1154" s="2" t="str">
        <v>INP6007</v>
      </c>
      <c r="G1154" s="2" t="str">
        <v>2026-08-17</v>
      </c>
      <c r="H1154" s="2" t="str">
        <v>20400000.012</v>
      </c>
      <c r="I1154" s="28" t="n">
        <v>20400000.012</v>
      </c>
      <c r="J1154" s="7" t="n">
        <v>20400000</v>
      </c>
      <c r="K1154" s="28" t="n">
        <f>J1154-I1154</f>
        <v>-0.011999998241662979</v>
      </c>
      <c r="L1154" s="2" t="str">
        <v>NHẬP</v>
      </c>
      <c r="M1154" s="2" t="str"/>
      <c r="N1154" s="2" t="str">
        <v>KHAC</v>
      </c>
    </row>
    <row r="1155" ht="25" customHeight="1">
      <c r="A1155" s="2" t="str">
        <v>Q1275</v>
      </c>
      <c r="B1155" s="2" t="str">
        <v>KH012</v>
      </c>
      <c r="C1155" s="2" t="str">
        <v>KH012</v>
      </c>
      <c r="D1155" s="2" t="str">
        <v>S2-01273-BH</v>
      </c>
      <c r="E1155" s="2" t="str">
        <v>BAN_HANG</v>
      </c>
      <c r="F1155" s="2" t="str">
        <v>INP1402</v>
      </c>
      <c r="G1155" s="2" t="str">
        <v>2026-08-17</v>
      </c>
      <c r="H1155" s="2" t="str">
        <v>6077999.9808</v>
      </c>
      <c r="I1155" s="28" t="n">
        <v>6077999.9808</v>
      </c>
      <c r="J1155" s="7" t="n">
        <v>6078000</v>
      </c>
      <c r="K1155" s="28" t="n">
        <f>J1155-I1155</f>
        <v>0.01919999998062849</v>
      </c>
      <c r="L1155" s="2" t="str">
        <v>NHẬP</v>
      </c>
      <c r="M1155" s="2" t="str"/>
      <c r="N1155" s="2" t="str">
        <v>KHAC</v>
      </c>
    </row>
    <row r="1156" ht="25" customHeight="1">
      <c r="A1156" s="2" t="str">
        <v>Q1276</v>
      </c>
      <c r="B1156" s="2" t="str">
        <v>KH012</v>
      </c>
      <c r="C1156" s="2" t="str">
        <v>KH012</v>
      </c>
      <c r="D1156" s="2" t="str">
        <v>S2-01273-BH</v>
      </c>
      <c r="E1156" s="2" t="str">
        <v>BAN_HANG</v>
      </c>
      <c r="F1156" s="2" t="str">
        <v>INP2111</v>
      </c>
      <c r="G1156" s="2" t="str">
        <v>2026-08-17</v>
      </c>
      <c r="H1156" s="2" t="str">
        <v>3000000.024</v>
      </c>
      <c r="I1156" s="28" t="n">
        <v>3000000.024</v>
      </c>
      <c r="J1156" s="7" t="n">
        <v>3000000</v>
      </c>
      <c r="K1156" s="28" t="n">
        <f>J1156-I1156</f>
        <v>-0.024000000208616257</v>
      </c>
      <c r="L1156" s="2" t="str">
        <v>NHẬP</v>
      </c>
      <c r="M1156" s="2" t="str"/>
      <c r="N1156" s="2" t="str">
        <v>KHAC</v>
      </c>
    </row>
    <row r="1157" ht="25" customHeight="1">
      <c r="A1157" s="2" t="str">
        <v>Q1277</v>
      </c>
      <c r="B1157" s="2" t="str">
        <v>KH012</v>
      </c>
      <c r="C1157" s="2" t="str">
        <v>KH012</v>
      </c>
      <c r="D1157" s="2" t="str">
        <v>S2-01273-BH</v>
      </c>
      <c r="E1157" s="2" t="str">
        <v>BAN_HANG</v>
      </c>
      <c r="F1157" s="2" t="str">
        <v>INP1301</v>
      </c>
      <c r="G1157" s="2" t="str">
        <v>2026-08-17</v>
      </c>
      <c r="H1157" s="2" t="str">
        <v>3599999.964</v>
      </c>
      <c r="I1157" s="28" t="n">
        <v>3599999.964</v>
      </c>
      <c r="J1157" s="7" t="n">
        <v>3600000</v>
      </c>
      <c r="K1157" s="28" t="n">
        <f>J1157-I1157</f>
        <v>0.0359999998472631</v>
      </c>
      <c r="L1157" s="2" t="str">
        <v>NHẬP</v>
      </c>
      <c r="M1157" s="2" t="str"/>
      <c r="N1157" s="2" t="str">
        <v>KHAC</v>
      </c>
    </row>
    <row r="1158" ht="25" customHeight="1">
      <c r="A1158" s="2" t="str">
        <v>Q1280</v>
      </c>
      <c r="B1158" s="2" t="str">
        <v>KH058</v>
      </c>
      <c r="C1158" s="2" t="str">
        <v>KH058</v>
      </c>
      <c r="D1158" s="2" t="str">
        <v>S2-01280-BH</v>
      </c>
      <c r="E1158" s="2" t="str">
        <v>BAN_HANG</v>
      </c>
      <c r="F1158" s="2" t="str">
        <v>INP6011</v>
      </c>
      <c r="G1158" s="2" t="str">
        <v>2026-08-17</v>
      </c>
      <c r="H1158" s="2" t="str">
        <v>18599999.868</v>
      </c>
      <c r="I1158" s="28" t="n">
        <v>18599999.868</v>
      </c>
      <c r="J1158" s="7" t="n">
        <v>18600000</v>
      </c>
      <c r="K1158" s="28" t="n">
        <f>J1158-I1158</f>
        <v>0.13199999928474426</v>
      </c>
      <c r="L1158" s="2" t="str">
        <v>NHẬP</v>
      </c>
      <c r="M1158" s="2" t="str"/>
      <c r="N1158" s="2" t="str">
        <v>KHAC</v>
      </c>
    </row>
    <row r="1159" ht="25" customHeight="1">
      <c r="A1159" s="2" t="str">
        <v>Q1281</v>
      </c>
      <c r="B1159" s="2" t="str">
        <v>KH058</v>
      </c>
      <c r="C1159" s="2" t="str">
        <v>KH058</v>
      </c>
      <c r="D1159" s="2" t="str">
        <v>S2-01280-BH</v>
      </c>
      <c r="E1159" s="2" t="str">
        <v>BAN_HANG</v>
      </c>
      <c r="F1159" s="2" t="str">
        <v>INP6902</v>
      </c>
      <c r="G1159" s="2" t="str">
        <v>2026-08-17</v>
      </c>
      <c r="H1159" s="2" t="str">
        <v>8799999.948</v>
      </c>
      <c r="I1159" s="28" t="n">
        <v>8799999.948</v>
      </c>
      <c r="J1159" s="7" t="n">
        <v>8800000</v>
      </c>
      <c r="K1159" s="28" t="n">
        <f>J1159-I1159</f>
        <v>0.05199999921023846</v>
      </c>
      <c r="L1159" s="2" t="str">
        <v>NHẬP</v>
      </c>
      <c r="M1159" s="2" t="str"/>
      <c r="N1159" s="2" t="str">
        <v>KHAC</v>
      </c>
    </row>
    <row r="1160" ht="25" customHeight="1">
      <c r="A1160" s="2" t="str">
        <v>Q1282</v>
      </c>
      <c r="B1160" s="2" t="str">
        <v>KH058</v>
      </c>
      <c r="C1160" s="2" t="str">
        <v>KH058</v>
      </c>
      <c r="D1160" s="2" t="str">
        <v>S2-01280-BH</v>
      </c>
      <c r="E1160" s="2" t="str">
        <v>BAN_HANG</v>
      </c>
      <c r="F1160" s="2" t="str">
        <v>INP7952</v>
      </c>
      <c r="G1160" s="2" t="str">
        <v>2026-08-17</v>
      </c>
      <c r="H1160" s="2" t="str">
        <v>15799999.86</v>
      </c>
      <c r="I1160" s="28" t="n">
        <v>15799999.86</v>
      </c>
      <c r="J1160" s="7" t="n">
        <v>15800000</v>
      </c>
      <c r="K1160" s="28" t="n">
        <f>J1160-I1160</f>
        <v>0.14000000059604645</v>
      </c>
      <c r="L1160" s="2" t="str">
        <v>NHẬP</v>
      </c>
      <c r="M1160" s="2" t="str"/>
      <c r="N1160" s="2" t="str">
        <v>KHAC</v>
      </c>
    </row>
    <row r="1161" ht="25" customHeight="1">
      <c r="A1161" s="2" t="str">
        <v>Q1283</v>
      </c>
      <c r="B1161" s="2" t="str">
        <v>KH058</v>
      </c>
      <c r="C1161" s="2" t="str">
        <v>KH058</v>
      </c>
      <c r="D1161" s="2" t="str">
        <v>S2-01280-BH</v>
      </c>
      <c r="E1161" s="2" t="str">
        <v>BAN_HANG</v>
      </c>
      <c r="F1161" s="2" t="str">
        <v>INP7953</v>
      </c>
      <c r="G1161" s="2" t="str">
        <v>2026-08-17</v>
      </c>
      <c r="H1161" s="2" t="str">
        <v>12499999.92</v>
      </c>
      <c r="I1161" s="28" t="n">
        <v>12499999.92</v>
      </c>
      <c r="J1161" s="7" t="n">
        <v>12500000</v>
      </c>
      <c r="K1161" s="28" t="n">
        <f>J1161-I1161</f>
        <v>0.0800000000745058</v>
      </c>
      <c r="L1161" s="2" t="str">
        <v>NHẬP</v>
      </c>
      <c r="M1161" s="2" t="str"/>
      <c r="N1161" s="2" t="str">
        <v>KHAC</v>
      </c>
    </row>
    <row r="1162" ht="25" customHeight="1">
      <c r="A1162" s="2" t="str">
        <v>Q1286</v>
      </c>
      <c r="B1162" s="2" t="str">
        <v>KH017</v>
      </c>
      <c r="C1162" s="2" t="str">
        <v>KH017</v>
      </c>
      <c r="D1162" s="2" t="str">
        <v>S2-01286-BH</v>
      </c>
      <c r="E1162" s="2" t="str">
        <v>BAN_HANG</v>
      </c>
      <c r="F1162" s="2" t="str">
        <v>INP6403</v>
      </c>
      <c r="G1162" s="2" t="str">
        <v>2026-08-17</v>
      </c>
      <c r="H1162" s="2" t="str">
        <v>1599999.9984</v>
      </c>
      <c r="I1162" s="28" t="n">
        <v>1599999.9984</v>
      </c>
      <c r="J1162" s="7" t="n">
        <v>1600000</v>
      </c>
      <c r="K1162" s="28" t="n">
        <f>J1162-I1162</f>
        <v>0.001600000075995922</v>
      </c>
      <c r="L1162" s="2" t="str">
        <v>NHẬP</v>
      </c>
      <c r="M1162" s="2" t="str"/>
      <c r="N1162" s="2" t="str">
        <v>QUAT</v>
      </c>
    </row>
    <row r="1163" ht="25" customHeight="1">
      <c r="A1163" s="2" t="str">
        <v>Q1287</v>
      </c>
      <c r="B1163" s="2" t="str">
        <v>KH055</v>
      </c>
      <c r="C1163" s="2" t="str">
        <v>KH055</v>
      </c>
      <c r="D1163" s="2" t="str">
        <v>S2-01287-BH</v>
      </c>
      <c r="E1163" s="2" t="str">
        <v>BAN_HANG</v>
      </c>
      <c r="F1163" s="2" t="str">
        <v>INP6104</v>
      </c>
      <c r="G1163" s="2" t="str">
        <v>2026-08-17</v>
      </c>
      <c r="H1163" s="2" t="str">
        <v>3264000</v>
      </c>
      <c r="I1163" s="28" t="n">
        <v>3264000</v>
      </c>
      <c r="J1163" s="7" t="n">
        <v>3264000</v>
      </c>
      <c r="K1163" s="28" t="n">
        <f>J1163-I1163</f>
        <v>0</v>
      </c>
      <c r="L1163" s="2" t="str">
        <v>NHẬP</v>
      </c>
      <c r="M1163" s="2" t="str"/>
      <c r="N1163" s="2" t="str">
        <v>KHAC</v>
      </c>
    </row>
    <row r="1164" ht="25" customHeight="1">
      <c r="A1164" s="2" t="str">
        <v>Q1289</v>
      </c>
      <c r="B1164" s="2" t="str">
        <v>KH083</v>
      </c>
      <c r="C1164" s="2" t="str">
        <v>KH083</v>
      </c>
      <c r="D1164" s="2" t="str">
        <v>S2-01289-BH</v>
      </c>
      <c r="E1164" s="2" t="str">
        <v>BAN_HANG</v>
      </c>
      <c r="F1164" s="2" t="str">
        <v>INP6403</v>
      </c>
      <c r="G1164" s="2" t="str">
        <v>2026-08-17</v>
      </c>
      <c r="H1164" s="2" t="str">
        <v>3199999.9968</v>
      </c>
      <c r="I1164" s="28" t="n">
        <v>3199999.9968</v>
      </c>
      <c r="J1164" s="7" t="n">
        <v>3200000</v>
      </c>
      <c r="K1164" s="28" t="n">
        <f>J1164-I1164</f>
        <v>0.003200000151991844</v>
      </c>
      <c r="L1164" s="2" t="str">
        <v>NHẬP</v>
      </c>
      <c r="M1164" s="2" t="str"/>
      <c r="N1164" s="2" t="str">
        <v>QUAT</v>
      </c>
    </row>
    <row r="1165" ht="25" customHeight="1">
      <c r="A1165" s="2" t="str">
        <v>R1290</v>
      </c>
      <c r="B1165" s="2" t="str">
        <v>KH083</v>
      </c>
      <c r="C1165" s="2" t="str">
        <v>KH083</v>
      </c>
      <c r="D1165" s="2" t="str">
        <v>S2-01290-TT</v>
      </c>
      <c r="E1165" s="2" t="str">
        <v>THU_TIEN</v>
      </c>
      <c r="F1165" s="2" t="str"/>
      <c r="G1165" s="2" t="str">
        <v>2026-08-17</v>
      </c>
      <c r="H1165" s="2" t="str">
        <v>3200000</v>
      </c>
      <c r="I1165" s="28" t="n">
        <v>3200000</v>
      </c>
      <c r="J1165" s="7" t="n">
        <v>3200000</v>
      </c>
      <c r="K1165" s="28" t="n">
        <f>J1165-I1165</f>
        <v>0</v>
      </c>
      <c r="L1165" s="2" t="str">
        <v>NHẬP</v>
      </c>
      <c r="M1165" s="2" t="str"/>
      <c r="N1165" s="2" t="str">
        <v>KHAC</v>
      </c>
    </row>
    <row r="1166" ht="25" customHeight="1">
      <c r="A1166" s="2" t="str">
        <v>Q1291</v>
      </c>
      <c r="B1166" s="2" t="str">
        <v>KH015</v>
      </c>
      <c r="C1166" s="2" t="str">
        <v>KH015</v>
      </c>
      <c r="D1166" s="2" t="str">
        <v>S2-01291-BH</v>
      </c>
      <c r="E1166" s="2" t="str">
        <v>BAN_HANG</v>
      </c>
      <c r="F1166" s="2" t="str">
        <v>INP1203</v>
      </c>
      <c r="G1166" s="2" t="str">
        <v>2026-08-17</v>
      </c>
      <c r="H1166" s="2" t="str">
        <v>5280000.0336</v>
      </c>
      <c r="I1166" s="28" t="n">
        <v>5280000.0336</v>
      </c>
      <c r="J1166" s="7" t="n">
        <v>5280000</v>
      </c>
      <c r="K1166" s="28" t="n">
        <f>J1166-I1166</f>
        <v>-0.033599999733269215</v>
      </c>
      <c r="L1166" s="2" t="str">
        <v>NHẬP</v>
      </c>
      <c r="M1166" s="2" t="str"/>
      <c r="N1166" s="2" t="str">
        <v>KHAC</v>
      </c>
    </row>
    <row r="1167" ht="25" customHeight="1">
      <c r="A1167" s="2" t="str">
        <v>Q1292</v>
      </c>
      <c r="B1167" s="2" t="str">
        <v>KH015</v>
      </c>
      <c r="C1167" s="2" t="str">
        <v>KH015</v>
      </c>
      <c r="D1167" s="2" t="str">
        <v>S2-01291-BH</v>
      </c>
      <c r="E1167" s="2" t="str">
        <v>BAN_HANG</v>
      </c>
      <c r="F1167" s="2" t="str">
        <v>INP3003</v>
      </c>
      <c r="G1167" s="2" t="str">
        <v>2026-08-17</v>
      </c>
      <c r="H1167" s="2" t="str">
        <v>2320000.0128</v>
      </c>
      <c r="I1167" s="28" t="n">
        <v>2320000.0128</v>
      </c>
      <c r="J1167" s="7" t="n">
        <v>2320000</v>
      </c>
      <c r="K1167" s="28" t="n">
        <f>J1167-I1167</f>
        <v>-0.01280000014230609</v>
      </c>
      <c r="L1167" s="2" t="str">
        <v>NHẬP</v>
      </c>
      <c r="M1167" s="2" t="str"/>
      <c r="N1167" s="2" t="str">
        <v>KHAC</v>
      </c>
    </row>
    <row r="1168" ht="25" customHeight="1">
      <c r="A1168" s="2" t="str">
        <v>R1293</v>
      </c>
      <c r="B1168" s="2" t="str">
        <v>KH053</v>
      </c>
      <c r="C1168" s="2" t="str">
        <v>KH053</v>
      </c>
      <c r="D1168" s="2" t="str">
        <v>S2-01293-TT</v>
      </c>
      <c r="E1168" s="2" t="str">
        <v>THU_TIEN</v>
      </c>
      <c r="F1168" s="2" t="str"/>
      <c r="G1168" s="2" t="str">
        <v>2026-08-17</v>
      </c>
      <c r="H1168" s="2" t="str">
        <v>7840000</v>
      </c>
      <c r="I1168" s="28" t="n">
        <v>7840000</v>
      </c>
      <c r="J1168" s="7" t="n">
        <v>7840000</v>
      </c>
      <c r="K1168" s="28" t="n">
        <f>J1168-I1168</f>
        <v>0</v>
      </c>
      <c r="L1168" s="2" t="str">
        <v>NHẬP</v>
      </c>
      <c r="M1168" s="2" t="str"/>
      <c r="N1168" s="2" t="str">
        <v>KHAC</v>
      </c>
    </row>
    <row r="1169" ht="25" customHeight="1">
      <c r="A1169" s="2" t="str">
        <v>R1294</v>
      </c>
      <c r="B1169" s="2" t="str">
        <v>KH017</v>
      </c>
      <c r="C1169" s="2" t="str">
        <v>KH017</v>
      </c>
      <c r="D1169" s="2" t="str">
        <v>S2-01294-TT</v>
      </c>
      <c r="E1169" s="2" t="str">
        <v>THU_TIEN</v>
      </c>
      <c r="F1169" s="2" t="str"/>
      <c r="G1169" s="2" t="str">
        <v>2026-08-17</v>
      </c>
      <c r="H1169" s="2" t="str">
        <v>1600000</v>
      </c>
      <c r="I1169" s="28" t="n">
        <v>1600000</v>
      </c>
      <c r="J1169" s="7" t="n">
        <v>1600000</v>
      </c>
      <c r="K1169" s="28" t="n">
        <f>J1169-I1169</f>
        <v>0</v>
      </c>
      <c r="L1169" s="2" t="str">
        <v>NHẬP</v>
      </c>
      <c r="M1169" s="2" t="str"/>
      <c r="N1169" s="2" t="str">
        <v>KHAC</v>
      </c>
    </row>
    <row r="1170" ht="25" customHeight="1">
      <c r="A1170" s="2" t="str">
        <v>S1295</v>
      </c>
      <c r="B1170" s="2" t="str">
        <v>KH058</v>
      </c>
      <c r="C1170" s="2" t="str">
        <v>KH058</v>
      </c>
      <c r="D1170" s="2" t="str">
        <v>S2-01295-VC</v>
      </c>
      <c r="E1170" s="2" t="str">
        <v>PHI_VAN_CHUYEN</v>
      </c>
      <c r="F1170" s="2" t="str"/>
      <c r="G1170" s="2" t="str">
        <v>2026-08-18</v>
      </c>
      <c r="H1170" s="2" t="str">
        <v>480000</v>
      </c>
      <c r="I1170" s="28" t="n">
        <v>480000</v>
      </c>
      <c r="J1170" s="7" t="n">
        <v>480000</v>
      </c>
      <c r="K1170" s="28" t="n">
        <f>J1170-I1170</f>
        <v>0</v>
      </c>
      <c r="L1170" s="2" t="str">
        <v>NHẬP</v>
      </c>
      <c r="M1170" s="2" t="str"/>
      <c r="N1170" s="2" t="str">
        <v>KHAC</v>
      </c>
    </row>
    <row r="1171" ht="25" customHeight="1">
      <c r="A1171" s="2" t="str">
        <v>Q1296</v>
      </c>
      <c r="B1171" s="2" t="str">
        <v>KH088</v>
      </c>
      <c r="C1171" s="2" t="str">
        <v>KH088</v>
      </c>
      <c r="D1171" s="2" t="str">
        <v>S2-01296-BH</v>
      </c>
      <c r="E1171" s="2" t="str">
        <v>BAN_HANG</v>
      </c>
      <c r="F1171" s="2" t="str">
        <v>INP1301</v>
      </c>
      <c r="G1171" s="2" t="str">
        <v>2026-08-18</v>
      </c>
      <c r="H1171" s="2" t="str">
        <v>1699999.92</v>
      </c>
      <c r="I1171" s="28" t="n">
        <v>1699999.92</v>
      </c>
      <c r="J1171" s="7" t="n">
        <v>1700000</v>
      </c>
      <c r="K1171" s="28" t="n">
        <f>J1171-I1171</f>
        <v>0.0800000000745058</v>
      </c>
      <c r="L1171" s="2" t="str">
        <v>NHẬP</v>
      </c>
      <c r="M1171" s="2" t="str"/>
      <c r="N1171" s="2" t="str">
        <v>KHAC</v>
      </c>
    </row>
    <row r="1172" ht="25" customHeight="1">
      <c r="A1172" s="2" t="str">
        <v>Q1297</v>
      </c>
      <c r="B1172" s="2" t="str">
        <v>KH088</v>
      </c>
      <c r="C1172" s="2" t="str">
        <v>KH088</v>
      </c>
      <c r="D1172" s="2" t="str">
        <v>S2-01296-BH</v>
      </c>
      <c r="E1172" s="2" t="str">
        <v>BAN_HANG</v>
      </c>
      <c r="F1172" s="2" t="str">
        <v>INP1301</v>
      </c>
      <c r="G1172" s="2" t="str">
        <v>2026-08-18</v>
      </c>
      <c r="H1172" s="2" t="str">
        <v>2399999.976</v>
      </c>
      <c r="I1172" s="28" t="n">
        <v>2399999.976</v>
      </c>
      <c r="J1172" s="7" t="n">
        <v>2400000</v>
      </c>
      <c r="K1172" s="28" t="n">
        <f>J1172-I1172</f>
        <v>0.024000000208616257</v>
      </c>
      <c r="L1172" s="2" t="str">
        <v>NHẬP</v>
      </c>
      <c r="M1172" s="2" t="str"/>
      <c r="N1172" s="2" t="str">
        <v>KHAC</v>
      </c>
    </row>
    <row r="1173" ht="25" customHeight="1">
      <c r="A1173" s="2" t="str">
        <v>Q1298</v>
      </c>
      <c r="B1173" s="2" t="str">
        <v>KH088</v>
      </c>
      <c r="C1173" s="2" t="str">
        <v>KH088</v>
      </c>
      <c r="D1173" s="2" t="str">
        <v>S2-01296-BH</v>
      </c>
      <c r="E1173" s="2" t="str">
        <v>BAN_HANG</v>
      </c>
      <c r="F1173" s="2" t="str">
        <v>INP1401</v>
      </c>
      <c r="G1173" s="2" t="str">
        <v>2026-08-18</v>
      </c>
      <c r="H1173" s="2" t="str">
        <v>7119999.9648</v>
      </c>
      <c r="I1173" s="28" t="n">
        <v>7119999.9648</v>
      </c>
      <c r="J1173" s="7" t="n">
        <v>7120000</v>
      </c>
      <c r="K1173" s="28" t="n">
        <f>J1173-I1173</f>
        <v>0.03519999980926514</v>
      </c>
      <c r="L1173" s="2" t="str">
        <v>NHẬP</v>
      </c>
      <c r="M1173" s="2" t="str"/>
      <c r="N1173" s="2" t="str">
        <v>KHAC</v>
      </c>
    </row>
    <row r="1174" ht="25" customHeight="1">
      <c r="A1174" s="2" t="str">
        <v>Q1299</v>
      </c>
      <c r="B1174" s="2" t="str">
        <v>KH088</v>
      </c>
      <c r="C1174" s="2" t="str">
        <v>KH088</v>
      </c>
      <c r="D1174" s="2" t="str">
        <v>S2-01296-BH</v>
      </c>
      <c r="E1174" s="2" t="str">
        <v>BAN_HANG</v>
      </c>
      <c r="F1174" s="2" t="str">
        <v>INP1402</v>
      </c>
      <c r="G1174" s="2" t="str">
        <v>2026-08-18</v>
      </c>
      <c r="H1174" s="2" t="str">
        <v>6077999.9808</v>
      </c>
      <c r="I1174" s="28" t="n">
        <v>6077999.9808</v>
      </c>
      <c r="J1174" s="7" t="n">
        <v>6078000</v>
      </c>
      <c r="K1174" s="28" t="n">
        <f>J1174-I1174</f>
        <v>0.01919999998062849</v>
      </c>
      <c r="L1174" s="2" t="str">
        <v>NHẬP</v>
      </c>
      <c r="M1174" s="2" t="str"/>
      <c r="N1174" s="2" t="str">
        <v>KHAC</v>
      </c>
    </row>
    <row r="1175" ht="25" customHeight="1">
      <c r="A1175" s="2" t="str">
        <v>Q1300</v>
      </c>
      <c r="B1175" s="2" t="str">
        <v>KH088</v>
      </c>
      <c r="C1175" s="2" t="str">
        <v>KH088</v>
      </c>
      <c r="D1175" s="2" t="str">
        <v>S2-01296-BH</v>
      </c>
      <c r="E1175" s="2" t="str">
        <v>BAN_HANG</v>
      </c>
      <c r="F1175" s="2" t="str">
        <v>INP1501</v>
      </c>
      <c r="G1175" s="2" t="str">
        <v>2026-08-18</v>
      </c>
      <c r="H1175" s="2" t="str">
        <v>1680000.0048</v>
      </c>
      <c r="I1175" s="28" t="n">
        <v>1680000.0048</v>
      </c>
      <c r="J1175" s="7" t="n">
        <v>1680000</v>
      </c>
      <c r="K1175" s="28" t="n">
        <f>J1175-I1175</f>
        <v>-0.004799999995157123</v>
      </c>
      <c r="L1175" s="2" t="str">
        <v>NHẬP</v>
      </c>
      <c r="M1175" s="2" t="str"/>
      <c r="N1175" s="2" t="str">
        <v>KHAC</v>
      </c>
    </row>
    <row r="1176" ht="25" customHeight="1">
      <c r="A1176" s="2" t="str">
        <v>Q1301</v>
      </c>
      <c r="B1176" s="2" t="str">
        <v>KH088</v>
      </c>
      <c r="C1176" s="2" t="str">
        <v>KH088</v>
      </c>
      <c r="D1176" s="2" t="str">
        <v>S2-01296-BH</v>
      </c>
      <c r="E1176" s="2" t="str">
        <v>BAN_HANG</v>
      </c>
      <c r="F1176" s="2" t="str">
        <v>INP1502</v>
      </c>
      <c r="G1176" s="2" t="str">
        <v>2026-08-18</v>
      </c>
      <c r="H1176" s="2" t="str">
        <v>1800000.0144</v>
      </c>
      <c r="I1176" s="28" t="n">
        <v>1800000.0144</v>
      </c>
      <c r="J1176" s="7" t="n">
        <v>1800000</v>
      </c>
      <c r="K1176" s="28" t="n">
        <f>J1176-I1176</f>
        <v>-0.014399999985471368</v>
      </c>
      <c r="L1176" s="2" t="str">
        <v>NHẬP</v>
      </c>
      <c r="M1176" s="2" t="str"/>
      <c r="N1176" s="2" t="str">
        <v>KHAC</v>
      </c>
    </row>
    <row r="1177" ht="25" customHeight="1">
      <c r="A1177" s="2" t="str">
        <v>Q1302</v>
      </c>
      <c r="B1177" s="2" t="str">
        <v>KH088</v>
      </c>
      <c r="C1177" s="2" t="str">
        <v>KH088</v>
      </c>
      <c r="D1177" s="2" t="str">
        <v>S2-01296-BH</v>
      </c>
      <c r="E1177" s="2" t="str">
        <v>BAN_HANG</v>
      </c>
      <c r="F1177" s="2" t="str">
        <v>INP1503</v>
      </c>
      <c r="G1177" s="2" t="str">
        <v>2026-08-18</v>
      </c>
      <c r="H1177" s="2" t="str">
        <v>1920000.024</v>
      </c>
      <c r="I1177" s="28" t="n">
        <v>1920000.024</v>
      </c>
      <c r="J1177" s="7" t="n">
        <v>1920000</v>
      </c>
      <c r="K1177" s="28" t="n">
        <f>J1177-I1177</f>
        <v>-0.023999999975785613</v>
      </c>
      <c r="L1177" s="2" t="str">
        <v>NHẬP</v>
      </c>
      <c r="M1177" s="2" t="str"/>
      <c r="N1177" s="2" t="str">
        <v>KHAC</v>
      </c>
    </row>
    <row r="1178" ht="25" customHeight="1">
      <c r="A1178" s="2" t="str">
        <v>Q1303</v>
      </c>
      <c r="B1178" s="2" t="str">
        <v>KH088</v>
      </c>
      <c r="C1178" s="2" t="str">
        <v>KH088</v>
      </c>
      <c r="D1178" s="2" t="str">
        <v>S2-01296-BH</v>
      </c>
      <c r="E1178" s="2" t="str">
        <v>BAN_HANG</v>
      </c>
      <c r="F1178" s="2" t="str">
        <v>INP2101</v>
      </c>
      <c r="G1178" s="2" t="str">
        <v>2026-08-18</v>
      </c>
      <c r="H1178" s="2" t="str">
        <v>2530000.008</v>
      </c>
      <c r="I1178" s="28" t="n">
        <v>2530000.008</v>
      </c>
      <c r="J1178" s="7" t="n">
        <v>2530000</v>
      </c>
      <c r="K1178" s="28" t="n">
        <f>J1178-I1178</f>
        <v>-0.007999999914318323</v>
      </c>
      <c r="L1178" s="2" t="str">
        <v>NHẬP</v>
      </c>
      <c r="M1178" s="2" t="str"/>
      <c r="N1178" s="2" t="str">
        <v>KHAC</v>
      </c>
    </row>
    <row r="1179" ht="25" customHeight="1">
      <c r="A1179" s="2" t="str">
        <v>Q1304</v>
      </c>
      <c r="B1179" s="2" t="str">
        <v>KH088</v>
      </c>
      <c r="C1179" s="2" t="str">
        <v>KH088</v>
      </c>
      <c r="D1179" s="2" t="str">
        <v>S2-01296-BH</v>
      </c>
      <c r="E1179" s="2" t="str">
        <v>BAN_HANG</v>
      </c>
      <c r="F1179" s="2" t="str">
        <v>INP2102</v>
      </c>
      <c r="G1179" s="2" t="str">
        <v>2026-08-18</v>
      </c>
      <c r="H1179" s="2" t="str">
        <v>2769999.984</v>
      </c>
      <c r="I1179" s="28" t="n">
        <v>2769999.984</v>
      </c>
      <c r="J1179" s="7" t="n">
        <v>2770000</v>
      </c>
      <c r="K1179" s="28" t="n">
        <f>J1179-I1179</f>
        <v>0.015999999828636646</v>
      </c>
      <c r="L1179" s="2" t="str">
        <v>NHẬP</v>
      </c>
      <c r="M1179" s="2" t="str"/>
      <c r="N1179" s="2" t="str">
        <v>KHAC</v>
      </c>
    </row>
    <row r="1180" ht="25" customHeight="1">
      <c r="A1180" s="2" t="str">
        <v>Q1305</v>
      </c>
      <c r="B1180" s="2" t="str">
        <v>KH088</v>
      </c>
      <c r="C1180" s="2" t="str">
        <v>KH088</v>
      </c>
      <c r="D1180" s="2" t="str">
        <v>S2-01296-BH</v>
      </c>
      <c r="E1180" s="2" t="str">
        <v>BAN_HANG</v>
      </c>
      <c r="F1180" s="2" t="str">
        <v>INP2103</v>
      </c>
      <c r="G1180" s="2" t="str">
        <v>2026-08-18</v>
      </c>
      <c r="H1180" s="2" t="str">
        <v>3039999.984</v>
      </c>
      <c r="I1180" s="28" t="n">
        <v>3039999.984</v>
      </c>
      <c r="J1180" s="7" t="n">
        <v>3040000</v>
      </c>
      <c r="K1180" s="28" t="n">
        <f>J1180-I1180</f>
        <v>0.015999999828636646</v>
      </c>
      <c r="L1180" s="2" t="str">
        <v>NHẬP</v>
      </c>
      <c r="M1180" s="2" t="str"/>
      <c r="N1180" s="2" t="str">
        <v>KHAC</v>
      </c>
    </row>
    <row r="1181" ht="25" customHeight="1">
      <c r="A1181" s="2" t="str">
        <v>Q1306</v>
      </c>
      <c r="B1181" s="2" t="str">
        <v>KH088</v>
      </c>
      <c r="C1181" s="2" t="str">
        <v>KH088</v>
      </c>
      <c r="D1181" s="2" t="str">
        <v>S2-01296-BH</v>
      </c>
      <c r="E1181" s="2" t="str">
        <v>BAN_HANG</v>
      </c>
      <c r="F1181" s="2" t="str">
        <v>INP2104</v>
      </c>
      <c r="G1181" s="2" t="str">
        <v>2026-08-18</v>
      </c>
      <c r="H1181" s="2" t="str">
        <v>3220000.02</v>
      </c>
      <c r="I1181" s="28" t="n">
        <v>3220000.02</v>
      </c>
      <c r="J1181" s="7" t="n">
        <v>3220000</v>
      </c>
      <c r="K1181" s="28" t="n">
        <f>J1181-I1181</f>
        <v>-0.02000000001862645</v>
      </c>
      <c r="L1181" s="2" t="str">
        <v>NHẬP</v>
      </c>
      <c r="M1181" s="2" t="str"/>
      <c r="N1181" s="2" t="str">
        <v>KHAC</v>
      </c>
    </row>
    <row r="1182" ht="25" customHeight="1">
      <c r="A1182" s="2" t="str">
        <v>Q1307</v>
      </c>
      <c r="B1182" s="2" t="str">
        <v>KH088</v>
      </c>
      <c r="C1182" s="2" t="str">
        <v>KH088</v>
      </c>
      <c r="D1182" s="2" t="str">
        <v>S2-01296-BH</v>
      </c>
      <c r="E1182" s="2" t="str">
        <v>BAN_HANG</v>
      </c>
      <c r="F1182" s="2" t="str">
        <v>INP3002</v>
      </c>
      <c r="G1182" s="2" t="str">
        <v>2026-08-18</v>
      </c>
      <c r="H1182" s="2" t="str">
        <v>2459999.9808</v>
      </c>
      <c r="I1182" s="28" t="n">
        <v>2459999.9808</v>
      </c>
      <c r="J1182" s="7" t="n">
        <v>2460000</v>
      </c>
      <c r="K1182" s="28" t="n">
        <f>J1182-I1182</f>
        <v>0.01919999998062849</v>
      </c>
      <c r="L1182" s="2" t="str">
        <v>NHẬP</v>
      </c>
      <c r="M1182" s="2" t="str"/>
      <c r="N1182" s="2" t="str">
        <v>KHAC</v>
      </c>
    </row>
    <row r="1183" ht="25" customHeight="1">
      <c r="A1183" s="2" t="str">
        <v>Q1308</v>
      </c>
      <c r="B1183" s="2" t="str">
        <v>KH088</v>
      </c>
      <c r="C1183" s="2" t="str">
        <v>KH088</v>
      </c>
      <c r="D1183" s="2" t="str">
        <v>S2-01296-BH</v>
      </c>
      <c r="E1183" s="2" t="str">
        <v>BAN_HANG</v>
      </c>
      <c r="F1183" s="2" t="str">
        <v>INP3003</v>
      </c>
      <c r="G1183" s="2" t="str">
        <v>2026-08-18</v>
      </c>
      <c r="H1183" s="2" t="str">
        <v>2439999.9792</v>
      </c>
      <c r="I1183" s="28" t="n">
        <v>2439999.9792</v>
      </c>
      <c r="J1183" s="7" t="n">
        <v>2440000</v>
      </c>
      <c r="K1183" s="28" t="n">
        <f>J1183-I1183</f>
        <v>0.020800000056624413</v>
      </c>
      <c r="L1183" s="2" t="str">
        <v>NHẬP</v>
      </c>
      <c r="M1183" s="2" t="str"/>
      <c r="N1183" s="2" t="str">
        <v>KHAC</v>
      </c>
    </row>
    <row r="1184" ht="25" customHeight="1">
      <c r="A1184" s="2" t="str">
        <v>Q1309</v>
      </c>
      <c r="B1184" s="2" t="str">
        <v>KH088</v>
      </c>
      <c r="C1184" s="2" t="str">
        <v>KH088</v>
      </c>
      <c r="D1184" s="2" t="str">
        <v>S2-01296-BH</v>
      </c>
      <c r="E1184" s="2" t="str">
        <v>BAN_HANG</v>
      </c>
      <c r="F1184" s="2" t="str">
        <v>INP3004</v>
      </c>
      <c r="G1184" s="2" t="str">
        <v>2026-08-18</v>
      </c>
      <c r="H1184" s="2" t="str">
        <v>1547999.9856</v>
      </c>
      <c r="I1184" s="28" t="n">
        <v>1547999.9856</v>
      </c>
      <c r="J1184" s="7" t="n">
        <v>1548000</v>
      </c>
      <c r="K1184" s="28" t="n">
        <f>J1184-I1184</f>
        <v>0.014399999985471368</v>
      </c>
      <c r="L1184" s="2" t="str">
        <v>NHẬP</v>
      </c>
      <c r="M1184" s="2" t="str"/>
      <c r="N1184" s="2" t="str">
        <v>KHAC</v>
      </c>
    </row>
    <row r="1185" ht="25" customHeight="1">
      <c r="A1185" s="2" t="str">
        <v>Q1310</v>
      </c>
      <c r="B1185" s="2" t="str">
        <v>KH088</v>
      </c>
      <c r="C1185" s="2" t="str">
        <v>KH088</v>
      </c>
      <c r="D1185" s="2" t="str">
        <v>S2-01296-BH</v>
      </c>
      <c r="E1185" s="2" t="str">
        <v>BAN_HANG</v>
      </c>
      <c r="F1185" s="2" t="str">
        <v>INP3005</v>
      </c>
      <c r="G1185" s="2" t="str">
        <v>2026-08-18</v>
      </c>
      <c r="H1185" s="2" t="str">
        <v>1720000.008</v>
      </c>
      <c r="I1185" s="28" t="n">
        <v>1720000.008</v>
      </c>
      <c r="J1185" s="7" t="n">
        <v>1720000</v>
      </c>
      <c r="K1185" s="28" t="n">
        <f>J1185-I1185</f>
        <v>-0.007999999914318323</v>
      </c>
      <c r="L1185" s="2" t="str">
        <v>NHẬP</v>
      </c>
      <c r="M1185" s="2" t="str"/>
      <c r="N1185" s="2" t="str">
        <v>KHAC</v>
      </c>
    </row>
    <row r="1186" ht="25" customHeight="1">
      <c r="A1186" s="2" t="str">
        <v>Q1311</v>
      </c>
      <c r="B1186" s="2" t="str">
        <v>KH088</v>
      </c>
      <c r="C1186" s="2" t="str">
        <v>KH088</v>
      </c>
      <c r="D1186" s="2" t="str">
        <v>S2-01296-BH</v>
      </c>
      <c r="E1186" s="2" t="str">
        <v>BAN_HANG</v>
      </c>
      <c r="F1186" s="2" t="str">
        <v>INP3201</v>
      </c>
      <c r="G1186" s="2" t="str">
        <v>2026-08-18</v>
      </c>
      <c r="H1186" s="2" t="str">
        <v>1559999.9952</v>
      </c>
      <c r="I1186" s="28" t="n">
        <v>1559999.9952</v>
      </c>
      <c r="J1186" s="7" t="n">
        <v>1560000</v>
      </c>
      <c r="K1186" s="28" t="n">
        <f>J1186-I1186</f>
        <v>0.004799999995157123</v>
      </c>
      <c r="L1186" s="2" t="str">
        <v>NHẬP</v>
      </c>
      <c r="M1186" s="2" t="str"/>
      <c r="N1186" s="2" t="str">
        <v>KHAC</v>
      </c>
    </row>
    <row r="1187" ht="25" customHeight="1">
      <c r="A1187" s="2" t="str">
        <v>Q1312</v>
      </c>
      <c r="B1187" s="2" t="str">
        <v>KH088</v>
      </c>
      <c r="C1187" s="2" t="str">
        <v>KH088</v>
      </c>
      <c r="D1187" s="2" t="str">
        <v>S2-01296-BH</v>
      </c>
      <c r="E1187" s="2" t="str">
        <v>BAN_HANG</v>
      </c>
      <c r="F1187" s="2" t="str">
        <v>INP3202</v>
      </c>
      <c r="G1187" s="2" t="str">
        <v>2026-08-18</v>
      </c>
      <c r="H1187" s="2" t="str">
        <v>1479999.9888</v>
      </c>
      <c r="I1187" s="28" t="n">
        <v>1479999.9888</v>
      </c>
      <c r="J1187" s="7" t="n">
        <v>1480000</v>
      </c>
      <c r="K1187" s="28" t="n">
        <f>J1187-I1187</f>
        <v>0.011200000066310167</v>
      </c>
      <c r="L1187" s="2" t="str">
        <v>NHẬP</v>
      </c>
      <c r="M1187" s="2" t="str"/>
      <c r="N1187" s="2" t="str">
        <v>KHAC</v>
      </c>
    </row>
    <row r="1188" ht="25" customHeight="1">
      <c r="A1188" s="2" t="str">
        <v>Q1313</v>
      </c>
      <c r="B1188" s="2" t="str">
        <v>KH088</v>
      </c>
      <c r="C1188" s="2" t="str">
        <v>KH088</v>
      </c>
      <c r="D1188" s="2" t="str">
        <v>S2-01296-BH</v>
      </c>
      <c r="E1188" s="2" t="str">
        <v>BAN_HANG</v>
      </c>
      <c r="F1188" s="2" t="str">
        <v>INP6012</v>
      </c>
      <c r="G1188" s="2" t="str">
        <v>2026-08-18</v>
      </c>
      <c r="H1188" s="2" t="str">
        <v>2599999.992</v>
      </c>
      <c r="I1188" s="28" t="n">
        <v>2599999.992</v>
      </c>
      <c r="J1188" s="7" t="n">
        <v>2600000</v>
      </c>
      <c r="K1188" s="28" t="n">
        <f>J1188-I1188</f>
        <v>0.007999999914318323</v>
      </c>
      <c r="L1188" s="2" t="str">
        <v>NHẬP</v>
      </c>
      <c r="M1188" s="2" t="str"/>
      <c r="N1188" s="2" t="str">
        <v>KHAC</v>
      </c>
    </row>
    <row r="1189" ht="25" customHeight="1">
      <c r="A1189" s="2" t="str">
        <v>Q1314</v>
      </c>
      <c r="B1189" s="2" t="str">
        <v>KH088</v>
      </c>
      <c r="C1189" s="2" t="str">
        <v>KH088</v>
      </c>
      <c r="D1189" s="2" t="str">
        <v>S2-01296-BH</v>
      </c>
      <c r="E1189" s="2" t="str">
        <v>BAN_HANG</v>
      </c>
      <c r="F1189" s="2" t="str">
        <v>INP7951</v>
      </c>
      <c r="G1189" s="2" t="str">
        <v>2026-08-18</v>
      </c>
      <c r="H1189" s="2" t="str">
        <v>10500000.03</v>
      </c>
      <c r="I1189" s="28" t="n">
        <v>10500000.03</v>
      </c>
      <c r="J1189" s="7" t="n">
        <v>10500000</v>
      </c>
      <c r="K1189" s="28" t="n">
        <f>J1189-I1189</f>
        <v>-0.029999999329447746</v>
      </c>
      <c r="L1189" s="2" t="str">
        <v>NHẬP</v>
      </c>
      <c r="M1189" s="2" t="str"/>
      <c r="N1189" s="2" t="str">
        <v>KHAC</v>
      </c>
    </row>
    <row r="1190" ht="25" customHeight="1">
      <c r="A1190" s="2" t="str">
        <v>Q1315</v>
      </c>
      <c r="B1190" s="2" t="str">
        <v>KH088</v>
      </c>
      <c r="C1190" s="2" t="str">
        <v>KH088</v>
      </c>
      <c r="D1190" s="2" t="str">
        <v>S2-01296-BH</v>
      </c>
      <c r="E1190" s="2" t="str">
        <v>BAN_HANG</v>
      </c>
      <c r="F1190" s="2" t="str">
        <v>INP7952</v>
      </c>
      <c r="G1190" s="2" t="str">
        <v>2026-08-18</v>
      </c>
      <c r="H1190" s="2" t="str">
        <v>7899999.93</v>
      </c>
      <c r="I1190" s="28" t="n">
        <v>7899999.93</v>
      </c>
      <c r="J1190" s="7" t="n">
        <v>7900000</v>
      </c>
      <c r="K1190" s="28" t="n">
        <f>J1190-I1190</f>
        <v>0.07000000029802322</v>
      </c>
      <c r="L1190" s="2" t="str">
        <v>NHẬP</v>
      </c>
      <c r="M1190" s="2" t="str"/>
      <c r="N1190" s="2" t="str">
        <v>KHAC</v>
      </c>
    </row>
    <row r="1191" ht="25" customHeight="1">
      <c r="A1191" s="2" t="str">
        <v>Q1316</v>
      </c>
      <c r="B1191" s="2" t="str">
        <v>KH088</v>
      </c>
      <c r="C1191" s="2" t="str">
        <v>KH088</v>
      </c>
      <c r="D1191" s="2" t="str">
        <v>S2-01296-BH</v>
      </c>
      <c r="E1191" s="2" t="str">
        <v>BAN_HANG</v>
      </c>
      <c r="F1191" s="2" t="str">
        <v>INP7953</v>
      </c>
      <c r="G1191" s="2" t="str">
        <v>2026-08-18</v>
      </c>
      <c r="H1191" s="2" t="str">
        <v>6249999.96</v>
      </c>
      <c r="I1191" s="28" t="n">
        <v>6249999.96</v>
      </c>
      <c r="J1191" s="7" t="n">
        <v>6250000</v>
      </c>
      <c r="K1191" s="28" t="n">
        <f>J1191-I1191</f>
        <v>0.0400000000372529</v>
      </c>
      <c r="L1191" s="2" t="str">
        <v>NHẬP</v>
      </c>
      <c r="M1191" s="2" t="str"/>
      <c r="N1191" s="2" t="str">
        <v>KHAC</v>
      </c>
    </row>
    <row r="1192" ht="25" customHeight="1">
      <c r="A1192" s="2" t="str">
        <v>S1317</v>
      </c>
      <c r="B1192" s="2" t="str">
        <v>KH034</v>
      </c>
      <c r="C1192" s="2" t="str">
        <v>KH034</v>
      </c>
      <c r="D1192" s="2" t="str">
        <v>S2-01317-VC</v>
      </c>
      <c r="E1192" s="2" t="str">
        <v>PHI_VAN_CHUYEN</v>
      </c>
      <c r="F1192" s="2" t="str"/>
      <c r="G1192" s="2" t="str">
        <v>2026-08-19</v>
      </c>
      <c r="H1192" s="2" t="str">
        <v>220000</v>
      </c>
      <c r="I1192" s="28" t="n">
        <v>220000</v>
      </c>
      <c r="J1192" s="7" t="n">
        <v>220000</v>
      </c>
      <c r="K1192" s="28" t="n">
        <f>J1192-I1192</f>
        <v>0</v>
      </c>
      <c r="L1192" s="2" t="str">
        <v>NHẬP</v>
      </c>
      <c r="M1192" s="2" t="str"/>
      <c r="N1192" s="2" t="str">
        <v>KHAC</v>
      </c>
    </row>
    <row r="1193" ht="25" customHeight="1">
      <c r="A1193" s="2" t="str">
        <v>S1318</v>
      </c>
      <c r="B1193" s="2" t="str">
        <v>KH074</v>
      </c>
      <c r="C1193" s="2" t="str">
        <v>KH074</v>
      </c>
      <c r="D1193" s="2" t="str">
        <v>S2-01318-VC</v>
      </c>
      <c r="E1193" s="2" t="str">
        <v>PHI_VAN_CHUYEN</v>
      </c>
      <c r="F1193" s="2" t="str"/>
      <c r="G1193" s="2" t="str">
        <v>2026-08-19</v>
      </c>
      <c r="H1193" s="2" t="str">
        <v>580000</v>
      </c>
      <c r="I1193" s="28" t="n">
        <v>580000</v>
      </c>
      <c r="J1193" s="7" t="n">
        <v>580000</v>
      </c>
      <c r="K1193" s="28" t="n">
        <f>J1193-I1193</f>
        <v>0</v>
      </c>
      <c r="L1193" s="2" t="str">
        <v>NHẬP</v>
      </c>
      <c r="M1193" s="2" t="str"/>
      <c r="N1193" s="2" t="str">
        <v>KHAC</v>
      </c>
    </row>
    <row r="1194" ht="25" customHeight="1">
      <c r="A1194" s="2" t="str">
        <v>Q1319</v>
      </c>
      <c r="B1194" s="2" t="str">
        <v>KH084</v>
      </c>
      <c r="C1194" s="2" t="str">
        <v>KH084</v>
      </c>
      <c r="D1194" s="2" t="str">
        <v>S2-01319-BH</v>
      </c>
      <c r="E1194" s="2" t="str">
        <v>BAN_HANG</v>
      </c>
      <c r="F1194" s="2" t="str">
        <v>INP6007</v>
      </c>
      <c r="G1194" s="2" t="str">
        <v>2026-08-20</v>
      </c>
      <c r="H1194" s="2" t="str">
        <v>10200000.006</v>
      </c>
      <c r="I1194" s="28" t="n">
        <v>10200000.006</v>
      </c>
      <c r="J1194" s="7" t="n">
        <v>10200000</v>
      </c>
      <c r="K1194" s="28" t="n">
        <f>J1194-I1194</f>
        <v>-0.0059999991208314896</v>
      </c>
      <c r="L1194" s="2" t="str">
        <v>NHẬP</v>
      </c>
      <c r="M1194" s="2" t="str"/>
      <c r="N1194" s="2" t="str">
        <v>KHAC</v>
      </c>
    </row>
    <row r="1195" ht="25" customHeight="1">
      <c r="A1195" s="2" t="str">
        <v>Q1320</v>
      </c>
      <c r="B1195" s="2" t="str">
        <v>KH084</v>
      </c>
      <c r="C1195" s="2" t="str">
        <v>KH084</v>
      </c>
      <c r="D1195" s="2" t="str">
        <v>S2-01319-BH</v>
      </c>
      <c r="E1195" s="2" t="str">
        <v>BAN_HANG</v>
      </c>
      <c r="F1195" s="2" t="str">
        <v>INP6902</v>
      </c>
      <c r="G1195" s="2" t="str">
        <v>2026-08-20</v>
      </c>
      <c r="H1195" s="2" t="str">
        <v>5279999.9688</v>
      </c>
      <c r="I1195" s="28" t="n">
        <v>5279999.9688</v>
      </c>
      <c r="J1195" s="7" t="n">
        <v>5280000</v>
      </c>
      <c r="K1195" s="28" t="n">
        <f>J1195-I1195</f>
        <v>0.03120000008493662</v>
      </c>
      <c r="L1195" s="2" t="str">
        <v>NHẬP</v>
      </c>
      <c r="M1195" s="2" t="str"/>
      <c r="N1195" s="2" t="str">
        <v>KHAC</v>
      </c>
    </row>
    <row r="1196" ht="25" customHeight="1">
      <c r="A1196" s="2" t="str">
        <v>R1322</v>
      </c>
      <c r="B1196" s="2" t="str">
        <v>KH050</v>
      </c>
      <c r="C1196" s="2" t="str">
        <v>KH050</v>
      </c>
      <c r="D1196" s="2" t="str">
        <v>S2-01322-TT</v>
      </c>
      <c r="E1196" s="2" t="str">
        <v>THU_TIEN</v>
      </c>
      <c r="F1196" s="2" t="str"/>
      <c r="G1196" s="2" t="str">
        <v>2026-08-20</v>
      </c>
      <c r="H1196" s="2" t="str">
        <v>1600000</v>
      </c>
      <c r="I1196" s="28" t="n">
        <v>1600000</v>
      </c>
      <c r="J1196" s="7" t="n">
        <v>1600000</v>
      </c>
      <c r="K1196" s="28" t="n">
        <f>J1196-I1196</f>
        <v>0</v>
      </c>
      <c r="L1196" s="2" t="str">
        <v>NHẬP</v>
      </c>
      <c r="M1196" s="2" t="str"/>
      <c r="N1196" s="2" t="str">
        <v>KHAC</v>
      </c>
    </row>
    <row r="1197" ht="25" customHeight="1">
      <c r="A1197" s="2" t="str">
        <v>Q1323</v>
      </c>
      <c r="B1197" s="2" t="str">
        <v>KH050</v>
      </c>
      <c r="C1197" s="2" t="str">
        <v>KH050</v>
      </c>
      <c r="D1197" s="2" t="str">
        <v>S2-01323-BH</v>
      </c>
      <c r="E1197" s="2" t="str">
        <v>BAN_HANG</v>
      </c>
      <c r="F1197" s="2" t="str">
        <v>INP6403</v>
      </c>
      <c r="G1197" s="2" t="str">
        <v>2026-08-20</v>
      </c>
      <c r="H1197" s="2" t="str">
        <v>2399999.9976</v>
      </c>
      <c r="I1197" s="28" t="n">
        <v>2399999.9976</v>
      </c>
      <c r="J1197" s="7" t="n">
        <v>2400000</v>
      </c>
      <c r="K1197" s="28" t="n">
        <f>J1197-I1197</f>
        <v>0.002400000113993883</v>
      </c>
      <c r="L1197" s="2" t="str">
        <v>NHẬP</v>
      </c>
      <c r="M1197" s="2" t="str"/>
      <c r="N1197" s="2" t="str">
        <v>QUAT</v>
      </c>
    </row>
    <row r="1198" ht="25" customHeight="1">
      <c r="A1198" s="2" t="str">
        <v>Q1325</v>
      </c>
      <c r="B1198" s="2" t="str">
        <v>KH015</v>
      </c>
      <c r="C1198" s="2" t="str">
        <v>KH015</v>
      </c>
      <c r="D1198" s="2" t="str">
        <v>S2-01325-BH</v>
      </c>
      <c r="E1198" s="2" t="str">
        <v>BAN_HANG</v>
      </c>
      <c r="F1198" s="2" t="str">
        <v>INP3201</v>
      </c>
      <c r="G1198" s="2" t="str">
        <v>2026-08-21</v>
      </c>
      <c r="H1198" s="2" t="str">
        <v>7799999.976</v>
      </c>
      <c r="I1198" s="28" t="n">
        <v>7799999.976</v>
      </c>
      <c r="J1198" s="7" t="n">
        <v>7800000</v>
      </c>
      <c r="K1198" s="28" t="n">
        <f>J1198-I1198</f>
        <v>0.024000000208616257</v>
      </c>
      <c r="L1198" s="2" t="str">
        <v>NHẬP</v>
      </c>
      <c r="M1198" s="2" t="str"/>
      <c r="N1198" s="2" t="str">
        <v>KHAC</v>
      </c>
    </row>
    <row r="1199" ht="25" customHeight="1">
      <c r="A1199" s="2" t="str">
        <v>Q1326</v>
      </c>
      <c r="B1199" s="2" t="str">
        <v>KH015</v>
      </c>
      <c r="C1199" s="2" t="str">
        <v>KH015</v>
      </c>
      <c r="D1199" s="2" t="str">
        <v>S2-01325-BH</v>
      </c>
      <c r="E1199" s="2" t="str">
        <v>BAN_HANG</v>
      </c>
      <c r="F1199" s="2" t="str">
        <v>INP3001</v>
      </c>
      <c r="G1199" s="2" t="str">
        <v>2026-08-21</v>
      </c>
      <c r="H1199" s="2" t="str">
        <v>7439999.9472</v>
      </c>
      <c r="I1199" s="28" t="n">
        <v>7439999.9472</v>
      </c>
      <c r="J1199" s="7" t="n">
        <v>7440000</v>
      </c>
      <c r="K1199" s="28" t="n">
        <f>J1199-I1199</f>
        <v>0.052799999713897705</v>
      </c>
      <c r="L1199" s="2" t="str">
        <v>NHẬP</v>
      </c>
      <c r="M1199" s="2" t="str"/>
      <c r="N1199" s="2" t="str">
        <v>KHAC</v>
      </c>
    </row>
    <row r="1200" ht="25" customHeight="1">
      <c r="A1200" s="2" t="str">
        <v>Q1327</v>
      </c>
      <c r="B1200" s="2" t="str">
        <v>KH015</v>
      </c>
      <c r="C1200" s="2" t="str">
        <v>KH015</v>
      </c>
      <c r="D1200" s="2" t="str">
        <v>S2-01325-BH</v>
      </c>
      <c r="E1200" s="2" t="str">
        <v>BAN_HANG</v>
      </c>
      <c r="F1200" s="2" t="str">
        <v>INP3004</v>
      </c>
      <c r="G1200" s="2" t="str">
        <v>2026-08-21</v>
      </c>
      <c r="H1200" s="2" t="str">
        <v>6400000.08</v>
      </c>
      <c r="I1200" s="28" t="n">
        <v>6400000.08</v>
      </c>
      <c r="J1200" s="7" t="n">
        <v>6400000</v>
      </c>
      <c r="K1200" s="28" t="n">
        <f>J1200-I1200</f>
        <v>-0.0800000000745058</v>
      </c>
      <c r="L1200" s="2" t="str">
        <v>NHẬP</v>
      </c>
      <c r="M1200" s="2" t="str"/>
      <c r="N1200" s="2" t="str">
        <v>KHAC</v>
      </c>
    </row>
    <row r="1201" ht="25" customHeight="1">
      <c r="A1201" s="2" t="str">
        <v>Q1328</v>
      </c>
      <c r="B1201" s="2" t="str">
        <v>KH015</v>
      </c>
      <c r="C1201" s="2" t="str">
        <v>KH015</v>
      </c>
      <c r="D1201" s="2" t="str">
        <v>S2-01325-BH</v>
      </c>
      <c r="E1201" s="2" t="str">
        <v>BAN_HANG</v>
      </c>
      <c r="F1201" s="2" t="str">
        <v>INP3005</v>
      </c>
      <c r="G1201" s="2" t="str">
        <v>2026-08-21</v>
      </c>
      <c r="H1201" s="2" t="str">
        <v>10799999.892</v>
      </c>
      <c r="I1201" s="28" t="n">
        <v>10799999.892</v>
      </c>
      <c r="J1201" s="7" t="n">
        <v>10800000</v>
      </c>
      <c r="K1201" s="28" t="n">
        <f>J1201-I1201</f>
        <v>0.107999999076128</v>
      </c>
      <c r="L1201" s="2" t="str">
        <v>NHẬP</v>
      </c>
      <c r="M1201" s="2" t="str"/>
      <c r="N1201" s="2" t="str">
        <v>KHAC</v>
      </c>
    </row>
    <row r="1202" ht="25" customHeight="1">
      <c r="A1202" s="2" t="str">
        <v>Q1329</v>
      </c>
      <c r="B1202" s="2" t="str">
        <v>KH015</v>
      </c>
      <c r="C1202" s="2" t="str">
        <v>KH015</v>
      </c>
      <c r="D1202" s="2" t="str">
        <v>S2-01325-BH</v>
      </c>
      <c r="E1202" s="2" t="str">
        <v>BAN_HANG</v>
      </c>
      <c r="F1202" s="2" t="str">
        <v>INP1203</v>
      </c>
      <c r="G1202" s="2" t="str">
        <v>2026-08-21</v>
      </c>
      <c r="H1202" s="2" t="str">
        <v>10560000.0672</v>
      </c>
      <c r="I1202" s="28" t="n">
        <v>10560000.0672</v>
      </c>
      <c r="J1202" s="7" t="n">
        <v>10560000</v>
      </c>
      <c r="K1202" s="28" t="n">
        <f>J1202-I1202</f>
        <v>-0.06719999946653843</v>
      </c>
      <c r="L1202" s="2" t="str">
        <v>NHẬP</v>
      </c>
      <c r="M1202" s="2" t="str"/>
      <c r="N1202" s="2" t="str">
        <v>KHAC</v>
      </c>
    </row>
    <row r="1203" ht="25" customHeight="1">
      <c r="A1203" s="2" t="str">
        <v>Q1330</v>
      </c>
      <c r="B1203" s="2" t="str">
        <v>KH066</v>
      </c>
      <c r="C1203" s="2" t="str">
        <v>KH066</v>
      </c>
      <c r="D1203" s="2" t="str">
        <v>S2-01330-BH</v>
      </c>
      <c r="E1203" s="2" t="str">
        <v>BAN_HANG</v>
      </c>
      <c r="F1203" s="2" t="str">
        <v>INP6006</v>
      </c>
      <c r="G1203" s="2" t="str">
        <v>2026-08-21</v>
      </c>
      <c r="H1203" s="2" t="str">
        <v>8550000.036</v>
      </c>
      <c r="I1203" s="28" t="n">
        <v>8550000.036</v>
      </c>
      <c r="J1203" s="7" t="n">
        <v>8550000</v>
      </c>
      <c r="K1203" s="28" t="n">
        <f>J1203-I1203</f>
        <v>-0.036000000312924385</v>
      </c>
      <c r="L1203" s="2" t="str">
        <v>NHẬP</v>
      </c>
      <c r="M1203" s="2" t="str"/>
      <c r="N1203" s="2" t="str">
        <v>KHAC</v>
      </c>
    </row>
    <row r="1204" ht="25" customHeight="1">
      <c r="A1204" s="2" t="str">
        <v>Q1331</v>
      </c>
      <c r="B1204" s="2" t="str">
        <v>KH066</v>
      </c>
      <c r="C1204" s="2" t="str">
        <v>KH066</v>
      </c>
      <c r="D1204" s="2" t="str">
        <v>S2-01330-BH</v>
      </c>
      <c r="E1204" s="2" t="str">
        <v>BAN_HANG</v>
      </c>
      <c r="F1204" s="2" t="str">
        <v>INP6007</v>
      </c>
      <c r="G1204" s="2" t="str">
        <v>2026-08-21</v>
      </c>
      <c r="H1204" s="2" t="str">
        <v>10200000.006</v>
      </c>
      <c r="I1204" s="28" t="n">
        <v>10200000.006</v>
      </c>
      <c r="J1204" s="7" t="n">
        <v>10200000</v>
      </c>
      <c r="K1204" s="28" t="n">
        <f>J1204-I1204</f>
        <v>-0.0059999991208314896</v>
      </c>
      <c r="L1204" s="2" t="str">
        <v>NHẬP</v>
      </c>
      <c r="M1204" s="2" t="str"/>
      <c r="N1204" s="2" t="str">
        <v>KHAC</v>
      </c>
    </row>
    <row r="1205" ht="25" customHeight="1">
      <c r="A1205" s="2" t="str">
        <v>Q1332</v>
      </c>
      <c r="B1205" s="2" t="str">
        <v>KH066</v>
      </c>
      <c r="C1205" s="2" t="str">
        <v>KH066</v>
      </c>
      <c r="D1205" s="2" t="str">
        <v>S2-01330-BH</v>
      </c>
      <c r="E1205" s="2" t="str">
        <v>BAN_HANG</v>
      </c>
      <c r="F1205" s="2" t="str">
        <v>INP6011</v>
      </c>
      <c r="G1205" s="2" t="str">
        <v>2026-08-21</v>
      </c>
      <c r="H1205" s="2" t="str">
        <v>9299999.934</v>
      </c>
      <c r="I1205" s="28" t="n">
        <v>9299999.934</v>
      </c>
      <c r="J1205" s="7" t="n">
        <v>9300000</v>
      </c>
      <c r="K1205" s="28" t="n">
        <f>J1205-I1205</f>
        <v>0.06599999964237213</v>
      </c>
      <c r="L1205" s="2" t="str">
        <v>NHẬP</v>
      </c>
      <c r="M1205" s="2" t="str"/>
      <c r="N1205" s="2" t="str">
        <v>KHAC</v>
      </c>
    </row>
    <row r="1206" ht="25" customHeight="1">
      <c r="A1206" s="2" t="str">
        <v>Q1333</v>
      </c>
      <c r="B1206" s="2" t="str">
        <v>KH066</v>
      </c>
      <c r="C1206" s="2" t="str">
        <v>KH066</v>
      </c>
      <c r="D1206" s="2" t="str">
        <v>S2-01330-BH</v>
      </c>
      <c r="E1206" s="2" t="str">
        <v>BAN_HANG</v>
      </c>
      <c r="F1206" s="2" t="str">
        <v>INP6403</v>
      </c>
      <c r="G1206" s="2" t="str">
        <v>2026-08-21</v>
      </c>
      <c r="H1206" s="2" t="str">
        <v>3749999.976</v>
      </c>
      <c r="I1206" s="28" t="n">
        <v>3749999.976</v>
      </c>
      <c r="J1206" s="7" t="n">
        <v>3750000</v>
      </c>
      <c r="K1206" s="28" t="n">
        <f>J1206-I1206</f>
        <v>0.024000000208616257</v>
      </c>
      <c r="L1206" s="2" t="str">
        <v>NHẬP</v>
      </c>
      <c r="M1206" s="2" t="str"/>
      <c r="N1206" s="2" t="str">
        <v>QUAT</v>
      </c>
    </row>
    <row r="1207" ht="25" customHeight="1">
      <c r="A1207" s="2" t="str">
        <v>Q1337</v>
      </c>
      <c r="B1207" s="2" t="str">
        <v>KH066</v>
      </c>
      <c r="C1207" s="2" t="str">
        <v>KH066</v>
      </c>
      <c r="D1207" s="2" t="str">
        <v>S2-01337-TH</v>
      </c>
      <c r="E1207" s="2" t="str">
        <v>TRA_HANG</v>
      </c>
      <c r="F1207" s="2" t="str">
        <v>INP3004</v>
      </c>
      <c r="G1207" s="2" t="str">
        <v>2026-08-21</v>
      </c>
      <c r="H1207" s="2" t="str">
        <v>6191999.9424</v>
      </c>
      <c r="I1207" s="28" t="n">
        <v>6191999.9424</v>
      </c>
      <c r="J1207" s="7" t="n">
        <v>6192000</v>
      </c>
      <c r="K1207" s="28" t="n">
        <f>J1207-I1207</f>
        <v>0.05759999994188547</v>
      </c>
      <c r="L1207" s="2" t="str">
        <v>NHẬP</v>
      </c>
      <c r="M1207" s="2" t="str"/>
      <c r="N1207" s="2" t="str">
        <v>KHAC</v>
      </c>
    </row>
    <row r="1208" ht="25" customHeight="1">
      <c r="A1208" s="2" t="str">
        <v>Q1338</v>
      </c>
      <c r="B1208" s="2" t="str">
        <v>KH066</v>
      </c>
      <c r="C1208" s="2" t="str">
        <v>KH066</v>
      </c>
      <c r="D1208" s="2" t="str">
        <v>S2-01337-TH</v>
      </c>
      <c r="E1208" s="2" t="str">
        <v>TRA_HANG</v>
      </c>
      <c r="F1208" s="2" t="str">
        <v>INP3002</v>
      </c>
      <c r="G1208" s="2" t="str">
        <v>2026-08-21</v>
      </c>
      <c r="H1208" s="2" t="str">
        <v>2459999.9808</v>
      </c>
      <c r="I1208" s="28" t="n">
        <v>2459999.9808</v>
      </c>
      <c r="J1208" s="7" t="n">
        <v>2460000</v>
      </c>
      <c r="K1208" s="28" t="n">
        <f>J1208-I1208</f>
        <v>0.01919999998062849</v>
      </c>
      <c r="L1208" s="2" t="str">
        <v>NHẬP</v>
      </c>
      <c r="M1208" s="2" t="str"/>
      <c r="N1208" s="2" t="str">
        <v>KHAC</v>
      </c>
    </row>
    <row r="1209" ht="25" customHeight="1">
      <c r="A1209" s="2" t="str">
        <v>Q1339</v>
      </c>
      <c r="B1209" s="2" t="str">
        <v>KH066</v>
      </c>
      <c r="C1209" s="2" t="str">
        <v>KH066</v>
      </c>
      <c r="D1209" s="2" t="str">
        <v>S2-01337-TH</v>
      </c>
      <c r="E1209" s="2" t="str">
        <v>TRA_HANG</v>
      </c>
      <c r="F1209" s="2" t="str">
        <v>INP3001</v>
      </c>
      <c r="G1209" s="2" t="str">
        <v>2026-08-21</v>
      </c>
      <c r="H1209" s="2" t="str">
        <v>3560000.004</v>
      </c>
      <c r="I1209" s="28" t="n">
        <v>3560000.004</v>
      </c>
      <c r="J1209" s="7" t="n">
        <v>3560000</v>
      </c>
      <c r="K1209" s="28" t="n">
        <f>J1209-I1209</f>
        <v>-0.004000000189989805</v>
      </c>
      <c r="L1209" s="2" t="str">
        <v>NHẬP</v>
      </c>
      <c r="M1209" s="2" t="str"/>
      <c r="N1209" s="2" t="str">
        <v>KHAC</v>
      </c>
    </row>
    <row r="1210" ht="25" customHeight="1">
      <c r="A1210" s="2" t="str">
        <v>Q1340</v>
      </c>
      <c r="B1210" s="2" t="str">
        <v>KH066</v>
      </c>
      <c r="C1210" s="2" t="str">
        <v>KH066</v>
      </c>
      <c r="D1210" s="2" t="str">
        <v>S2-01337-TH</v>
      </c>
      <c r="E1210" s="2" t="str">
        <v>TRA_HANG</v>
      </c>
      <c r="F1210" s="2" t="str">
        <v>INP3003</v>
      </c>
      <c r="G1210" s="2" t="str">
        <v>2026-08-21</v>
      </c>
      <c r="H1210" s="2" t="str">
        <v>7929999.9324</v>
      </c>
      <c r="I1210" s="28" t="n">
        <v>7929999.9324</v>
      </c>
      <c r="J1210" s="7" t="n">
        <v>7930000</v>
      </c>
      <c r="K1210" s="28" t="n">
        <f>J1210-I1210</f>
        <v>0.06759999971836805</v>
      </c>
      <c r="L1210" s="2" t="str">
        <v>NHẬP</v>
      </c>
      <c r="M1210" s="2" t="str"/>
      <c r="N1210" s="2" t="str">
        <v>KHAC</v>
      </c>
    </row>
    <row r="1211" ht="25" customHeight="1">
      <c r="A1211" s="2" t="str">
        <v>Q1341</v>
      </c>
      <c r="B1211" s="2" t="str">
        <v>KH066</v>
      </c>
      <c r="C1211" s="2" t="str">
        <v>KH066</v>
      </c>
      <c r="D1211" s="2" t="str">
        <v>S2-01337-TH</v>
      </c>
      <c r="E1211" s="2" t="str">
        <v>TRA_HANG</v>
      </c>
      <c r="F1211" s="2" t="str">
        <v>INP1501</v>
      </c>
      <c r="G1211" s="2" t="str">
        <v>2026-08-21</v>
      </c>
      <c r="H1211" s="2" t="str">
        <v>5039999.9496</v>
      </c>
      <c r="I1211" s="28" t="n">
        <v>5039999.9496</v>
      </c>
      <c r="J1211" s="7" t="n">
        <v>5040000</v>
      </c>
      <c r="K1211" s="28" t="n">
        <f>J1211-I1211</f>
        <v>0.05040000006556511</v>
      </c>
      <c r="L1211" s="2" t="str">
        <v>NHẬP</v>
      </c>
      <c r="M1211" s="2" t="str"/>
      <c r="N1211" s="2" t="str">
        <v>KHAC</v>
      </c>
    </row>
    <row r="1212" ht="25" customHeight="1">
      <c r="A1212" s="2" t="str">
        <v>Q1342</v>
      </c>
      <c r="B1212" s="2" t="str">
        <v>KH066</v>
      </c>
      <c r="C1212" s="2" t="str">
        <v>KH066</v>
      </c>
      <c r="D1212" s="2" t="str">
        <v>S2-01337-TH</v>
      </c>
      <c r="E1212" s="2" t="str">
        <v>TRA_HANG</v>
      </c>
      <c r="F1212" s="2" t="str">
        <v>INP1502</v>
      </c>
      <c r="G1212" s="2" t="str">
        <v>2026-08-21</v>
      </c>
      <c r="H1212" s="2" t="str">
        <v>7669999.9764</v>
      </c>
      <c r="I1212" s="28" t="n">
        <v>7669999.9764</v>
      </c>
      <c r="J1212" s="7" t="n">
        <v>7670000</v>
      </c>
      <c r="K1212" s="28" t="n">
        <f>J1212-I1212</f>
        <v>0.023599999956786633</v>
      </c>
      <c r="L1212" s="2" t="str">
        <v>NHẬP</v>
      </c>
      <c r="M1212" s="2" t="str"/>
      <c r="N1212" s="2" t="str">
        <v>KHAC</v>
      </c>
    </row>
    <row r="1213" ht="25" customHeight="1">
      <c r="A1213" s="2" t="str">
        <v>Q1343</v>
      </c>
      <c r="B1213" s="2" t="str">
        <v>KH066</v>
      </c>
      <c r="C1213" s="2" t="str">
        <v>KH066</v>
      </c>
      <c r="D1213" s="2" t="str">
        <v>S2-01337-TH</v>
      </c>
      <c r="E1213" s="2" t="str">
        <v>TRA_HANG</v>
      </c>
      <c r="F1213" s="2" t="str">
        <v>INP1503</v>
      </c>
      <c r="G1213" s="2" t="str">
        <v>2026-08-21</v>
      </c>
      <c r="H1213" s="2" t="str">
        <v>4620000.0132</v>
      </c>
      <c r="I1213" s="28" t="n">
        <v>4620000.0132</v>
      </c>
      <c r="J1213" s="7" t="n">
        <v>4620000</v>
      </c>
      <c r="K1213" s="28" t="n">
        <f>J1213-I1213</f>
        <v>-0.013199999928474426</v>
      </c>
      <c r="L1213" s="2" t="str">
        <v>NHẬP</v>
      </c>
      <c r="M1213" s="2" t="str"/>
      <c r="N1213" s="2" t="str">
        <v>KHAC</v>
      </c>
    </row>
    <row r="1214" ht="25" customHeight="1">
      <c r="A1214" s="2" t="str">
        <v>Q1344</v>
      </c>
      <c r="B1214" s="2" t="str">
        <v>KH066</v>
      </c>
      <c r="C1214" s="2" t="str">
        <v>KH066</v>
      </c>
      <c r="D1214" s="2" t="str">
        <v>S2-01337-TH</v>
      </c>
      <c r="E1214" s="2" t="str">
        <v>TRA_HANG</v>
      </c>
      <c r="F1214" s="2" t="str">
        <v>INP3005</v>
      </c>
      <c r="G1214" s="2" t="str">
        <v>2026-08-21</v>
      </c>
      <c r="H1214" s="2" t="str">
        <v>6450000.03</v>
      </c>
      <c r="I1214" s="28" t="n">
        <v>6450000.03</v>
      </c>
      <c r="J1214" s="7" t="n">
        <v>6450000</v>
      </c>
      <c r="K1214" s="28" t="n">
        <f>J1214-I1214</f>
        <v>-0.03000000026077032</v>
      </c>
      <c r="L1214" s="2" t="str">
        <v>NHẬP</v>
      </c>
      <c r="M1214" s="2" t="str"/>
      <c r="N1214" s="2" t="str">
        <v>KHAC</v>
      </c>
    </row>
    <row r="1215" ht="25" customHeight="1">
      <c r="A1215" s="2" t="str">
        <v>R1345</v>
      </c>
      <c r="B1215" s="2" t="str">
        <v>KH055</v>
      </c>
      <c r="C1215" s="2" t="str">
        <v>KH055</v>
      </c>
      <c r="D1215" s="2" t="str">
        <v>S2-01345-TT</v>
      </c>
      <c r="E1215" s="2" t="str">
        <v>THU_TIEN</v>
      </c>
      <c r="F1215" s="2" t="str"/>
      <c r="G1215" s="2" t="str">
        <v>2026-08-22</v>
      </c>
      <c r="H1215" s="2" t="str">
        <v>8784000</v>
      </c>
      <c r="I1215" s="28" t="n">
        <v>8784000</v>
      </c>
      <c r="J1215" s="7" t="n">
        <v>8784000</v>
      </c>
      <c r="K1215" s="28" t="n">
        <f>J1215-I1215</f>
        <v>0</v>
      </c>
      <c r="L1215" s="2" t="str">
        <v>NHẬP</v>
      </c>
      <c r="M1215" s="2" t="str"/>
      <c r="N1215" s="2" t="str">
        <v>KHAC</v>
      </c>
    </row>
    <row r="1216" ht="25" customHeight="1">
      <c r="A1216" s="2" t="str">
        <v>Q1346</v>
      </c>
      <c r="B1216" s="2" t="str">
        <v>KH015</v>
      </c>
      <c r="C1216" s="2" t="str">
        <v>KH015</v>
      </c>
      <c r="D1216" s="2" t="str">
        <v>S2-01346-BH</v>
      </c>
      <c r="E1216" s="2" t="str">
        <v>BAN_HANG</v>
      </c>
      <c r="F1216" s="2" t="str">
        <v>INP3201</v>
      </c>
      <c r="G1216" s="2" t="str">
        <v>2026-08-24</v>
      </c>
      <c r="H1216" s="2" t="str">
        <v>3119999.9904</v>
      </c>
      <c r="I1216" s="28" t="n">
        <v>3119999.9904</v>
      </c>
      <c r="J1216" s="7" t="n">
        <v>3120000</v>
      </c>
      <c r="K1216" s="28" t="n">
        <f>J1216-I1216</f>
        <v>0.009599999990314245</v>
      </c>
      <c r="L1216" s="2" t="str">
        <v>NHẬP</v>
      </c>
      <c r="M1216" s="2" t="str"/>
      <c r="N1216" s="2" t="str">
        <v>KHAC</v>
      </c>
    </row>
    <row r="1217" ht="25" customHeight="1">
      <c r="A1217" s="2" t="str">
        <v>Q1347</v>
      </c>
      <c r="B1217" s="2" t="str">
        <v>KH015</v>
      </c>
      <c r="C1217" s="2" t="str">
        <v>KH015</v>
      </c>
      <c r="D1217" s="2" t="str">
        <v>S2-01346-BH</v>
      </c>
      <c r="E1217" s="2" t="str">
        <v>BAN_HANG</v>
      </c>
      <c r="F1217" s="2" t="str">
        <v>INP3202</v>
      </c>
      <c r="G1217" s="2" t="str">
        <v>2026-08-24</v>
      </c>
      <c r="H1217" s="2" t="str">
        <v>14799999.888</v>
      </c>
      <c r="I1217" s="28" t="n">
        <v>14799999.888</v>
      </c>
      <c r="J1217" s="7" t="n">
        <v>14800000</v>
      </c>
      <c r="K1217" s="28" t="n">
        <f>J1217-I1217</f>
        <v>0.1119999997317791</v>
      </c>
      <c r="L1217" s="2" t="str">
        <v>NHẬP</v>
      </c>
      <c r="M1217" s="2" t="str"/>
      <c r="N1217" s="2" t="str">
        <v>KHAC</v>
      </c>
    </row>
    <row r="1218" ht="25" customHeight="1">
      <c r="A1218" s="2" t="str">
        <v>Q1348</v>
      </c>
      <c r="B1218" s="2" t="str">
        <v>KH015</v>
      </c>
      <c r="C1218" s="2" t="str">
        <v>KH015</v>
      </c>
      <c r="D1218" s="2" t="str">
        <v>S2-01346-BH</v>
      </c>
      <c r="E1218" s="2" t="str">
        <v>BAN_HANG</v>
      </c>
      <c r="F1218" s="2" t="str">
        <v>INP6701</v>
      </c>
      <c r="G1218" s="2" t="str">
        <v>2026-08-24</v>
      </c>
      <c r="H1218" s="2" t="str">
        <v>3360000.0096</v>
      </c>
      <c r="I1218" s="28" t="n">
        <v>3360000.0096</v>
      </c>
      <c r="J1218" s="7" t="n">
        <v>3360000</v>
      </c>
      <c r="K1218" s="28" t="n">
        <f>J1218-I1218</f>
        <v>-0.009599999990314245</v>
      </c>
      <c r="L1218" s="2" t="str">
        <v>NHẬP</v>
      </c>
      <c r="M1218" s="2" t="str"/>
      <c r="N1218" s="2" t="str">
        <v>KHAC</v>
      </c>
    </row>
    <row r="1219" ht="25" customHeight="1">
      <c r="A1219" s="2" t="str">
        <v>R1349</v>
      </c>
      <c r="B1219" s="2" t="str">
        <v>KH088</v>
      </c>
      <c r="C1219" s="2" t="str">
        <v>KH088</v>
      </c>
      <c r="D1219" s="2" t="str">
        <v>S2-01349-TT</v>
      </c>
      <c r="E1219" s="2" t="str">
        <v>THU_TIEN</v>
      </c>
      <c r="F1219" s="2" t="str"/>
      <c r="G1219" s="2" t="str">
        <v>2026-08-24</v>
      </c>
      <c r="H1219" s="2" t="str">
        <v>45466002</v>
      </c>
      <c r="I1219" s="28" t="n">
        <v>45466002</v>
      </c>
      <c r="J1219" s="7" t="n">
        <v>45466002</v>
      </c>
      <c r="K1219" s="28" t="n">
        <f>J1219-I1219</f>
        <v>0</v>
      </c>
      <c r="L1219" s="2" t="str">
        <v>NHẬP</v>
      </c>
      <c r="M1219" s="2" t="str"/>
      <c r="N1219" s="2" t="str">
        <v>KHAC</v>
      </c>
    </row>
    <row r="1220" ht="25" customHeight="1">
      <c r="A1220" s="2" t="str">
        <v>R1350</v>
      </c>
      <c r="B1220" s="2" t="str">
        <v>KH070</v>
      </c>
      <c r="C1220" s="2" t="str">
        <v>KH070</v>
      </c>
      <c r="D1220" s="2" t="str">
        <v>S2-01350-TT</v>
      </c>
      <c r="E1220" s="2" t="str">
        <v>THU_TIEN</v>
      </c>
      <c r="F1220" s="2" t="str"/>
      <c r="G1220" s="2" t="str">
        <v>2026-08-24</v>
      </c>
      <c r="H1220" s="2" t="str">
        <v>17760001</v>
      </c>
      <c r="I1220" s="28" t="n">
        <v>17760001</v>
      </c>
      <c r="J1220" s="7" t="n">
        <v>17760001</v>
      </c>
      <c r="K1220" s="28" t="n">
        <f>J1220-I1220</f>
        <v>0</v>
      </c>
      <c r="L1220" s="2" t="str">
        <v>NHẬP</v>
      </c>
      <c r="M1220" s="2" t="str"/>
      <c r="N1220" s="2" t="str">
        <v>KHAC</v>
      </c>
    </row>
    <row r="1221" ht="25" customHeight="1">
      <c r="A1221" s="2" t="str">
        <v>R1351</v>
      </c>
      <c r="B1221" s="2" t="str">
        <v>KH011</v>
      </c>
      <c r="C1221" s="2" t="str">
        <v>KH011</v>
      </c>
      <c r="D1221" s="2" t="str">
        <v>S2-01351-TT</v>
      </c>
      <c r="E1221" s="2" t="str">
        <v>THU_TIEN</v>
      </c>
      <c r="F1221" s="2" t="str"/>
      <c r="G1221" s="2" t="str">
        <v>2026-08-24</v>
      </c>
      <c r="H1221" s="2" t="str">
        <v>52000000</v>
      </c>
      <c r="I1221" s="28" t="n">
        <v>52000000</v>
      </c>
      <c r="J1221" s="7" t="n">
        <v>52000000</v>
      </c>
      <c r="K1221" s="28" t="n">
        <f>J1221-I1221</f>
        <v>0</v>
      </c>
      <c r="L1221" s="2" t="str">
        <v>NHẬP</v>
      </c>
      <c r="M1221" s="2" t="str"/>
      <c r="N1221" s="2" t="str">
        <v>KHAC</v>
      </c>
    </row>
    <row r="1222" ht="25" customHeight="1">
      <c r="A1222" s="2" t="str">
        <v>Q1381</v>
      </c>
      <c r="B1222" s="2" t="str">
        <v>KH024</v>
      </c>
      <c r="C1222" s="2" t="str">
        <v>KH024</v>
      </c>
      <c r="D1222" s="2" t="str">
        <v>S2-01381-BH</v>
      </c>
      <c r="E1222" s="2" t="str">
        <v>BAN_HANG</v>
      </c>
      <c r="F1222" s="2" t="str">
        <v>INP6006</v>
      </c>
      <c r="G1222" s="2" t="str">
        <v>2026-08-25</v>
      </c>
      <c r="H1222" s="2" t="str">
        <v>8550000.036</v>
      </c>
      <c r="I1222" s="28" t="n">
        <v>8550000.036</v>
      </c>
      <c r="J1222" s="7" t="n">
        <v>8550000</v>
      </c>
      <c r="K1222" s="28" t="n">
        <f>J1222-I1222</f>
        <v>-0.036000000312924385</v>
      </c>
      <c r="L1222" s="2" t="str">
        <v>NHẬP</v>
      </c>
      <c r="M1222" s="2" t="str"/>
      <c r="N1222" s="2" t="str">
        <v>KHAC</v>
      </c>
    </row>
    <row r="1223" ht="25" customHeight="1">
      <c r="A1223" s="2" t="str">
        <v>Q1382</v>
      </c>
      <c r="B1223" s="2" t="str">
        <v>KH024</v>
      </c>
      <c r="C1223" s="2" t="str">
        <v>KH024</v>
      </c>
      <c r="D1223" s="2" t="str">
        <v>S2-01381-BH</v>
      </c>
      <c r="E1223" s="2" t="str">
        <v>BAN_HANG</v>
      </c>
      <c r="F1223" s="2" t="str">
        <v>INP6007</v>
      </c>
      <c r="G1223" s="2" t="str">
        <v>2026-08-25</v>
      </c>
      <c r="H1223" s="2" t="str">
        <v>1360000.0008</v>
      </c>
      <c r="I1223" s="28" t="n">
        <v>1360000.0008</v>
      </c>
      <c r="J1223" s="7" t="n">
        <v>1360000</v>
      </c>
      <c r="K1223" s="28" t="n">
        <f>J1223-I1223</f>
        <v>-0.000800000037997961</v>
      </c>
      <c r="L1223" s="2" t="str">
        <v>NHẬP</v>
      </c>
      <c r="M1223" s="2" t="str"/>
      <c r="N1223" s="2" t="str">
        <v>KHAC</v>
      </c>
    </row>
    <row r="1224" ht="25" customHeight="1">
      <c r="A1224" s="2" t="str">
        <v>Q1383</v>
      </c>
      <c r="B1224" s="2" t="str">
        <v>KH024</v>
      </c>
      <c r="C1224" s="2" t="str">
        <v>KH024</v>
      </c>
      <c r="D1224" s="2" t="str">
        <v>S2-01381-BH</v>
      </c>
      <c r="E1224" s="2" t="str">
        <v>BAN_HANG</v>
      </c>
      <c r="F1224" s="2" t="str">
        <v>INP2202</v>
      </c>
      <c r="G1224" s="2" t="str">
        <v>2026-08-25</v>
      </c>
      <c r="H1224" s="2" t="str">
        <v>3647999.9808</v>
      </c>
      <c r="I1224" s="28" t="n">
        <v>3647999.9808</v>
      </c>
      <c r="J1224" s="7" t="n">
        <v>3648000</v>
      </c>
      <c r="K1224" s="28" t="n">
        <f>J1224-I1224</f>
        <v>0.01919999998062849</v>
      </c>
      <c r="L1224" s="2" t="str">
        <v>NHẬP</v>
      </c>
      <c r="M1224" s="2" t="str"/>
      <c r="N1224" s="2" t="str">
        <v>KHAC</v>
      </c>
    </row>
    <row r="1225" ht="25" customHeight="1">
      <c r="A1225" s="2" t="str">
        <v>Q1384</v>
      </c>
      <c r="B1225" s="2" t="str">
        <v>KH024</v>
      </c>
      <c r="C1225" s="2" t="str">
        <v>KH024</v>
      </c>
      <c r="D1225" s="2" t="str">
        <v>S2-01381-BH</v>
      </c>
      <c r="E1225" s="2" t="str">
        <v>BAN_HANG</v>
      </c>
      <c r="F1225" s="2" t="str">
        <v>INP6105</v>
      </c>
      <c r="G1225" s="2" t="str">
        <v>2026-08-25</v>
      </c>
      <c r="H1225" s="2" t="str">
        <v>8760000.0528</v>
      </c>
      <c r="I1225" s="28" t="n">
        <v>8760000.0528</v>
      </c>
      <c r="J1225" s="7" t="n">
        <v>8760000</v>
      </c>
      <c r="K1225" s="28" t="n">
        <f>J1225-I1225</f>
        <v>-0.052799999713897705</v>
      </c>
      <c r="L1225" s="2" t="str">
        <v>NHẬP</v>
      </c>
      <c r="M1225" s="2" t="str"/>
      <c r="N1225" s="2" t="str">
        <v>KHAC</v>
      </c>
    </row>
    <row r="1226" ht="25" customHeight="1">
      <c r="A1226" s="2" t="str">
        <v>Q1385</v>
      </c>
      <c r="B1226" s="2" t="str">
        <v>KH024</v>
      </c>
      <c r="C1226" s="2" t="str">
        <v>KH024</v>
      </c>
      <c r="D1226" s="2" t="str">
        <v>S2-01381-BH</v>
      </c>
      <c r="E1226" s="2" t="str">
        <v>BAN_HANG</v>
      </c>
      <c r="F1226" s="2" t="str">
        <v>INP1301</v>
      </c>
      <c r="G1226" s="2" t="str">
        <v>2026-08-25</v>
      </c>
      <c r="H1226" s="2" t="str">
        <v>5999999.94</v>
      </c>
      <c r="I1226" s="28" t="n">
        <v>5999999.94</v>
      </c>
      <c r="J1226" s="7" t="n">
        <v>6000000</v>
      </c>
      <c r="K1226" s="28" t="n">
        <f>J1226-I1226</f>
        <v>0.05999999959021807</v>
      </c>
      <c r="L1226" s="2" t="str">
        <v>NHẬP</v>
      </c>
      <c r="M1226" s="2" t="str"/>
      <c r="N1226" s="2" t="str">
        <v>KHAC</v>
      </c>
    </row>
    <row r="1227" ht="25" customHeight="1">
      <c r="A1227" s="2" t="str">
        <v>Q1388</v>
      </c>
      <c r="B1227" s="2" t="str">
        <v>KH066</v>
      </c>
      <c r="C1227" s="2" t="str">
        <v>KH066</v>
      </c>
      <c r="D1227" s="2" t="str">
        <v>S2-01388-BH</v>
      </c>
      <c r="E1227" s="2" t="str">
        <v>BAN_HANG</v>
      </c>
      <c r="F1227" s="2" t="str">
        <v>INP1301A</v>
      </c>
      <c r="G1227" s="2" t="str">
        <v>2026-09-04</v>
      </c>
      <c r="H1227" s="2" t="str">
        <v>2039999.904</v>
      </c>
      <c r="I1227" s="28" t="n">
        <v>2039999.904</v>
      </c>
      <c r="J1227" s="7" t="n">
        <v>2040000</v>
      </c>
      <c r="K1227" s="28" t="n">
        <f>J1227-I1227</f>
        <v>0.09599999990314245</v>
      </c>
      <c r="L1227" s="2" t="str">
        <v>NHẬP</v>
      </c>
      <c r="M1227" s="2" t="str"/>
      <c r="N1227" s="2" t="str">
        <v>KHAC</v>
      </c>
    </row>
    <row r="1228" ht="25" customHeight="1">
      <c r="A1228" s="2" t="str">
        <v>Q1389</v>
      </c>
      <c r="B1228" s="2" t="str">
        <v>KH015</v>
      </c>
      <c r="C1228" s="2" t="str">
        <v>KH015</v>
      </c>
      <c r="D1228" s="2" t="str">
        <v>S2-01389-BH</v>
      </c>
      <c r="E1228" s="2" t="str">
        <v>BAN_HANG</v>
      </c>
      <c r="F1228" s="2" t="str">
        <v>INP3202</v>
      </c>
      <c r="G1228" s="2" t="str">
        <v>2026-08-25</v>
      </c>
      <c r="H1228" s="2" t="str">
        <v>4439999.9664</v>
      </c>
      <c r="I1228" s="28" t="n">
        <v>4439999.9664</v>
      </c>
      <c r="J1228" s="7" t="n">
        <v>4440000</v>
      </c>
      <c r="K1228" s="28" t="n">
        <f>J1228-I1228</f>
        <v>0.033599999733269215</v>
      </c>
      <c r="L1228" s="2" t="str">
        <v>NHẬP</v>
      </c>
      <c r="M1228" s="2" t="str"/>
      <c r="N1228" s="2" t="str">
        <v>KHAC</v>
      </c>
    </row>
    <row r="1229" ht="25" customHeight="1">
      <c r="A1229" s="2" t="str">
        <v>Q1390</v>
      </c>
      <c r="B1229" s="2" t="str">
        <v>KH015</v>
      </c>
      <c r="C1229" s="2" t="str">
        <v>KH015</v>
      </c>
      <c r="D1229" s="2" t="str">
        <v>S2-01389-BH</v>
      </c>
      <c r="E1229" s="2" t="str">
        <v>BAN_HANG</v>
      </c>
      <c r="F1229" s="2" t="str">
        <v>INP1203</v>
      </c>
      <c r="G1229" s="2" t="str">
        <v>2026-08-25</v>
      </c>
      <c r="H1229" s="2" t="str">
        <v>7040000.0448</v>
      </c>
      <c r="I1229" s="28" t="n">
        <v>7040000.0448</v>
      </c>
      <c r="J1229" s="7" t="n">
        <v>7040000</v>
      </c>
      <c r="K1229" s="28" t="n">
        <f>J1229-I1229</f>
        <v>-0.04480000026524067</v>
      </c>
      <c r="L1229" s="2" t="str">
        <v>NHẬP</v>
      </c>
      <c r="M1229" s="2" t="str"/>
      <c r="N1229" s="2" t="str">
        <v>KHAC</v>
      </c>
    </row>
    <row r="1230" ht="25" customHeight="1">
      <c r="A1230" s="2" t="str">
        <v>Q1391</v>
      </c>
      <c r="B1230" s="2" t="str">
        <v>KH015</v>
      </c>
      <c r="C1230" s="2" t="str">
        <v>KH015</v>
      </c>
      <c r="D1230" s="2" t="str">
        <v>S2-01389-BH</v>
      </c>
      <c r="E1230" s="2" t="str">
        <v>BAN_HANG</v>
      </c>
      <c r="F1230" s="2" t="str">
        <v>INP3001</v>
      </c>
      <c r="G1230" s="2" t="str">
        <v>2026-08-25</v>
      </c>
      <c r="H1230" s="2" t="str">
        <v>4959999.9648</v>
      </c>
      <c r="I1230" s="28" t="n">
        <v>4959999.9648</v>
      </c>
      <c r="J1230" s="7" t="n">
        <v>4960000</v>
      </c>
      <c r="K1230" s="28" t="n">
        <f>J1230-I1230</f>
        <v>0.03519999980926514</v>
      </c>
      <c r="L1230" s="2" t="str">
        <v>NHẬP</v>
      </c>
      <c r="M1230" s="2" t="str"/>
      <c r="N1230" s="2" t="str">
        <v>KHAC</v>
      </c>
    </row>
    <row r="1231" ht="25" customHeight="1">
      <c r="A1231" s="2" t="str">
        <v>Q1392</v>
      </c>
      <c r="B1231" s="2" t="str">
        <v>KH015</v>
      </c>
      <c r="C1231" s="2" t="str">
        <v>KH015</v>
      </c>
      <c r="D1231" s="2" t="str">
        <v>S2-01389-BH</v>
      </c>
      <c r="E1231" s="2" t="str">
        <v>BAN_HANG</v>
      </c>
      <c r="F1231" s="2" t="str">
        <v>INP3002</v>
      </c>
      <c r="G1231" s="2" t="str">
        <v>2026-08-25</v>
      </c>
      <c r="H1231" s="2" t="str">
        <v>6840000.0288</v>
      </c>
      <c r="I1231" s="28" t="n">
        <v>6840000.0288</v>
      </c>
      <c r="J1231" s="7" t="n">
        <v>6840000</v>
      </c>
      <c r="K1231" s="28" t="n">
        <f>J1231-I1231</f>
        <v>-0.028800000436604023</v>
      </c>
      <c r="L1231" s="2" t="str">
        <v>NHẬP</v>
      </c>
      <c r="M1231" s="2" t="str"/>
      <c r="N1231" s="2" t="str">
        <v>KHAC</v>
      </c>
    </row>
    <row r="1232" ht="25" customHeight="1">
      <c r="A1232" s="2" t="str">
        <v>Q1393</v>
      </c>
      <c r="B1232" s="2" t="str">
        <v>KH053</v>
      </c>
      <c r="C1232" s="2" t="str">
        <v>KH053</v>
      </c>
      <c r="D1232" s="2" t="str">
        <v>S2-01393-BH</v>
      </c>
      <c r="E1232" s="2" t="str">
        <v>BAN_HANG</v>
      </c>
      <c r="F1232" s="2" t="str">
        <v>INP6403</v>
      </c>
      <c r="G1232" s="2" t="str">
        <v>2026-08-25</v>
      </c>
      <c r="H1232" s="2" t="str">
        <v>4799999.9952</v>
      </c>
      <c r="I1232" s="28" t="n">
        <v>4799999.9952</v>
      </c>
      <c r="J1232" s="7" t="n">
        <v>4800000</v>
      </c>
      <c r="K1232" s="28" t="n">
        <f>J1232-I1232</f>
        <v>0.004800000227987766</v>
      </c>
      <c r="L1232" s="2" t="str">
        <v>NHẬP</v>
      </c>
      <c r="M1232" s="2" t="str"/>
      <c r="N1232" s="2" t="str">
        <v>QUAT</v>
      </c>
    </row>
    <row r="1233" ht="25" customHeight="1">
      <c r="A1233" s="2" t="str">
        <v>R1394</v>
      </c>
      <c r="B1233" s="2" t="str">
        <v>KH084</v>
      </c>
      <c r="C1233" s="2" t="str">
        <v>KH084</v>
      </c>
      <c r="D1233" s="2" t="str">
        <v>S2-01394-TT</v>
      </c>
      <c r="E1233" s="2" t="str">
        <v>THU_TIEN</v>
      </c>
      <c r="F1233" s="2" t="str"/>
      <c r="G1233" s="2" t="str">
        <v>2026-08-25</v>
      </c>
      <c r="H1233" s="2" t="str">
        <v>5280000</v>
      </c>
      <c r="I1233" s="28" t="n">
        <v>5280000</v>
      </c>
      <c r="J1233" s="7" t="n">
        <v>5280000</v>
      </c>
      <c r="K1233" s="28" t="n">
        <f>J1233-I1233</f>
        <v>0</v>
      </c>
      <c r="L1233" s="2" t="str">
        <v>NHẬP</v>
      </c>
      <c r="M1233" s="2" t="str"/>
      <c r="N1233" s="2" t="str">
        <v>KHAC</v>
      </c>
    </row>
    <row r="1234" ht="25" customHeight="1">
      <c r="A1234" s="2" t="str">
        <v>Q1395</v>
      </c>
      <c r="B1234" s="2" t="str">
        <v>KH089</v>
      </c>
      <c r="C1234" s="2" t="str">
        <v>NV000014</v>
      </c>
      <c r="D1234" s="2" t="str">
        <v>S2-01395-BH</v>
      </c>
      <c r="E1234" s="2" t="str">
        <v>BAN_HANG</v>
      </c>
      <c r="F1234" s="2" t="str">
        <v>INP3005</v>
      </c>
      <c r="G1234" s="2" t="str">
        <v>2026-08-26</v>
      </c>
      <c r="H1234" s="2" t="str">
        <v>430000.002</v>
      </c>
      <c r="I1234" s="28" t="n">
        <v>430000.002</v>
      </c>
      <c r="J1234" s="7" t="n">
        <v>430000</v>
      </c>
      <c r="K1234" s="28" t="n">
        <f>J1234-I1234</f>
        <v>-0.001999999978579581</v>
      </c>
      <c r="L1234" s="2" t="str">
        <v>NHẬP</v>
      </c>
      <c r="M1234" s="2" t="str"/>
      <c r="N1234" s="2" t="str">
        <v>KHAC</v>
      </c>
    </row>
    <row r="1235" ht="25" customHeight="1">
      <c r="A1235" s="2" t="str">
        <v>Q1396</v>
      </c>
      <c r="B1235" s="2" t="str">
        <v>KH029</v>
      </c>
      <c r="C1235" s="2" t="str">
        <v>KH029</v>
      </c>
      <c r="D1235" s="2" t="str">
        <v>S2-01396-BH</v>
      </c>
      <c r="E1235" s="2" t="str">
        <v>BAN_HANG</v>
      </c>
      <c r="F1235" s="2" t="str">
        <v>INP1301B</v>
      </c>
      <c r="G1235" s="2" t="str">
        <v>2026-08-26</v>
      </c>
      <c r="H1235" s="2" t="str">
        <v>119999.9988</v>
      </c>
      <c r="I1235" s="28" t="n">
        <v>119999.9988</v>
      </c>
      <c r="J1235" s="7" t="n">
        <v>120000</v>
      </c>
      <c r="K1235" s="28" t="n">
        <f>J1235-I1235</f>
        <v>0.0011999999987892807</v>
      </c>
      <c r="L1235" s="2" t="str">
        <v>NHẬP</v>
      </c>
      <c r="M1235" s="2" t="str"/>
      <c r="N1235" s="2" t="str">
        <v>KHAC</v>
      </c>
    </row>
    <row r="1236" ht="25" customHeight="1">
      <c r="A1236" s="2" t="str">
        <v>R1397</v>
      </c>
      <c r="B1236" s="2" t="str">
        <v>KH015</v>
      </c>
      <c r="C1236" s="2" t="str">
        <v>KH015</v>
      </c>
      <c r="D1236" s="2" t="str">
        <v>S2-01397-TT</v>
      </c>
      <c r="E1236" s="2" t="str">
        <v>THU_TIEN</v>
      </c>
      <c r="F1236" s="2" t="str"/>
      <c r="G1236" s="2" t="str">
        <v>2026-08-26</v>
      </c>
      <c r="H1236" s="2" t="str">
        <v>41460000</v>
      </c>
      <c r="I1236" s="28" t="n">
        <v>41460000</v>
      </c>
      <c r="J1236" s="7" t="n">
        <v>41460000</v>
      </c>
      <c r="K1236" s="28" t="n">
        <f>J1236-I1236</f>
        <v>0</v>
      </c>
      <c r="L1236" s="2" t="str">
        <v>NHẬP</v>
      </c>
      <c r="M1236" s="2" t="str"/>
      <c r="N1236" s="2" t="str">
        <v>KHAC</v>
      </c>
    </row>
    <row r="1237" ht="25" customHeight="1">
      <c r="A1237" s="2" t="str">
        <v>S1398</v>
      </c>
      <c r="B1237" s="2" t="str">
        <v>KH024</v>
      </c>
      <c r="C1237" s="2" t="str">
        <v>KH024</v>
      </c>
      <c r="D1237" s="2" t="str">
        <v>S2-01398-VC</v>
      </c>
      <c r="E1237" s="2" t="str">
        <v>PHI_VAN_CHUYEN</v>
      </c>
      <c r="F1237" s="2" t="str"/>
      <c r="G1237" s="2" t="str">
        <v>2026-08-27</v>
      </c>
      <c r="H1237" s="2" t="str">
        <v>400000</v>
      </c>
      <c r="I1237" s="28" t="n">
        <v>400000</v>
      </c>
      <c r="J1237" s="7" t="n">
        <v>400000</v>
      </c>
      <c r="K1237" s="28" t="n">
        <f>J1237-I1237</f>
        <v>0</v>
      </c>
      <c r="L1237" s="2" t="str">
        <v>NHẬP</v>
      </c>
      <c r="M1237" s="2" t="str"/>
      <c r="N1237" s="2" t="str">
        <v>KHAC</v>
      </c>
    </row>
    <row r="1238" ht="25" customHeight="1">
      <c r="A1238" s="2" t="str">
        <v>Q1399</v>
      </c>
      <c r="B1238" s="2" t="str">
        <v>KH011</v>
      </c>
      <c r="C1238" s="2" t="str">
        <v>KH011</v>
      </c>
      <c r="D1238" s="2" t="str">
        <v>S2-01399-BH</v>
      </c>
      <c r="E1238" s="2" t="str">
        <v>BAN_HANG</v>
      </c>
      <c r="F1238" s="2" t="str">
        <v>INP6901</v>
      </c>
      <c r="G1238" s="2" t="str">
        <v>2026-08-27</v>
      </c>
      <c r="H1238" s="2" t="str">
        <v>3719999.9952</v>
      </c>
      <c r="I1238" s="28" t="n">
        <v>3719999.9952</v>
      </c>
      <c r="J1238" s="7" t="n">
        <v>3720000</v>
      </c>
      <c r="K1238" s="28" t="n">
        <f>J1238-I1238</f>
        <v>0.004800000227987766</v>
      </c>
      <c r="L1238" s="2" t="str">
        <v>NHẬP</v>
      </c>
      <c r="M1238" s="2" t="str"/>
      <c r="N1238" s="2" t="str">
        <v>KHAC</v>
      </c>
    </row>
    <row r="1239" ht="25" customHeight="1">
      <c r="A1239" s="2" t="str">
        <v>Q1400</v>
      </c>
      <c r="B1239" s="2" t="str">
        <v>KH011</v>
      </c>
      <c r="C1239" s="2" t="str">
        <v>KH011</v>
      </c>
      <c r="D1239" s="2" t="str">
        <v>S2-01399-BH</v>
      </c>
      <c r="E1239" s="2" t="str">
        <v>BAN_HANG</v>
      </c>
      <c r="F1239" s="2" t="str">
        <v>INP6902</v>
      </c>
      <c r="G1239" s="2" t="str">
        <v>2026-08-27</v>
      </c>
      <c r="H1239" s="2" t="str">
        <v>8799999.948</v>
      </c>
      <c r="I1239" s="28" t="n">
        <v>8799999.948</v>
      </c>
      <c r="J1239" s="7" t="n">
        <v>8800000</v>
      </c>
      <c r="K1239" s="28" t="n">
        <f>J1239-I1239</f>
        <v>0.05199999921023846</v>
      </c>
      <c r="L1239" s="2" t="str">
        <v>NHẬP</v>
      </c>
      <c r="M1239" s="2" t="str"/>
      <c r="N1239" s="2" t="str">
        <v>KHAC</v>
      </c>
    </row>
    <row r="1240" ht="25" customHeight="1">
      <c r="A1240" s="2" t="str">
        <v>Q1401</v>
      </c>
      <c r="B1240" s="2" t="str">
        <v>KH011</v>
      </c>
      <c r="C1240" s="2" t="str">
        <v>KH011</v>
      </c>
      <c r="D1240" s="2" t="str">
        <v>S2-01399-BH</v>
      </c>
      <c r="E1240" s="2" t="str">
        <v>BAN_HANG</v>
      </c>
      <c r="F1240" s="2" t="str">
        <v>INP1401</v>
      </c>
      <c r="G1240" s="2" t="str">
        <v>2026-08-27</v>
      </c>
      <c r="H1240" s="2" t="str">
        <v>1779999.9912</v>
      </c>
      <c r="I1240" s="28" t="n">
        <v>1779999.9912</v>
      </c>
      <c r="J1240" s="7" t="n">
        <v>1780000</v>
      </c>
      <c r="K1240" s="28" t="n">
        <f>J1240-I1240</f>
        <v>0.008799999952316284</v>
      </c>
      <c r="L1240" s="2" t="str">
        <v>NHẬP</v>
      </c>
      <c r="M1240" s="2" t="str"/>
      <c r="N1240" s="2" t="str">
        <v>KHAC</v>
      </c>
    </row>
    <row r="1241" ht="25" customHeight="1">
      <c r="A1241" s="2" t="str">
        <v>Q1402</v>
      </c>
      <c r="B1241" s="2" t="str">
        <v>KH011</v>
      </c>
      <c r="C1241" s="2" t="str">
        <v>KH011</v>
      </c>
      <c r="D1241" s="2" t="str">
        <v>S2-01399-BH</v>
      </c>
      <c r="E1241" s="2" t="str">
        <v>BAN_HANG</v>
      </c>
      <c r="F1241" s="2" t="str">
        <v>INP1003</v>
      </c>
      <c r="G1241" s="2" t="str">
        <v>2026-08-27</v>
      </c>
      <c r="H1241" s="2" t="str">
        <v>4199999.9472</v>
      </c>
      <c r="I1241" s="28" t="n">
        <v>4199999.9472</v>
      </c>
      <c r="J1241" s="7" t="n">
        <v>4200000</v>
      </c>
      <c r="K1241" s="28" t="n">
        <f>J1241-I1241</f>
        <v>0.052799999713897705</v>
      </c>
      <c r="L1241" s="2" t="str">
        <v>NHẬP</v>
      </c>
      <c r="M1241" s="2" t="str"/>
      <c r="N1241" s="2" t="str">
        <v>KHAC</v>
      </c>
    </row>
    <row r="1242" ht="25" customHeight="1">
      <c r="A1242" s="2" t="str">
        <v>Q1403</v>
      </c>
      <c r="B1242" s="2" t="str">
        <v>KH011</v>
      </c>
      <c r="C1242" s="2" t="str">
        <v>KH011</v>
      </c>
      <c r="D1242" s="2" t="str">
        <v>S2-01399-BH</v>
      </c>
      <c r="E1242" s="2" t="str">
        <v>BAN_HANG</v>
      </c>
      <c r="F1242" s="2" t="str">
        <v>INP2002</v>
      </c>
      <c r="G1242" s="2" t="str">
        <v>2026-08-27</v>
      </c>
      <c r="H1242" s="2" t="str">
        <v>3679999.992</v>
      </c>
      <c r="I1242" s="28" t="n">
        <v>3679999.992</v>
      </c>
      <c r="J1242" s="7" t="n">
        <v>3680000</v>
      </c>
      <c r="K1242" s="28" t="n">
        <f>J1242-I1242</f>
        <v>0.007999999914318323</v>
      </c>
      <c r="L1242" s="2" t="str">
        <v>NHẬP</v>
      </c>
      <c r="M1242" s="2" t="str"/>
      <c r="N1242" s="2" t="str">
        <v>KHAC</v>
      </c>
    </row>
    <row r="1243" ht="25" customHeight="1">
      <c r="A1243" s="2" t="str">
        <v>Q1404</v>
      </c>
      <c r="B1243" s="2" t="str">
        <v>KH011</v>
      </c>
      <c r="C1243" s="2" t="str">
        <v>KH011</v>
      </c>
      <c r="D1243" s="2" t="str">
        <v>S2-01399-BH</v>
      </c>
      <c r="E1243" s="2" t="str">
        <v>BAN_HANG</v>
      </c>
      <c r="F1243" s="2" t="str">
        <v>INP2109</v>
      </c>
      <c r="G1243" s="2" t="str">
        <v>2026-08-27</v>
      </c>
      <c r="H1243" s="2" t="str">
        <v>2599999.992</v>
      </c>
      <c r="I1243" s="28" t="n">
        <v>2599999.992</v>
      </c>
      <c r="J1243" s="7" t="n">
        <v>2600000</v>
      </c>
      <c r="K1243" s="28" t="n">
        <f>J1243-I1243</f>
        <v>0.007999999914318323</v>
      </c>
      <c r="L1243" s="2" t="str">
        <v>NHẬP</v>
      </c>
      <c r="M1243" s="2" t="str"/>
      <c r="N1243" s="2" t="str">
        <v>KHAC</v>
      </c>
    </row>
    <row r="1244" ht="25" customHeight="1">
      <c r="A1244" s="2" t="str">
        <v>Q1405</v>
      </c>
      <c r="B1244" s="2" t="str">
        <v>KH011</v>
      </c>
      <c r="C1244" s="2" t="str">
        <v>KH011</v>
      </c>
      <c r="D1244" s="2" t="str">
        <v>S2-01399-BH</v>
      </c>
      <c r="E1244" s="2" t="str">
        <v>BAN_HANG</v>
      </c>
      <c r="F1244" s="2" t="str">
        <v>INP6202</v>
      </c>
      <c r="G1244" s="2" t="str">
        <v>2026-08-27</v>
      </c>
      <c r="H1244" s="2" t="str">
        <v>7040000.088</v>
      </c>
      <c r="I1244" s="28" t="n">
        <v>7040000.088</v>
      </c>
      <c r="J1244" s="7" t="n">
        <v>7040000</v>
      </c>
      <c r="K1244" s="28" t="n">
        <f>J1244-I1244</f>
        <v>-0.08800000045448542</v>
      </c>
      <c r="L1244" s="2" t="str">
        <v>NHẬP</v>
      </c>
      <c r="M1244" s="2" t="str"/>
      <c r="N1244" s="2" t="str">
        <v>KHAC</v>
      </c>
    </row>
    <row r="1245" ht="25" customHeight="1">
      <c r="A1245" s="2" t="str">
        <v>Q1406</v>
      </c>
      <c r="B1245" s="2" t="str">
        <v>KH011</v>
      </c>
      <c r="C1245" s="2" t="str">
        <v>KH011</v>
      </c>
      <c r="D1245" s="2" t="str">
        <v>S2-01399-BH</v>
      </c>
      <c r="E1245" s="2" t="str">
        <v>BAN_HANG</v>
      </c>
      <c r="F1245" s="2" t="str">
        <v>INP6203</v>
      </c>
      <c r="G1245" s="2" t="str">
        <v>2026-08-27</v>
      </c>
      <c r="H1245" s="2" t="str">
        <v>7539999.912</v>
      </c>
      <c r="I1245" s="28" t="n">
        <v>7539999.912</v>
      </c>
      <c r="J1245" s="7" t="n">
        <v>7540000</v>
      </c>
      <c r="K1245" s="28" t="n">
        <f>J1245-I1245</f>
        <v>0.08800000045448542</v>
      </c>
      <c r="L1245" s="2" t="str">
        <v>NHẬP</v>
      </c>
      <c r="M1245" s="2" t="str"/>
      <c r="N1245" s="2" t="str">
        <v>KHAC</v>
      </c>
    </row>
    <row r="1246" ht="25" customHeight="1">
      <c r="A1246" s="2" t="str">
        <v>Q1407</v>
      </c>
      <c r="B1246" s="2" t="str">
        <v>KH011</v>
      </c>
      <c r="C1246" s="2" t="str">
        <v>KH011</v>
      </c>
      <c r="D1246" s="2" t="str">
        <v>S2-01399-BH</v>
      </c>
      <c r="E1246" s="2" t="str">
        <v>BAN_HANG</v>
      </c>
      <c r="F1246" s="2" t="str">
        <v>INP6204</v>
      </c>
      <c r="G1246" s="2" t="str">
        <v>2026-08-27</v>
      </c>
      <c r="H1246" s="2" t="str">
        <v>6140000.016</v>
      </c>
      <c r="I1246" s="28" t="n">
        <v>6140000.016</v>
      </c>
      <c r="J1246" s="7" t="n">
        <v>6140000</v>
      </c>
      <c r="K1246" s="28" t="n">
        <f>J1246-I1246</f>
        <v>-0.015999999828636646</v>
      </c>
      <c r="L1246" s="2" t="str">
        <v>NHẬP</v>
      </c>
      <c r="M1246" s="2" t="str"/>
      <c r="N1246" s="2" t="str">
        <v>KHAC</v>
      </c>
    </row>
    <row r="1247" ht="25" customHeight="1">
      <c r="A1247" s="2" t="str">
        <v>Q1408</v>
      </c>
      <c r="B1247" s="2" t="str">
        <v>KH011</v>
      </c>
      <c r="C1247" s="2" t="str">
        <v>KH011</v>
      </c>
      <c r="D1247" s="2" t="str">
        <v>S2-01399-BH</v>
      </c>
      <c r="E1247" s="2" t="str">
        <v>BAN_HANG</v>
      </c>
      <c r="F1247" s="2" t="str">
        <v>INP2301</v>
      </c>
      <c r="G1247" s="2" t="str">
        <v>2026-08-27</v>
      </c>
      <c r="H1247" s="2" t="str">
        <v>1350000.0108</v>
      </c>
      <c r="I1247" s="28" t="n">
        <v>1350000.0108</v>
      </c>
      <c r="J1247" s="7" t="n">
        <v>1350000</v>
      </c>
      <c r="K1247" s="28" t="n">
        <f>J1247-I1247</f>
        <v>-0.010800000047311187</v>
      </c>
      <c r="L1247" s="2" t="str">
        <v>NHẬP</v>
      </c>
      <c r="M1247" s="2" t="str"/>
      <c r="N1247" s="2" t="str">
        <v>KHAC</v>
      </c>
    </row>
    <row r="1248" ht="25" customHeight="1">
      <c r="A1248" s="2" t="str">
        <v>Q1409</v>
      </c>
      <c r="B1248" s="2" t="str">
        <v>KH011</v>
      </c>
      <c r="C1248" s="2" t="str">
        <v>KH011</v>
      </c>
      <c r="D1248" s="2" t="str">
        <v>S2-01399-BH</v>
      </c>
      <c r="E1248" s="2" t="str">
        <v>BAN_HANG</v>
      </c>
      <c r="F1248" s="2" t="str">
        <v>INP3004</v>
      </c>
      <c r="G1248" s="2" t="str">
        <v>2026-08-27</v>
      </c>
      <c r="H1248" s="2" t="str">
        <v>773999.9928</v>
      </c>
      <c r="I1248" s="28" t="n">
        <v>773999.9928</v>
      </c>
      <c r="J1248" s="7" t="n">
        <v>774000</v>
      </c>
      <c r="K1248" s="28" t="n">
        <f>J1248-I1248</f>
        <v>0.007199999992735684</v>
      </c>
      <c r="L1248" s="2" t="str">
        <v>NHẬP</v>
      </c>
      <c r="M1248" s="2" t="str"/>
      <c r="N1248" s="2" t="str">
        <v>KHAC</v>
      </c>
    </row>
    <row r="1249" ht="25" customHeight="1">
      <c r="A1249" s="2" t="str">
        <v>Q1410</v>
      </c>
      <c r="B1249" s="2" t="str">
        <v>KH011</v>
      </c>
      <c r="C1249" s="2" t="str">
        <v>KH011</v>
      </c>
      <c r="D1249" s="2" t="str">
        <v>S2-01399-BH</v>
      </c>
      <c r="E1249" s="2" t="str">
        <v>BAN_HANG</v>
      </c>
      <c r="F1249" s="2" t="str">
        <v>INP3005</v>
      </c>
      <c r="G1249" s="2" t="str">
        <v>2026-08-27</v>
      </c>
      <c r="H1249" s="2" t="str">
        <v>1720000.008</v>
      </c>
      <c r="I1249" s="28" t="n">
        <v>1720000.008</v>
      </c>
      <c r="J1249" s="7" t="n">
        <v>1720000</v>
      </c>
      <c r="K1249" s="28" t="n">
        <f>J1249-I1249</f>
        <v>-0.007999999914318323</v>
      </c>
      <c r="L1249" s="2" t="str">
        <v>NHẬP</v>
      </c>
      <c r="M1249" s="2" t="str"/>
      <c r="N1249" s="2" t="str">
        <v>KHAC</v>
      </c>
    </row>
    <row r="1250" ht="25" customHeight="1">
      <c r="A1250" s="2" t="str">
        <v>Q1411</v>
      </c>
      <c r="B1250" s="2" t="str">
        <v>KH011</v>
      </c>
      <c r="C1250" s="2" t="str">
        <v>KH011</v>
      </c>
      <c r="D1250" s="2" t="str">
        <v>S2-01399-BH</v>
      </c>
      <c r="E1250" s="2" t="str">
        <v>BAN_HANG</v>
      </c>
      <c r="F1250" s="2" t="str">
        <v>INP3201</v>
      </c>
      <c r="G1250" s="2" t="str">
        <v>2026-08-27</v>
      </c>
      <c r="H1250" s="2" t="str">
        <v>519999.9984</v>
      </c>
      <c r="I1250" s="28" t="n">
        <v>519999.9984</v>
      </c>
      <c r="J1250" s="7" t="n">
        <v>520000</v>
      </c>
      <c r="K1250" s="28" t="n">
        <f>J1250-I1250</f>
        <v>0.0016000000177882612</v>
      </c>
      <c r="L1250" s="2" t="str">
        <v>NHẬP</v>
      </c>
      <c r="M1250" s="2" t="str"/>
      <c r="N1250" s="2" t="str">
        <v>KHAC</v>
      </c>
    </row>
    <row r="1251" ht="25" customHeight="1">
      <c r="A1251" s="2" t="str">
        <v>Q1412</v>
      </c>
      <c r="B1251" s="2" t="str">
        <v>KH011</v>
      </c>
      <c r="C1251" s="2" t="str">
        <v>KH011</v>
      </c>
      <c r="D1251" s="2" t="str">
        <v>S2-01399-BH</v>
      </c>
      <c r="E1251" s="2" t="str">
        <v>BAN_HANG</v>
      </c>
      <c r="F1251" s="2" t="str">
        <v>INP3202</v>
      </c>
      <c r="G1251" s="2" t="str">
        <v>2026-08-27</v>
      </c>
      <c r="H1251" s="2" t="str">
        <v>739999.9944</v>
      </c>
      <c r="I1251" s="28" t="n">
        <v>739999.9944</v>
      </c>
      <c r="J1251" s="7" t="n">
        <v>740000</v>
      </c>
      <c r="K1251" s="28" t="n">
        <f>J1251-I1251</f>
        <v>0.005600000033155084</v>
      </c>
      <c r="L1251" s="2" t="str">
        <v>NHẬP</v>
      </c>
      <c r="M1251" s="2" t="str"/>
      <c r="N1251" s="2" t="str">
        <v>KHAC</v>
      </c>
    </row>
    <row r="1252" ht="25" customHeight="1">
      <c r="A1252" s="2" t="str">
        <v>Q1413</v>
      </c>
      <c r="B1252" s="2" t="str">
        <v>KH011</v>
      </c>
      <c r="C1252" s="2" t="str">
        <v>KH011</v>
      </c>
      <c r="D1252" s="2" t="str">
        <v>S2-01399-BH</v>
      </c>
      <c r="E1252" s="2" t="str">
        <v>BAN_HANG</v>
      </c>
      <c r="F1252" s="2" t="str">
        <v>INP6701</v>
      </c>
      <c r="G1252" s="2" t="str">
        <v>2026-08-27</v>
      </c>
      <c r="H1252" s="2" t="str">
        <v>3304000.0224</v>
      </c>
      <c r="I1252" s="28" t="n">
        <v>3304000.0224</v>
      </c>
      <c r="J1252" s="7" t="n">
        <v>3304000</v>
      </c>
      <c r="K1252" s="28" t="n">
        <f>J1252-I1252</f>
        <v>-0.022400000132620335</v>
      </c>
      <c r="L1252" s="2" t="str">
        <v>NHẬP</v>
      </c>
      <c r="M1252" s="2" t="str"/>
      <c r="N1252" s="2" t="str">
        <v>KHAC</v>
      </c>
    </row>
    <row r="1253" ht="25" customHeight="1">
      <c r="A1253" s="2" t="str">
        <v>Q1417</v>
      </c>
      <c r="B1253" s="2" t="str">
        <v>KH088</v>
      </c>
      <c r="C1253" s="2" t="str">
        <v>KH088</v>
      </c>
      <c r="D1253" s="2" t="str">
        <v>S2-01417-BH</v>
      </c>
      <c r="E1253" s="2" t="str">
        <v>BAN_HANG</v>
      </c>
      <c r="F1253" s="2" t="str">
        <v>INP6004</v>
      </c>
      <c r="G1253" s="2" t="str">
        <v>2026-08-27</v>
      </c>
      <c r="H1253" s="2" t="str">
        <v>8789999.958</v>
      </c>
      <c r="I1253" s="28" t="n">
        <v>8789999.958</v>
      </c>
      <c r="J1253" s="7" t="n">
        <v>8790000</v>
      </c>
      <c r="K1253" s="28" t="n">
        <f>J1253-I1253</f>
        <v>0.041999999433755875</v>
      </c>
      <c r="L1253" s="2" t="str">
        <v>NHẬP</v>
      </c>
      <c r="M1253" s="2" t="str"/>
      <c r="N1253" s="2" t="str">
        <v>KHAC</v>
      </c>
    </row>
    <row r="1254" ht="25" customHeight="1">
      <c r="A1254" s="2" t="str">
        <v>Q1418</v>
      </c>
      <c r="B1254" s="2" t="str">
        <v>KH088</v>
      </c>
      <c r="C1254" s="2" t="str">
        <v>KH088</v>
      </c>
      <c r="D1254" s="2" t="str">
        <v>S2-01417-BH</v>
      </c>
      <c r="E1254" s="2" t="str">
        <v>BAN_HANG</v>
      </c>
      <c r="F1254" s="2" t="str">
        <v>INP6005</v>
      </c>
      <c r="G1254" s="2" t="str">
        <v>2026-08-27</v>
      </c>
      <c r="H1254" s="2" t="str">
        <v>10439999.928</v>
      </c>
      <c r="I1254" s="28" t="n">
        <v>10439999.928</v>
      </c>
      <c r="J1254" s="7" t="n">
        <v>10440000</v>
      </c>
      <c r="K1254" s="28" t="n">
        <f>J1254-I1254</f>
        <v>0.07200000062584877</v>
      </c>
      <c r="L1254" s="2" t="str">
        <v>NHẬP</v>
      </c>
      <c r="M1254" s="2" t="str"/>
      <c r="N1254" s="2" t="str">
        <v>KHAC</v>
      </c>
    </row>
    <row r="1255" ht="25" customHeight="1">
      <c r="A1255" s="2" t="str">
        <v>Q1419</v>
      </c>
      <c r="B1255" s="2" t="str">
        <v>KH088</v>
      </c>
      <c r="C1255" s="2" t="str">
        <v>KH088</v>
      </c>
      <c r="D1255" s="2" t="str">
        <v>S2-01417-BH</v>
      </c>
      <c r="E1255" s="2" t="str">
        <v>BAN_HANG</v>
      </c>
      <c r="F1255" s="2" t="str">
        <v>INP6006</v>
      </c>
      <c r="G1255" s="2" t="str">
        <v>2026-08-27</v>
      </c>
      <c r="H1255" s="2" t="str">
        <v>8550000.036</v>
      </c>
      <c r="I1255" s="28" t="n">
        <v>8550000.036</v>
      </c>
      <c r="J1255" s="7" t="n">
        <v>8550000</v>
      </c>
      <c r="K1255" s="28" t="n">
        <f>J1255-I1255</f>
        <v>-0.036000000312924385</v>
      </c>
      <c r="L1255" s="2" t="str">
        <v>NHẬP</v>
      </c>
      <c r="M1255" s="2" t="str"/>
      <c r="N1255" s="2" t="str">
        <v>KHAC</v>
      </c>
    </row>
    <row r="1256" ht="25" customHeight="1">
      <c r="A1256" s="2" t="str">
        <v>Q1420</v>
      </c>
      <c r="B1256" s="2" t="str">
        <v>KH088</v>
      </c>
      <c r="C1256" s="2" t="str">
        <v>KH088</v>
      </c>
      <c r="D1256" s="2" t="str">
        <v>S2-01417-BH</v>
      </c>
      <c r="E1256" s="2" t="str">
        <v>BAN_HANG</v>
      </c>
      <c r="F1256" s="2" t="str">
        <v>INP6010</v>
      </c>
      <c r="G1256" s="2" t="str">
        <v>2026-08-27</v>
      </c>
      <c r="H1256" s="2" t="str">
        <v>7799999.976</v>
      </c>
      <c r="I1256" s="28" t="n">
        <v>7799999.976</v>
      </c>
      <c r="J1256" s="7" t="n">
        <v>7800000</v>
      </c>
      <c r="K1256" s="28" t="n">
        <f>J1256-I1256</f>
        <v>0.024000000208616257</v>
      </c>
      <c r="L1256" s="2" t="str">
        <v>NHẬP</v>
      </c>
      <c r="M1256" s="2" t="str"/>
      <c r="N1256" s="2" t="str">
        <v>KHAC</v>
      </c>
    </row>
    <row r="1257" ht="25" customHeight="1">
      <c r="A1257" s="2" t="str">
        <v>Q1421</v>
      </c>
      <c r="B1257" s="2" t="str">
        <v>KH088</v>
      </c>
      <c r="C1257" s="2" t="str">
        <v>KH088</v>
      </c>
      <c r="D1257" s="2" t="str">
        <v>S2-01417-BH</v>
      </c>
      <c r="E1257" s="2" t="str">
        <v>BAN_HANG</v>
      </c>
      <c r="F1257" s="2" t="str">
        <v>INP6011</v>
      </c>
      <c r="G1257" s="2" t="str">
        <v>2026-08-27</v>
      </c>
      <c r="H1257" s="2" t="str">
        <v>9299999.934</v>
      </c>
      <c r="I1257" s="28" t="n">
        <v>9299999.934</v>
      </c>
      <c r="J1257" s="7" t="n">
        <v>9300000</v>
      </c>
      <c r="K1257" s="28" t="n">
        <f>J1257-I1257</f>
        <v>0.06599999964237213</v>
      </c>
      <c r="L1257" s="2" t="str">
        <v>NHẬP</v>
      </c>
      <c r="M1257" s="2" t="str"/>
      <c r="N1257" s="2" t="str">
        <v>KHAC</v>
      </c>
    </row>
    <row r="1258" ht="25" customHeight="1">
      <c r="A1258" s="2" t="str">
        <v>Q1422</v>
      </c>
      <c r="B1258" s="2" t="str">
        <v>KH088</v>
      </c>
      <c r="C1258" s="2" t="str">
        <v>KH088</v>
      </c>
      <c r="D1258" s="2" t="str">
        <v>S2-01417-BH</v>
      </c>
      <c r="E1258" s="2" t="str">
        <v>BAN_HANG</v>
      </c>
      <c r="F1258" s="2" t="str">
        <v>INP1301A</v>
      </c>
      <c r="G1258" s="2" t="str">
        <v>2026-08-27</v>
      </c>
      <c r="H1258" s="2" t="str">
        <v>2549999.88</v>
      </c>
      <c r="I1258" s="28" t="n">
        <v>2549999.88</v>
      </c>
      <c r="J1258" s="7" t="n">
        <v>2549999</v>
      </c>
      <c r="K1258" s="28" t="n">
        <f>J1258-I1258</f>
        <v>-0.8799999998882413</v>
      </c>
      <c r="L1258" s="2" t="str">
        <v>NHẬP</v>
      </c>
      <c r="M1258" s="2" t="str"/>
      <c r="N1258" s="2" t="str">
        <v>KHAC</v>
      </c>
    </row>
    <row r="1259" ht="25" customHeight="1">
      <c r="A1259" s="2" t="str">
        <v>Q1423</v>
      </c>
      <c r="B1259" s="2" t="str">
        <v>KH088</v>
      </c>
      <c r="C1259" s="2" t="str">
        <v>KH088</v>
      </c>
      <c r="D1259" s="2" t="str">
        <v>S2-01417-BH</v>
      </c>
      <c r="E1259" s="2" t="str">
        <v>BAN_HANG</v>
      </c>
      <c r="F1259" s="2" t="str">
        <v>INP1301B</v>
      </c>
      <c r="G1259" s="2" t="str">
        <v>2026-08-27</v>
      </c>
      <c r="H1259" s="2" t="str">
        <v>3599999.964</v>
      </c>
      <c r="I1259" s="28" t="n">
        <v>3599999.964</v>
      </c>
      <c r="J1259" s="7" t="n">
        <v>3600000</v>
      </c>
      <c r="K1259" s="28" t="n">
        <f>J1259-I1259</f>
        <v>0.0359999998472631</v>
      </c>
      <c r="L1259" s="2" t="str">
        <v>NHẬP</v>
      </c>
      <c r="M1259" s="2" t="str"/>
      <c r="N1259" s="2" t="str">
        <v>KHAC</v>
      </c>
    </row>
    <row r="1260" ht="25" customHeight="1">
      <c r="A1260" s="2" t="str">
        <v>Q1424</v>
      </c>
      <c r="B1260" s="2" t="str">
        <v>KH088</v>
      </c>
      <c r="C1260" s="2" t="str">
        <v>KH088</v>
      </c>
      <c r="D1260" s="2" t="str">
        <v>S2-01417-BH</v>
      </c>
      <c r="E1260" s="2" t="str">
        <v>BAN_HANG</v>
      </c>
      <c r="F1260" s="2" t="str">
        <v>INP3002</v>
      </c>
      <c r="G1260" s="2" t="str">
        <v>2026-08-27</v>
      </c>
      <c r="H1260" s="2" t="str">
        <v>2459999.9808</v>
      </c>
      <c r="I1260" s="28" t="n">
        <v>2459999.9808</v>
      </c>
      <c r="J1260" s="7" t="n">
        <v>2460000</v>
      </c>
      <c r="K1260" s="28" t="n">
        <f>J1260-I1260</f>
        <v>0.01919999998062849</v>
      </c>
      <c r="L1260" s="2" t="str">
        <v>NHẬP</v>
      </c>
      <c r="M1260" s="2" t="str"/>
      <c r="N1260" s="2" t="str">
        <v>KHAC</v>
      </c>
    </row>
    <row r="1261" ht="25" customHeight="1">
      <c r="A1261" s="2" t="str">
        <v>Q1425</v>
      </c>
      <c r="B1261" s="2" t="str">
        <v>KH088</v>
      </c>
      <c r="C1261" s="2" t="str">
        <v>KH088</v>
      </c>
      <c r="D1261" s="2" t="str">
        <v>S2-01417-BH</v>
      </c>
      <c r="E1261" s="2" t="str">
        <v>BAN_HANG</v>
      </c>
      <c r="F1261" s="2" t="str">
        <v>INP3004</v>
      </c>
      <c r="G1261" s="2" t="str">
        <v>2026-08-27</v>
      </c>
      <c r="H1261" s="2" t="str">
        <v>1547999.9856</v>
      </c>
      <c r="I1261" s="28" t="n">
        <v>1547999.9856</v>
      </c>
      <c r="J1261" s="7" t="n">
        <v>1548000</v>
      </c>
      <c r="K1261" s="28" t="n">
        <f>J1261-I1261</f>
        <v>0.014399999985471368</v>
      </c>
      <c r="L1261" s="2" t="str">
        <v>NHẬP</v>
      </c>
      <c r="M1261" s="2" t="str"/>
      <c r="N1261" s="2" t="str">
        <v>KHAC</v>
      </c>
    </row>
    <row r="1262" ht="25" customHeight="1">
      <c r="A1262" s="2" t="str">
        <v>Q1426</v>
      </c>
      <c r="B1262" s="2" t="str">
        <v>KH088</v>
      </c>
      <c r="C1262" s="2" t="str">
        <v>KH088</v>
      </c>
      <c r="D1262" s="2" t="str">
        <v>S2-01417-BH</v>
      </c>
      <c r="E1262" s="2" t="str">
        <v>BAN_HANG</v>
      </c>
      <c r="F1262" s="2" t="str">
        <v>INP3005</v>
      </c>
      <c r="G1262" s="2" t="str">
        <v>2026-08-27</v>
      </c>
      <c r="H1262" s="2" t="str">
        <v>1720000.008</v>
      </c>
      <c r="I1262" s="28" t="n">
        <v>1720000.008</v>
      </c>
      <c r="J1262" s="7" t="n">
        <v>1720000</v>
      </c>
      <c r="K1262" s="28" t="n">
        <f>J1262-I1262</f>
        <v>-0.007999999914318323</v>
      </c>
      <c r="L1262" s="2" t="str">
        <v>NHẬP</v>
      </c>
      <c r="M1262" s="2" t="str"/>
      <c r="N1262" s="2" t="str">
        <v>KHAC</v>
      </c>
    </row>
    <row r="1263" ht="25" customHeight="1">
      <c r="A1263" s="2" t="str">
        <v>Q1427</v>
      </c>
      <c r="B1263" s="2" t="str">
        <v>KH088</v>
      </c>
      <c r="C1263" s="2" t="str">
        <v>KH088</v>
      </c>
      <c r="D1263" s="2" t="str">
        <v>S2-01417-BH</v>
      </c>
      <c r="E1263" s="2" t="str">
        <v>BAN_HANG</v>
      </c>
      <c r="F1263" s="2" t="str">
        <v>INP3201</v>
      </c>
      <c r="G1263" s="2" t="str">
        <v>2026-08-27</v>
      </c>
      <c r="H1263" s="2" t="str">
        <v>1559999.9952</v>
      </c>
      <c r="I1263" s="28" t="n">
        <v>1559999.9952</v>
      </c>
      <c r="J1263" s="7" t="n">
        <v>1560000</v>
      </c>
      <c r="K1263" s="28" t="n">
        <f>J1263-I1263</f>
        <v>0.004799999995157123</v>
      </c>
      <c r="L1263" s="2" t="str">
        <v>NHẬP</v>
      </c>
      <c r="M1263" s="2" t="str"/>
      <c r="N1263" s="2" t="str">
        <v>KHAC</v>
      </c>
    </row>
    <row r="1264" ht="25" customHeight="1">
      <c r="A1264" s="2" t="str">
        <v>Q1428</v>
      </c>
      <c r="B1264" s="2" t="str">
        <v>KH088</v>
      </c>
      <c r="C1264" s="2" t="str">
        <v>KH088</v>
      </c>
      <c r="D1264" s="2" t="str">
        <v>S2-01417-BH</v>
      </c>
      <c r="E1264" s="2" t="str">
        <v>BAN_HANG</v>
      </c>
      <c r="F1264" s="2" t="str">
        <v>INP3202</v>
      </c>
      <c r="G1264" s="2" t="str">
        <v>2026-08-27</v>
      </c>
      <c r="H1264" s="2" t="str">
        <v>2219999.9832</v>
      </c>
      <c r="I1264" s="28" t="n">
        <v>2219999.9832</v>
      </c>
      <c r="J1264" s="7" t="n">
        <v>2220000</v>
      </c>
      <c r="K1264" s="28" t="n">
        <f>J1264-I1264</f>
        <v>0.016799999866634607</v>
      </c>
      <c r="L1264" s="2" t="str">
        <v>NHẬP</v>
      </c>
      <c r="M1264" s="2" t="str"/>
      <c r="N1264" s="2" t="str">
        <v>KHAC</v>
      </c>
    </row>
    <row r="1265" ht="25" customHeight="1">
      <c r="A1265" s="2" t="str">
        <v>Q1429</v>
      </c>
      <c r="B1265" s="2" t="str">
        <v>KH088</v>
      </c>
      <c r="C1265" s="2" t="str">
        <v>KH088</v>
      </c>
      <c r="D1265" s="2" t="str">
        <v>S2-01417-BH</v>
      </c>
      <c r="E1265" s="2" t="str">
        <v>BAN_HANG</v>
      </c>
      <c r="F1265" s="2" t="str">
        <v>INP2101</v>
      </c>
      <c r="G1265" s="2" t="str">
        <v>2026-08-27</v>
      </c>
      <c r="H1265" s="2" t="str">
        <v>5060000.016</v>
      </c>
      <c r="I1265" s="28" t="n">
        <v>5060000.016</v>
      </c>
      <c r="J1265" s="7" t="n">
        <v>5060000</v>
      </c>
      <c r="K1265" s="28" t="n">
        <f>J1265-I1265</f>
        <v>-0.015999999828636646</v>
      </c>
      <c r="L1265" s="2" t="str">
        <v>NHẬP</v>
      </c>
      <c r="M1265" s="2" t="str"/>
      <c r="N1265" s="2" t="str">
        <v>KHAC</v>
      </c>
    </row>
    <row r="1266" ht="25" customHeight="1">
      <c r="A1266" s="2" t="str">
        <v>Q1430</v>
      </c>
      <c r="B1266" s="2" t="str">
        <v>KH088</v>
      </c>
      <c r="C1266" s="2" t="str">
        <v>KH088</v>
      </c>
      <c r="D1266" s="2" t="str">
        <v>S2-01417-BH</v>
      </c>
      <c r="E1266" s="2" t="str">
        <v>BAN_HANG</v>
      </c>
      <c r="F1266" s="2" t="str">
        <v>INP2102</v>
      </c>
      <c r="G1266" s="2" t="str">
        <v>2026-08-27</v>
      </c>
      <c r="H1266" s="2" t="str">
        <v>5539999.968</v>
      </c>
      <c r="I1266" s="28" t="n">
        <v>5539999.968</v>
      </c>
      <c r="J1266" s="7" t="n">
        <v>5540000</v>
      </c>
      <c r="K1266" s="28" t="n">
        <f>J1266-I1266</f>
        <v>0.03199999965727329</v>
      </c>
      <c r="L1266" s="2" t="str">
        <v>NHẬP</v>
      </c>
      <c r="M1266" s="2" t="str"/>
      <c r="N1266" s="2" t="str">
        <v>KHAC</v>
      </c>
    </row>
    <row r="1267" ht="25" customHeight="1">
      <c r="A1267" s="2" t="str">
        <v>Q1431</v>
      </c>
      <c r="B1267" s="2" t="str">
        <v>KH088</v>
      </c>
      <c r="C1267" s="2" t="str">
        <v>KH088</v>
      </c>
      <c r="D1267" s="2" t="str">
        <v>S2-01417-BH</v>
      </c>
      <c r="E1267" s="2" t="str">
        <v>BAN_HANG</v>
      </c>
      <c r="F1267" s="2" t="str">
        <v>INP2103</v>
      </c>
      <c r="G1267" s="2" t="str">
        <v>2026-08-27</v>
      </c>
      <c r="H1267" s="2" t="str">
        <v>6079999.968</v>
      </c>
      <c r="I1267" s="28" t="n">
        <v>6079999.968</v>
      </c>
      <c r="J1267" s="7" t="n">
        <v>6080000</v>
      </c>
      <c r="K1267" s="28" t="n">
        <f>J1267-I1267</f>
        <v>0.03199999965727329</v>
      </c>
      <c r="L1267" s="2" t="str">
        <v>NHẬP</v>
      </c>
      <c r="M1267" s="2" t="str"/>
      <c r="N1267" s="2" t="str">
        <v>KHAC</v>
      </c>
    </row>
    <row r="1268" ht="25" customHeight="1">
      <c r="A1268" s="2" t="str">
        <v>Q1432</v>
      </c>
      <c r="B1268" s="2" t="str">
        <v>KH088</v>
      </c>
      <c r="C1268" s="2" t="str">
        <v>KH088</v>
      </c>
      <c r="D1268" s="2" t="str">
        <v>S2-01417-BH</v>
      </c>
      <c r="E1268" s="2" t="str">
        <v>BAN_HANG</v>
      </c>
      <c r="F1268" s="2" t="str">
        <v>INP2104</v>
      </c>
      <c r="G1268" s="2" t="str">
        <v>2026-08-27</v>
      </c>
      <c r="H1268" s="2" t="str">
        <v>6440000.04</v>
      </c>
      <c r="I1268" s="28" t="n">
        <v>6440000.04</v>
      </c>
      <c r="J1268" s="7" t="n">
        <v>6440000</v>
      </c>
      <c r="K1268" s="28" t="n">
        <f>J1268-I1268</f>
        <v>-0.0400000000372529</v>
      </c>
      <c r="L1268" s="2" t="str">
        <v>NHẬP</v>
      </c>
      <c r="M1268" s="2" t="str"/>
      <c r="N1268" s="2" t="str">
        <v>KHAC</v>
      </c>
    </row>
    <row r="1269" ht="25" customHeight="1">
      <c r="A1269" s="2" t="str">
        <v>R1438</v>
      </c>
      <c r="B1269" s="2" t="str">
        <v>KH071</v>
      </c>
      <c r="C1269" s="2" t="str">
        <v>KH071</v>
      </c>
      <c r="D1269" s="2" t="str">
        <v>S2-01438-TT</v>
      </c>
      <c r="E1269" s="2" t="str">
        <v>THU_TIEN</v>
      </c>
      <c r="F1269" s="2" t="str"/>
      <c r="G1269" s="2" t="str">
        <v>2026-08-27</v>
      </c>
      <c r="H1269" s="2" t="str">
        <v>70000000</v>
      </c>
      <c r="I1269" s="28" t="n">
        <v>70000000</v>
      </c>
      <c r="J1269" s="7" t="n">
        <v>70000000</v>
      </c>
      <c r="K1269" s="28" t="n">
        <f>J1269-I1269</f>
        <v>0</v>
      </c>
      <c r="L1269" s="2" t="str">
        <v>NHẬP</v>
      </c>
      <c r="M1269" s="2" t="str"/>
      <c r="N1269" s="2" t="str">
        <v>KHAC</v>
      </c>
    </row>
    <row r="1270" ht="25" customHeight="1">
      <c r="A1270" s="2" t="str">
        <v>R1439</v>
      </c>
      <c r="B1270" s="2" t="str">
        <v>KH029</v>
      </c>
      <c r="C1270" s="2" t="str">
        <v>KH029</v>
      </c>
      <c r="D1270" s="2" t="str">
        <v>S2-01439-TT</v>
      </c>
      <c r="E1270" s="2" t="str">
        <v>THU_TIEN</v>
      </c>
      <c r="F1270" s="2" t="str"/>
      <c r="G1270" s="2" t="str">
        <v>2026-08-28</v>
      </c>
      <c r="H1270" s="2" t="str">
        <v>120000</v>
      </c>
      <c r="I1270" s="28" t="n">
        <v>120000</v>
      </c>
      <c r="J1270" s="7" t="n">
        <v>120000</v>
      </c>
      <c r="K1270" s="28" t="n">
        <f>J1270-I1270</f>
        <v>0</v>
      </c>
      <c r="L1270" s="2" t="str">
        <v>NHẬP</v>
      </c>
      <c r="M1270" s="2" t="str"/>
      <c r="N1270" s="2" t="str">
        <v>KHAC</v>
      </c>
    </row>
    <row r="1271" ht="25" customHeight="1">
      <c r="A1271" s="2" t="str">
        <v>Q1440</v>
      </c>
      <c r="B1271" s="2" t="str">
        <v>KH043</v>
      </c>
      <c r="C1271" s="2" t="str">
        <v>KH043</v>
      </c>
      <c r="D1271" s="2" t="str">
        <v>S2-01440-BH</v>
      </c>
      <c r="E1271" s="2" t="str">
        <v>BAN_HANG</v>
      </c>
      <c r="F1271" s="2" t="str">
        <v>INP6105</v>
      </c>
      <c r="G1271" s="2" t="str">
        <v>2026-08-28</v>
      </c>
      <c r="H1271" s="2" t="str">
        <v>779999.9976</v>
      </c>
      <c r="I1271" s="28" t="n">
        <v>779999.9976</v>
      </c>
      <c r="J1271" s="7" t="n">
        <v>780000</v>
      </c>
      <c r="K1271" s="28" t="n">
        <f>J1271-I1271</f>
        <v>0.0023999999975785613</v>
      </c>
      <c r="L1271" s="2" t="str">
        <v>NHẬP</v>
      </c>
      <c r="M1271" s="2" t="str"/>
      <c r="N1271" s="2" t="str">
        <v>KHAC</v>
      </c>
    </row>
    <row r="1272" ht="25" customHeight="1">
      <c r="A1272" s="2" t="str">
        <v>Q1442</v>
      </c>
      <c r="B1272" s="2" t="str">
        <v>KH084</v>
      </c>
      <c r="C1272" s="2" t="str">
        <v>KH084</v>
      </c>
      <c r="D1272" s="2" t="str">
        <v>S2-01442-BH</v>
      </c>
      <c r="E1272" s="2" t="str">
        <v>BAN_HANG</v>
      </c>
      <c r="F1272" s="2" t="str">
        <v>INP6009</v>
      </c>
      <c r="G1272" s="2" t="str">
        <v>2026-08-28</v>
      </c>
      <c r="H1272" s="2" t="str">
        <v>11249999.928</v>
      </c>
      <c r="I1272" s="28" t="n">
        <v>11249999.928</v>
      </c>
      <c r="J1272" s="7" t="n">
        <v>11250000</v>
      </c>
      <c r="K1272" s="28" t="n">
        <f>J1272-I1272</f>
        <v>0.07200000062584877</v>
      </c>
      <c r="L1272" s="2" t="str">
        <v>NHẬP</v>
      </c>
      <c r="M1272" s="2" t="str"/>
      <c r="N1272" s="2" t="str">
        <v>KHAC</v>
      </c>
    </row>
    <row r="1273" ht="25" customHeight="1">
      <c r="A1273" s="2" t="str">
        <v>Q1443</v>
      </c>
      <c r="B1273" s="2" t="str">
        <v>KH084</v>
      </c>
      <c r="C1273" s="2" t="str">
        <v>KH084</v>
      </c>
      <c r="D1273" s="2" t="str">
        <v>S2-01442-BH</v>
      </c>
      <c r="E1273" s="2" t="str">
        <v>BAN_HANG</v>
      </c>
      <c r="F1273" s="2" t="str">
        <v>INP6202</v>
      </c>
      <c r="G1273" s="2" t="str">
        <v>2026-08-28</v>
      </c>
      <c r="H1273" s="2" t="str">
        <v>4223999.9232</v>
      </c>
      <c r="I1273" s="28" t="n">
        <v>4223999.9232</v>
      </c>
      <c r="J1273" s="7" t="n">
        <v>4224000</v>
      </c>
      <c r="K1273" s="28" t="n">
        <f>J1273-I1273</f>
        <v>0.07679999992251396</v>
      </c>
      <c r="L1273" s="2" t="str">
        <v>NHẬP</v>
      </c>
      <c r="M1273" s="2" t="str"/>
      <c r="N1273" s="2" t="str">
        <v>KHAC</v>
      </c>
    </row>
    <row r="1274" ht="25" customHeight="1">
      <c r="A1274" s="2" t="str">
        <v>Q1444</v>
      </c>
      <c r="B1274" s="2" t="str">
        <v>KH084</v>
      </c>
      <c r="C1274" s="2" t="str">
        <v>KH084</v>
      </c>
      <c r="D1274" s="2" t="str">
        <v>S2-01442-BH</v>
      </c>
      <c r="E1274" s="2" t="str">
        <v>BAN_HANG</v>
      </c>
      <c r="F1274" s="2" t="str">
        <v>INP6602</v>
      </c>
      <c r="G1274" s="2" t="str">
        <v>2026-08-28</v>
      </c>
      <c r="H1274" s="2" t="str">
        <v>2939999.9976</v>
      </c>
      <c r="I1274" s="28" t="n">
        <v>2939999.9976</v>
      </c>
      <c r="J1274" s="7" t="n">
        <v>2940000</v>
      </c>
      <c r="K1274" s="28" t="n">
        <f>J1274-I1274</f>
        <v>0.002400000113993883</v>
      </c>
      <c r="L1274" s="2" t="str">
        <v>NHẬP</v>
      </c>
      <c r="M1274" s="2" t="str"/>
      <c r="N1274" s="2" t="str">
        <v>KHAC</v>
      </c>
    </row>
    <row r="1275" ht="25" customHeight="1">
      <c r="A1275" s="2" t="str">
        <v>Q1447</v>
      </c>
      <c r="B1275" s="2" t="str">
        <v>KH074</v>
      </c>
      <c r="C1275" s="2" t="str">
        <v>KH074</v>
      </c>
      <c r="D1275" s="2" t="str">
        <v>S2-01447-BH</v>
      </c>
      <c r="E1275" s="2" t="str">
        <v>BAN_HANG</v>
      </c>
      <c r="F1275" s="2" t="str">
        <v>INP6105</v>
      </c>
      <c r="G1275" s="2" t="str">
        <v>2026-08-28</v>
      </c>
      <c r="H1275" s="2" t="str">
        <v>21900000.132</v>
      </c>
      <c r="I1275" s="28" t="n">
        <v>21900000.132</v>
      </c>
      <c r="J1275" s="7" t="n">
        <v>21900000</v>
      </c>
      <c r="K1275" s="28" t="n">
        <f>J1275-I1275</f>
        <v>-0.13199999928474426</v>
      </c>
      <c r="L1275" s="2" t="str">
        <v>NHẬP</v>
      </c>
      <c r="M1275" s="2" t="str"/>
      <c r="N1275" s="2" t="str">
        <v>KHAC</v>
      </c>
    </row>
    <row r="1276" ht="25" customHeight="1">
      <c r="A1276" s="2" t="str">
        <v>Q1448</v>
      </c>
      <c r="B1276" s="2" t="str">
        <v>KH074</v>
      </c>
      <c r="C1276" s="2" t="str">
        <v>KH074</v>
      </c>
      <c r="D1276" s="2" t="str">
        <v>S2-01447-BH</v>
      </c>
      <c r="E1276" s="2" t="str">
        <v>BAN_HANG</v>
      </c>
      <c r="F1276" s="2" t="str">
        <v>INP6006</v>
      </c>
      <c r="G1276" s="2" t="str">
        <v>2026-08-28</v>
      </c>
      <c r="H1276" s="2" t="str">
        <v>8550000.036</v>
      </c>
      <c r="I1276" s="28" t="n">
        <v>8550000.036</v>
      </c>
      <c r="J1276" s="7" t="n">
        <v>8550000</v>
      </c>
      <c r="K1276" s="28" t="n">
        <f>J1276-I1276</f>
        <v>-0.036000000312924385</v>
      </c>
      <c r="L1276" s="2" t="str">
        <v>NHẬP</v>
      </c>
      <c r="M1276" s="2" t="str"/>
      <c r="N1276" s="2" t="str">
        <v>KHAC</v>
      </c>
    </row>
    <row r="1277" ht="25" customHeight="1">
      <c r="A1277" s="2" t="str">
        <v>Q1449</v>
      </c>
      <c r="B1277" s="2" t="str">
        <v>KH074</v>
      </c>
      <c r="C1277" s="2" t="str">
        <v>KH074</v>
      </c>
      <c r="D1277" s="2" t="str">
        <v>S2-01447-BH</v>
      </c>
      <c r="E1277" s="2" t="str">
        <v>BAN_HANG</v>
      </c>
      <c r="F1277" s="2" t="str">
        <v>INP6010</v>
      </c>
      <c r="G1277" s="2" t="str">
        <v>2026-08-28</v>
      </c>
      <c r="H1277" s="2" t="str">
        <v>7799999.976</v>
      </c>
      <c r="I1277" s="28" t="n">
        <v>7799999.976</v>
      </c>
      <c r="J1277" s="7" t="n">
        <v>7800000</v>
      </c>
      <c r="K1277" s="28" t="n">
        <f>J1277-I1277</f>
        <v>0.024000000208616257</v>
      </c>
      <c r="L1277" s="2" t="str">
        <v>NHẬP</v>
      </c>
      <c r="M1277" s="2" t="str"/>
      <c r="N1277" s="2" t="str">
        <v>KHAC</v>
      </c>
    </row>
    <row r="1278" ht="25" customHeight="1">
      <c r="A1278" s="2" t="str">
        <v>Q1450</v>
      </c>
      <c r="B1278" s="2" t="str">
        <v>KH074</v>
      </c>
      <c r="C1278" s="2" t="str">
        <v>KH074</v>
      </c>
      <c r="D1278" s="2" t="str">
        <v>S2-01447-BH</v>
      </c>
      <c r="E1278" s="2" t="str">
        <v>BAN_HANG</v>
      </c>
      <c r="F1278" s="2" t="str">
        <v>INP1301B</v>
      </c>
      <c r="G1278" s="2" t="str">
        <v>2026-08-28</v>
      </c>
      <c r="H1278" s="2" t="str">
        <v>2399999.976</v>
      </c>
      <c r="I1278" s="28" t="n">
        <v>2399999.976</v>
      </c>
      <c r="J1278" s="7" t="n">
        <v>2400000</v>
      </c>
      <c r="K1278" s="28" t="n">
        <f>J1278-I1278</f>
        <v>0.024000000208616257</v>
      </c>
      <c r="L1278" s="2" t="str">
        <v>NHẬP</v>
      </c>
      <c r="M1278" s="2" t="str"/>
      <c r="N1278" s="2" t="str">
        <v>KHAC</v>
      </c>
    </row>
    <row r="1279" ht="25" customHeight="1">
      <c r="A1279" s="2" t="str">
        <v>Q1454</v>
      </c>
      <c r="B1279" s="2" t="str">
        <v>KH055</v>
      </c>
      <c r="C1279" s="2" t="str">
        <v>KH055</v>
      </c>
      <c r="D1279" s="2" t="str">
        <v>S2-01454-BH</v>
      </c>
      <c r="E1279" s="2" t="str">
        <v>BAN_HANG</v>
      </c>
      <c r="F1279" s="2" t="str">
        <v>INP6104</v>
      </c>
      <c r="G1279" s="2" t="str">
        <v>2026-08-28</v>
      </c>
      <c r="H1279" s="2" t="str">
        <v>3264000.0084</v>
      </c>
      <c r="I1279" s="28" t="n">
        <v>3264000.0084</v>
      </c>
      <c r="J1279" s="7" t="n">
        <v>3264000</v>
      </c>
      <c r="K1279" s="28" t="n">
        <f>J1279-I1279</f>
        <v>-0.008400000166147947</v>
      </c>
      <c r="L1279" s="2" t="str">
        <v>NHẬP</v>
      </c>
      <c r="M1279" s="2" t="str"/>
      <c r="N1279" s="2" t="str">
        <v>KHAC</v>
      </c>
    </row>
    <row r="1280" ht="25" customHeight="1">
      <c r="A1280" s="2" t="str">
        <v>Q1456</v>
      </c>
      <c r="B1280" s="2" t="str">
        <v>KH055</v>
      </c>
      <c r="C1280" s="2" t="str">
        <v>KH055</v>
      </c>
      <c r="D1280" s="2" t="str">
        <v>S2-01454-BH</v>
      </c>
      <c r="E1280" s="2" t="str">
        <v>BAN_HANG</v>
      </c>
      <c r="F1280" s="2" t="str">
        <v>INP6105</v>
      </c>
      <c r="G1280" s="2" t="str">
        <v>2026-08-28</v>
      </c>
      <c r="H1280" s="2" t="str">
        <v>1559999.9952</v>
      </c>
      <c r="I1280" s="28" t="n">
        <v>1559999.9952</v>
      </c>
      <c r="J1280" s="7" t="n">
        <v>1560000</v>
      </c>
      <c r="K1280" s="28" t="n">
        <f>J1280-I1280</f>
        <v>0.004799999995157123</v>
      </c>
      <c r="L1280" s="2" t="str">
        <v>NHẬP</v>
      </c>
      <c r="M1280" s="2" t="str"/>
      <c r="N1280" s="2" t="str">
        <v>KHAC</v>
      </c>
    </row>
    <row r="1281" ht="25" customHeight="1">
      <c r="A1281" s="2" t="str">
        <v>Q1457</v>
      </c>
      <c r="B1281" s="2" t="str">
        <v>KH055</v>
      </c>
      <c r="C1281" s="2" t="str">
        <v>KH055</v>
      </c>
      <c r="D1281" s="2" t="str">
        <v>S2-01454-BH</v>
      </c>
      <c r="E1281" s="2" t="str">
        <v>BAN_HANG</v>
      </c>
      <c r="F1281" s="2" t="str">
        <v>INP7951</v>
      </c>
      <c r="G1281" s="2" t="str">
        <v>2026-08-28</v>
      </c>
      <c r="H1281" s="2" t="str">
        <v>899999.9856</v>
      </c>
      <c r="I1281" s="28" t="n">
        <v>899999.9856</v>
      </c>
      <c r="J1281" s="7" t="n">
        <v>900000</v>
      </c>
      <c r="K1281" s="28" t="n">
        <f>J1281-I1281</f>
        <v>0.014399999985471368</v>
      </c>
      <c r="L1281" s="2" t="str">
        <v>NHẬP</v>
      </c>
      <c r="M1281" s="2" t="str"/>
      <c r="N1281" s="2" t="str">
        <v>KHAC</v>
      </c>
    </row>
    <row r="1282" ht="25" customHeight="1">
      <c r="A1282" s="2" t="str">
        <v>Q1458</v>
      </c>
      <c r="B1282" s="2" t="str">
        <v>KH055</v>
      </c>
      <c r="C1282" s="2" t="str">
        <v>KH055</v>
      </c>
      <c r="D1282" s="2" t="str">
        <v>S2-01454-BH</v>
      </c>
      <c r="E1282" s="2" t="str">
        <v>BAN_HANG</v>
      </c>
      <c r="F1282" s="2" t="str">
        <v>INP7952</v>
      </c>
      <c r="G1282" s="2" t="str">
        <v>2026-08-28</v>
      </c>
      <c r="H1282" s="2" t="str">
        <v>691999.9992</v>
      </c>
      <c r="I1282" s="28" t="n">
        <v>691999.9992</v>
      </c>
      <c r="J1282" s="7" t="n">
        <v>692000</v>
      </c>
      <c r="K1282" s="28" t="n">
        <f>J1282-I1282</f>
        <v>0.000800000037997961</v>
      </c>
      <c r="L1282" s="2" t="str">
        <v>NHẬP</v>
      </c>
      <c r="M1282" s="2" t="str"/>
      <c r="N1282" s="2" t="str">
        <v>KHAC</v>
      </c>
    </row>
    <row r="1283" ht="25" customHeight="1">
      <c r="A1283" s="2" t="str">
        <v>Q1459</v>
      </c>
      <c r="B1283" s="2" t="str">
        <v>KH055</v>
      </c>
      <c r="C1283" s="2" t="str">
        <v>KH055</v>
      </c>
      <c r="D1283" s="2" t="str">
        <v>S2-01454-BH</v>
      </c>
      <c r="E1283" s="2" t="str">
        <v>BAN_HANG</v>
      </c>
      <c r="F1283" s="2" t="str">
        <v>INP7953</v>
      </c>
      <c r="G1283" s="2" t="str">
        <v>2026-08-28</v>
      </c>
      <c r="H1283" s="2" t="str">
        <v>560000.0016</v>
      </c>
      <c r="I1283" s="28" t="n">
        <v>560000.0016</v>
      </c>
      <c r="J1283" s="7" t="n">
        <v>560000</v>
      </c>
      <c r="K1283" s="28" t="n">
        <f>J1283-I1283</f>
        <v>-0.0015999999595806003</v>
      </c>
      <c r="L1283" s="2" t="str">
        <v>NHẬP</v>
      </c>
      <c r="M1283" s="2" t="str"/>
      <c r="N1283" s="2" t="str">
        <v>KHAC</v>
      </c>
    </row>
    <row r="1284" ht="25" customHeight="1">
      <c r="A1284" s="2" t="str">
        <v>Q1473</v>
      </c>
      <c r="B1284" s="2" t="str">
        <v>KH024</v>
      </c>
      <c r="C1284" s="2" t="str">
        <v>KH024</v>
      </c>
      <c r="D1284" s="2" t="str">
        <v>S2-01473-BH</v>
      </c>
      <c r="E1284" s="2" t="str">
        <v>BAN_HANG</v>
      </c>
      <c r="F1284" s="2" t="str">
        <v>INP1301B</v>
      </c>
      <c r="G1284" s="2" t="str">
        <v>2026-08-28</v>
      </c>
      <c r="H1284" s="2" t="str">
        <v>11999999.88</v>
      </c>
      <c r="I1284" s="28" t="n">
        <v>11999999.88</v>
      </c>
      <c r="J1284" s="7" t="n">
        <v>12000000</v>
      </c>
      <c r="K1284" s="28" t="n">
        <f>J1284-I1284</f>
        <v>0.11999999918043613</v>
      </c>
      <c r="L1284" s="2" t="str">
        <v>NHẬP</v>
      </c>
      <c r="M1284" s="2" t="str"/>
      <c r="N1284" s="2" t="str">
        <v>KHAC</v>
      </c>
    </row>
    <row r="1285" ht="25" customHeight="1">
      <c r="A1285" s="2" t="str">
        <v>R1474</v>
      </c>
      <c r="B1285" s="2" t="str">
        <v>KH058</v>
      </c>
      <c r="C1285" s="2" t="str">
        <v>KH058</v>
      </c>
      <c r="D1285" s="2" t="str">
        <v>S2-01474-TT</v>
      </c>
      <c r="E1285" s="2" t="str">
        <v>THU_TIEN</v>
      </c>
      <c r="F1285" s="2" t="str"/>
      <c r="G1285" s="2" t="str">
        <v>2026-08-28</v>
      </c>
      <c r="H1285" s="2" t="str">
        <v>50000000</v>
      </c>
      <c r="I1285" s="28" t="n">
        <v>50000000</v>
      </c>
      <c r="J1285" s="7" t="n">
        <v>50000000</v>
      </c>
      <c r="K1285" s="28" t="n">
        <f>J1285-I1285</f>
        <v>0</v>
      </c>
      <c r="L1285" s="2" t="str">
        <v>NHẬP</v>
      </c>
      <c r="M1285" s="2" t="str"/>
      <c r="N1285" s="2" t="str">
        <v>KHAC</v>
      </c>
    </row>
    <row r="1286" ht="25" customHeight="1">
      <c r="A1286" s="2" t="str">
        <v>R1475</v>
      </c>
      <c r="B1286" s="2" t="str">
        <v>KH089</v>
      </c>
      <c r="C1286" s="2" t="str">
        <v>NV000014</v>
      </c>
      <c r="D1286" s="2" t="str">
        <v>S2-01475-TT</v>
      </c>
      <c r="E1286" s="2" t="str">
        <v>THU_TIEN</v>
      </c>
      <c r="F1286" s="2" t="str"/>
      <c r="G1286" s="2" t="str">
        <v>2026-08-29</v>
      </c>
      <c r="H1286" s="2" t="str">
        <v>430000</v>
      </c>
      <c r="I1286" s="28" t="n">
        <v>430000</v>
      </c>
      <c r="J1286" s="7" t="n">
        <v>430000</v>
      </c>
      <c r="K1286" s="28" t="n">
        <f>J1286-I1286</f>
        <v>0</v>
      </c>
      <c r="L1286" s="2" t="str">
        <v>NHẬP</v>
      </c>
      <c r="M1286" s="2" t="str"/>
      <c r="N1286" s="2" t="str">
        <v>KHAC</v>
      </c>
    </row>
    <row r="1287" ht="25" customHeight="1">
      <c r="A1287" s="2" t="str">
        <v>S1476</v>
      </c>
      <c r="B1287" s="2" t="str">
        <v>KH074</v>
      </c>
      <c r="C1287" s="2" t="str">
        <v>KH074</v>
      </c>
      <c r="D1287" s="2" t="str">
        <v>S2-01476-VC</v>
      </c>
      <c r="E1287" s="2" t="str">
        <v>PHI_VAN_CHUYEN</v>
      </c>
      <c r="F1287" s="2" t="str"/>
      <c r="G1287" s="2" t="str">
        <v>2026-08-29</v>
      </c>
      <c r="H1287" s="2" t="str">
        <v>600000</v>
      </c>
      <c r="I1287" s="28" t="n">
        <v>600000</v>
      </c>
      <c r="J1287" s="7" t="n">
        <v>600000</v>
      </c>
      <c r="K1287" s="28" t="n">
        <f>J1287-I1287</f>
        <v>0</v>
      </c>
      <c r="L1287" s="2" t="str">
        <v>NHẬP</v>
      </c>
      <c r="M1287" s="2" t="str"/>
      <c r="N1287" s="2" t="str">
        <v>KHAC</v>
      </c>
    </row>
    <row r="1288" ht="25" customHeight="1">
      <c r="A1288" s="2" t="str">
        <v>R1477</v>
      </c>
      <c r="B1288" s="2" t="str">
        <v>KH074</v>
      </c>
      <c r="C1288" s="2" t="str">
        <v>KH074</v>
      </c>
      <c r="D1288" s="2" t="str">
        <v>S2-01477-TT</v>
      </c>
      <c r="E1288" s="2" t="str">
        <v>THU_TIEN</v>
      </c>
      <c r="F1288" s="2" t="str"/>
      <c r="G1288" s="2" t="str">
        <v>2026-08-29</v>
      </c>
      <c r="H1288" s="2" t="str">
        <v>50000000</v>
      </c>
      <c r="I1288" s="28" t="n">
        <v>50000000</v>
      </c>
      <c r="J1288" s="7" t="n">
        <v>50000000</v>
      </c>
      <c r="K1288" s="28" t="n">
        <f>J1288-I1288</f>
        <v>0</v>
      </c>
      <c r="L1288" s="2" t="str">
        <v>NHẬP</v>
      </c>
      <c r="M1288" s="2" t="str"/>
      <c r="N1288" s="2" t="str">
        <v>KHAC</v>
      </c>
    </row>
    <row r="1289" ht="25" customHeight="1">
      <c r="A1289" s="2" t="str">
        <v>Q1511</v>
      </c>
      <c r="B1289" s="2" t="str">
        <v>KH091</v>
      </c>
      <c r="C1289" s="2" t="str">
        <v>KH091</v>
      </c>
      <c r="D1289" s="2" t="str">
        <v>S2-01511-BH</v>
      </c>
      <c r="E1289" s="2" t="str">
        <v>BAN_HANG</v>
      </c>
      <c r="F1289" s="2" t="str">
        <v>INP1003</v>
      </c>
      <c r="G1289" s="2" t="str">
        <v>2026-08-29</v>
      </c>
      <c r="H1289" s="2" t="str">
        <v>4319999.9568</v>
      </c>
      <c r="I1289" s="28" t="n">
        <v>4319999.9568</v>
      </c>
      <c r="J1289" s="7" t="n">
        <v>4320000</v>
      </c>
      <c r="K1289" s="28" t="n">
        <f>J1289-I1289</f>
        <v>0.04320000018924475</v>
      </c>
      <c r="L1289" s="2" t="str">
        <v>NHẬP</v>
      </c>
      <c r="M1289" s="2" t="str"/>
      <c r="N1289" s="2" t="str">
        <v>KHAC</v>
      </c>
    </row>
    <row r="1290" ht="25" customHeight="1">
      <c r="A1290" s="2" t="str">
        <v>Q1512</v>
      </c>
      <c r="B1290" s="2" t="str">
        <v>KH091</v>
      </c>
      <c r="C1290" s="2" t="str">
        <v>KH091</v>
      </c>
      <c r="D1290" s="2" t="str">
        <v>S2-01511-BH</v>
      </c>
      <c r="E1290" s="2" t="str">
        <v>BAN_HANG</v>
      </c>
      <c r="F1290" s="2" t="str">
        <v>INP6004</v>
      </c>
      <c r="G1290" s="2" t="str">
        <v>2026-08-29</v>
      </c>
      <c r="H1290" s="2" t="str">
        <v>8700000.048</v>
      </c>
      <c r="I1290" s="28" t="n">
        <v>8700000.048</v>
      </c>
      <c r="J1290" s="7" t="n">
        <v>8700000</v>
      </c>
      <c r="K1290" s="28" t="n">
        <f>J1290-I1290</f>
        <v>-0.04800000041723251</v>
      </c>
      <c r="L1290" s="2" t="str">
        <v>NHẬP</v>
      </c>
      <c r="M1290" s="2" t="str"/>
      <c r="N1290" s="2" t="str">
        <v>KHAC</v>
      </c>
    </row>
    <row r="1291" ht="25" customHeight="1">
      <c r="A1291" s="2" t="str">
        <v>Q1513</v>
      </c>
      <c r="B1291" s="2" t="str">
        <v>KH091</v>
      </c>
      <c r="C1291" s="2" t="str">
        <v>KH091</v>
      </c>
      <c r="D1291" s="2" t="str">
        <v>S2-01511-BH</v>
      </c>
      <c r="E1291" s="2" t="str">
        <v>BAN_HANG</v>
      </c>
      <c r="F1291" s="2" t="str">
        <v>INP6005</v>
      </c>
      <c r="G1291" s="2" t="str">
        <v>2026-08-29</v>
      </c>
      <c r="H1291" s="2" t="str">
        <v>10350000.018</v>
      </c>
      <c r="I1291" s="28" t="n">
        <v>10350000.018</v>
      </c>
      <c r="J1291" s="7" t="n">
        <v>10350000</v>
      </c>
      <c r="K1291" s="28" t="n">
        <f>J1291-I1291</f>
        <v>-0.017999999225139618</v>
      </c>
      <c r="L1291" s="2" t="str">
        <v>NHẬP</v>
      </c>
      <c r="M1291" s="2" t="str"/>
      <c r="N1291" s="2" t="str">
        <v>KHAC</v>
      </c>
    </row>
    <row r="1292" ht="25" customHeight="1">
      <c r="A1292" s="2" t="str">
        <v>Q1514</v>
      </c>
      <c r="B1292" s="2" t="str">
        <v>KH091</v>
      </c>
      <c r="C1292" s="2" t="str">
        <v>KH091</v>
      </c>
      <c r="D1292" s="2" t="str">
        <v>S2-01511-BH</v>
      </c>
      <c r="E1292" s="2" t="str">
        <v>BAN_HANG</v>
      </c>
      <c r="F1292" s="2" t="str">
        <v>INP6006</v>
      </c>
      <c r="G1292" s="2" t="str">
        <v>2026-08-29</v>
      </c>
      <c r="H1292" s="2" t="str">
        <v>8550000.036</v>
      </c>
      <c r="I1292" s="28" t="n">
        <v>8550000.036</v>
      </c>
      <c r="J1292" s="7" t="n">
        <v>8550000</v>
      </c>
      <c r="K1292" s="28" t="n">
        <f>J1292-I1292</f>
        <v>-0.036000000312924385</v>
      </c>
      <c r="L1292" s="2" t="str">
        <v>NHẬP</v>
      </c>
      <c r="M1292" s="2" t="str"/>
      <c r="N1292" s="2" t="str">
        <v>KHAC</v>
      </c>
    </row>
    <row r="1293" ht="25" customHeight="1">
      <c r="A1293" s="2" t="str">
        <v>Q1515</v>
      </c>
      <c r="B1293" s="2" t="str">
        <v>KH091</v>
      </c>
      <c r="C1293" s="2" t="str">
        <v>KH091</v>
      </c>
      <c r="D1293" s="2" t="str">
        <v>S2-01511-BH</v>
      </c>
      <c r="E1293" s="2" t="str">
        <v>BAN_HANG</v>
      </c>
      <c r="F1293" s="2" t="str">
        <v>INP6010</v>
      </c>
      <c r="G1293" s="2" t="str">
        <v>2026-08-29</v>
      </c>
      <c r="H1293" s="2" t="str">
        <v>7799999.976</v>
      </c>
      <c r="I1293" s="28" t="n">
        <v>7799999.976</v>
      </c>
      <c r="J1293" s="7" t="n">
        <v>7800000</v>
      </c>
      <c r="K1293" s="28" t="n">
        <f>J1293-I1293</f>
        <v>0.024000000208616257</v>
      </c>
      <c r="L1293" s="2" t="str">
        <v>NHẬP</v>
      </c>
      <c r="M1293" s="2" t="str"/>
      <c r="N1293" s="2" t="str">
        <v>KHAC</v>
      </c>
    </row>
    <row r="1294" ht="25" customHeight="1">
      <c r="A1294" s="2" t="str">
        <v>Q1516</v>
      </c>
      <c r="B1294" s="2" t="str">
        <v>KH091</v>
      </c>
      <c r="C1294" s="2" t="str">
        <v>KH091</v>
      </c>
      <c r="D1294" s="2" t="str">
        <v>S2-01511-BH</v>
      </c>
      <c r="E1294" s="2" t="str">
        <v>BAN_HANG</v>
      </c>
      <c r="F1294" s="2" t="str">
        <v>INP6011</v>
      </c>
      <c r="G1294" s="2" t="str">
        <v>2026-08-29</v>
      </c>
      <c r="H1294" s="2" t="str">
        <v>9299999.934</v>
      </c>
      <c r="I1294" s="28" t="n">
        <v>9299999.934</v>
      </c>
      <c r="J1294" s="7" t="n">
        <v>9300000</v>
      </c>
      <c r="K1294" s="28" t="n">
        <f>J1294-I1294</f>
        <v>0.06599999964237213</v>
      </c>
      <c r="L1294" s="2" t="str">
        <v>NHẬP</v>
      </c>
      <c r="M1294" s="2" t="str"/>
      <c r="N1294" s="2" t="str">
        <v>KHAC</v>
      </c>
    </row>
    <row r="1295" ht="25" customHeight="1">
      <c r="A1295" s="2" t="str">
        <v>Q1517</v>
      </c>
      <c r="B1295" s="2" t="str">
        <v>KH091</v>
      </c>
      <c r="C1295" s="2" t="str">
        <v>KH091</v>
      </c>
      <c r="D1295" s="2" t="str">
        <v>S2-01511-BH</v>
      </c>
      <c r="E1295" s="2" t="str">
        <v>BAN_HANG</v>
      </c>
      <c r="F1295" s="2" t="str">
        <v>INP6701</v>
      </c>
      <c r="G1295" s="2" t="str">
        <v>2026-08-29</v>
      </c>
      <c r="H1295" s="2" t="str">
        <v>6608000.0448</v>
      </c>
      <c r="I1295" s="28" t="n">
        <v>6608000.0448</v>
      </c>
      <c r="J1295" s="7" t="n">
        <v>6608000</v>
      </c>
      <c r="K1295" s="28" t="n">
        <f>J1295-I1295</f>
        <v>-0.04480000026524067</v>
      </c>
      <c r="L1295" s="2" t="str">
        <v>NHẬP</v>
      </c>
      <c r="M1295" s="2" t="str"/>
      <c r="N1295" s="2" t="str">
        <v>KHAC</v>
      </c>
    </row>
    <row r="1296" ht="25" customHeight="1">
      <c r="A1296" s="2" t="str">
        <v>Q1518</v>
      </c>
      <c r="B1296" s="2" t="str">
        <v>KH091</v>
      </c>
      <c r="C1296" s="2" t="str">
        <v>KH091</v>
      </c>
      <c r="D1296" s="2" t="str">
        <v>S2-01511-BH</v>
      </c>
      <c r="E1296" s="2" t="str">
        <v>BAN_HANG</v>
      </c>
      <c r="F1296" s="2" t="str">
        <v>INP7901</v>
      </c>
      <c r="G1296" s="2" t="str">
        <v>2026-08-29</v>
      </c>
      <c r="H1296" s="2" t="str">
        <v>2999999.808</v>
      </c>
      <c r="I1296" s="28" t="n">
        <v>2999999.808</v>
      </c>
      <c r="J1296" s="7" t="n">
        <v>3000000</v>
      </c>
      <c r="K1296" s="28" t="n">
        <f>J1296-I1296</f>
        <v>0.1919999998062849</v>
      </c>
      <c r="L1296" s="2" t="str">
        <v>NHẬP</v>
      </c>
      <c r="M1296" s="2" t="str"/>
      <c r="N1296" s="2" t="str">
        <v>VOT_MUOI</v>
      </c>
    </row>
    <row r="1297" ht="25" customHeight="1">
      <c r="A1297" s="2" t="str">
        <v>Q1519</v>
      </c>
      <c r="B1297" s="2" t="str">
        <v>KH091</v>
      </c>
      <c r="C1297" s="2" t="str">
        <v>KH091</v>
      </c>
      <c r="D1297" s="2" t="str">
        <v>S2-01511-BH</v>
      </c>
      <c r="E1297" s="2" t="str">
        <v>BAN_HANG</v>
      </c>
      <c r="F1297" s="2" t="str">
        <v>INP7902</v>
      </c>
      <c r="G1297" s="2" t="str">
        <v>2026-08-29</v>
      </c>
      <c r="H1297" s="2" t="str">
        <v>4199999.904</v>
      </c>
      <c r="I1297" s="28" t="n">
        <v>4199999.904</v>
      </c>
      <c r="J1297" s="7" t="n">
        <v>4200000</v>
      </c>
      <c r="K1297" s="28" t="n">
        <f>J1297-I1297</f>
        <v>0.09599999990314245</v>
      </c>
      <c r="L1297" s="2" t="str">
        <v>NHẬP</v>
      </c>
      <c r="M1297" s="2" t="str"/>
      <c r="N1297" s="2" t="str">
        <v>VOT_MUOI</v>
      </c>
    </row>
    <row r="1298" ht="25" customHeight="1">
      <c r="A1298" s="2" t="str">
        <v>Q1544</v>
      </c>
      <c r="B1298" s="2" t="str">
        <v>KH015</v>
      </c>
      <c r="C1298" s="2" t="str">
        <v>KH015</v>
      </c>
      <c r="D1298" s="2" t="str">
        <v>S2-01544-BH</v>
      </c>
      <c r="E1298" s="2" t="str">
        <v>BAN_HANG</v>
      </c>
      <c r="F1298" s="2" t="str">
        <v>INP3201</v>
      </c>
      <c r="G1298" s="2" t="str">
        <v>2026-09-03</v>
      </c>
      <c r="H1298" s="2" t="str">
        <v>1039999.9968</v>
      </c>
      <c r="I1298" s="28" t="n">
        <v>1039999.9968</v>
      </c>
      <c r="J1298" s="7" t="n">
        <v>1040000</v>
      </c>
      <c r="K1298" s="28" t="n">
        <f>J1298-I1298</f>
        <v>0.0032000000355765224</v>
      </c>
      <c r="L1298" s="2" t="str">
        <v>NHẬP</v>
      </c>
      <c r="M1298" s="2" t="str"/>
      <c r="N1298" s="2" t="str">
        <v>KHAC</v>
      </c>
    </row>
    <row r="1299" ht="25" customHeight="1">
      <c r="A1299" s="2" t="str">
        <v>Q1545</v>
      </c>
      <c r="B1299" s="2" t="str">
        <v>KH015</v>
      </c>
      <c r="C1299" s="2" t="str">
        <v>KH015</v>
      </c>
      <c r="D1299" s="2" t="str">
        <v>S2-01544-BH</v>
      </c>
      <c r="E1299" s="2" t="str">
        <v>BAN_HANG</v>
      </c>
      <c r="F1299" s="2" t="str">
        <v>INP3202</v>
      </c>
      <c r="G1299" s="2" t="str">
        <v>2026-09-03</v>
      </c>
      <c r="H1299" s="2" t="str">
        <v>1479999.9888</v>
      </c>
      <c r="I1299" s="28" t="n">
        <v>1479999.9888</v>
      </c>
      <c r="J1299" s="7" t="n">
        <v>1480000</v>
      </c>
      <c r="K1299" s="28" t="n">
        <f>J1299-I1299</f>
        <v>0.011200000066310167</v>
      </c>
      <c r="L1299" s="2" t="str">
        <v>NHẬP</v>
      </c>
      <c r="M1299" s="2" t="str"/>
      <c r="N1299" s="2" t="str">
        <v>KHAC</v>
      </c>
    </row>
    <row r="1300" ht="25" customHeight="1">
      <c r="A1300" s="2" t="str">
        <v>Q1546</v>
      </c>
      <c r="B1300" s="2" t="str">
        <v>KH015</v>
      </c>
      <c r="C1300" s="2" t="str">
        <v>KH015</v>
      </c>
      <c r="D1300" s="2" t="str">
        <v>S2-01544-BH</v>
      </c>
      <c r="E1300" s="2" t="str">
        <v>BAN_HANG</v>
      </c>
      <c r="F1300" s="2" t="str">
        <v>INP3001</v>
      </c>
      <c r="G1300" s="2" t="str">
        <v>2026-09-03</v>
      </c>
      <c r="H1300" s="2" t="str">
        <v>2479999.9824</v>
      </c>
      <c r="I1300" s="28" t="n">
        <v>2479999.9824</v>
      </c>
      <c r="J1300" s="7" t="n">
        <v>2480000</v>
      </c>
      <c r="K1300" s="28" t="n">
        <f>J1300-I1300</f>
        <v>0.01759999990463257</v>
      </c>
      <c r="L1300" s="2" t="str">
        <v>NHẬP</v>
      </c>
      <c r="M1300" s="2" t="str"/>
      <c r="N1300" s="2" t="str">
        <v>KHAC</v>
      </c>
    </row>
    <row r="1301" ht="25" customHeight="1">
      <c r="A1301" s="2" t="str">
        <v>Q1547</v>
      </c>
      <c r="B1301" s="2" t="str">
        <v>KH015</v>
      </c>
      <c r="C1301" s="2" t="str">
        <v>KH015</v>
      </c>
      <c r="D1301" s="2" t="str">
        <v>S2-01544-BH</v>
      </c>
      <c r="E1301" s="2" t="str">
        <v>BAN_HANG</v>
      </c>
      <c r="F1301" s="2" t="str">
        <v>INP3002</v>
      </c>
      <c r="G1301" s="2" t="str">
        <v>2026-09-03</v>
      </c>
      <c r="H1301" s="2" t="str">
        <v>10260000.0432</v>
      </c>
      <c r="I1301" s="28" t="n">
        <v>10260000.0432</v>
      </c>
      <c r="J1301" s="7" t="n">
        <v>10260000</v>
      </c>
      <c r="K1301" s="28" t="n">
        <f>J1301-I1301</f>
        <v>-0.04319999925792217</v>
      </c>
      <c r="L1301" s="2" t="str">
        <v>NHẬP</v>
      </c>
      <c r="M1301" s="2" t="str"/>
      <c r="N1301" s="2" t="str">
        <v>KHAC</v>
      </c>
    </row>
    <row r="1302" ht="25" customHeight="1">
      <c r="A1302" s="2" t="str">
        <v>Q1548</v>
      </c>
      <c r="B1302" s="2" t="str">
        <v>KH015</v>
      </c>
      <c r="C1302" s="2" t="str">
        <v>KH015</v>
      </c>
      <c r="D1302" s="2" t="str">
        <v>S2-01544-BH</v>
      </c>
      <c r="E1302" s="2" t="str">
        <v>BAN_HANG</v>
      </c>
      <c r="F1302" s="2" t="str">
        <v>INP3003</v>
      </c>
      <c r="G1302" s="2" t="str">
        <v>2026-09-03</v>
      </c>
      <c r="H1302" s="2" t="str">
        <v>2320000.0128</v>
      </c>
      <c r="I1302" s="28" t="n">
        <v>2320000.0128</v>
      </c>
      <c r="J1302" s="7" t="n">
        <v>2320000</v>
      </c>
      <c r="K1302" s="28" t="n">
        <f>J1302-I1302</f>
        <v>-0.01280000014230609</v>
      </c>
      <c r="L1302" s="2" t="str">
        <v>NHẬP</v>
      </c>
      <c r="M1302" s="2" t="str"/>
      <c r="N1302" s="2" t="str">
        <v>KHAC</v>
      </c>
    </row>
    <row r="1303" ht="25" customHeight="1">
      <c r="A1303" s="2" t="str">
        <v>Q1549</v>
      </c>
      <c r="B1303" s="2" t="str">
        <v>KH015</v>
      </c>
      <c r="C1303" s="2" t="str">
        <v>KH015</v>
      </c>
      <c r="D1303" s="2" t="str">
        <v>S2-01544-BH</v>
      </c>
      <c r="E1303" s="2" t="str">
        <v>BAN_HANG</v>
      </c>
      <c r="F1303" s="2" t="str">
        <v>INP3004</v>
      </c>
      <c r="G1303" s="2" t="str">
        <v>2026-09-03</v>
      </c>
      <c r="H1303" s="2" t="str">
        <v>3840000.048</v>
      </c>
      <c r="I1303" s="28" t="n">
        <v>3840000.048</v>
      </c>
      <c r="J1303" s="7" t="n">
        <v>3840000</v>
      </c>
      <c r="K1303" s="28" t="n">
        <f>J1303-I1303</f>
        <v>-0.047999999951571226</v>
      </c>
      <c r="L1303" s="2" t="str">
        <v>NHẬP</v>
      </c>
      <c r="M1303" s="2" t="str"/>
      <c r="N1303" s="2" t="str">
        <v>KHAC</v>
      </c>
    </row>
    <row r="1304" ht="25" customHeight="1">
      <c r="A1304" s="2" t="str">
        <v>Q1550</v>
      </c>
      <c r="B1304" s="2" t="str">
        <v>KH015</v>
      </c>
      <c r="C1304" s="2" t="str">
        <v>KH015</v>
      </c>
      <c r="D1304" s="2" t="str">
        <v>S2-01544-BH</v>
      </c>
      <c r="E1304" s="2" t="str">
        <v>BAN_HANG</v>
      </c>
      <c r="F1304" s="2" t="str">
        <v>INP3005</v>
      </c>
      <c r="G1304" s="2" t="str">
        <v>2026-09-03</v>
      </c>
      <c r="H1304" s="2" t="str">
        <v>2879999.9712</v>
      </c>
      <c r="I1304" s="28" t="n">
        <v>2879999.9712</v>
      </c>
      <c r="J1304" s="7" t="n">
        <v>2880000</v>
      </c>
      <c r="K1304" s="28" t="n">
        <f>J1304-I1304</f>
        <v>0.028799999970942736</v>
      </c>
      <c r="L1304" s="2" t="str">
        <v>NHẬP</v>
      </c>
      <c r="M1304" s="2" t="str"/>
      <c r="N1304" s="2" t="str">
        <v>KHAC</v>
      </c>
    </row>
    <row r="1305" ht="25" customHeight="1">
      <c r="A1305" s="2" t="str">
        <v>Q1551</v>
      </c>
      <c r="B1305" s="2" t="str">
        <v>KH015</v>
      </c>
      <c r="C1305" s="2" t="str">
        <v>KH015</v>
      </c>
      <c r="D1305" s="2" t="str">
        <v>S2-01544-BH</v>
      </c>
      <c r="E1305" s="2" t="str">
        <v>BAN_HANG</v>
      </c>
      <c r="F1305" s="2" t="str">
        <v>INP1203</v>
      </c>
      <c r="G1305" s="2" t="str">
        <v>2026-09-03</v>
      </c>
      <c r="H1305" s="2" t="str">
        <v>5280000.0336</v>
      </c>
      <c r="I1305" s="28" t="n">
        <v>5280000.0336</v>
      </c>
      <c r="J1305" s="7" t="n">
        <v>5280000</v>
      </c>
      <c r="K1305" s="28" t="n">
        <f>J1305-I1305</f>
        <v>-0.033599999733269215</v>
      </c>
      <c r="L1305" s="2" t="str">
        <v>NHẬP</v>
      </c>
      <c r="M1305" s="2" t="str"/>
      <c r="N1305" s="2" t="str">
        <v>KHAC</v>
      </c>
    </row>
    <row r="1306" ht="25" customHeight="1">
      <c r="A1306" s="2" t="str">
        <v>R1552</v>
      </c>
      <c r="B1306" s="2" t="str">
        <v>KH068</v>
      </c>
      <c r="C1306" s="2" t="str">
        <v>KH068</v>
      </c>
      <c r="D1306" s="2" t="str">
        <v>S2-01552-TT</v>
      </c>
      <c r="E1306" s="2" t="str">
        <v>THU_TIEN</v>
      </c>
      <c r="F1306" s="2" t="str"/>
      <c r="G1306" s="2" t="str">
        <v>2026-08-31</v>
      </c>
      <c r="H1306" s="2" t="str">
        <v>50000000</v>
      </c>
      <c r="I1306" s="28" t="n">
        <v>50000000</v>
      </c>
      <c r="J1306" s="7" t="n">
        <v>50000000</v>
      </c>
      <c r="K1306" s="28" t="n">
        <f>J1306-I1306</f>
        <v>0</v>
      </c>
      <c r="L1306" s="2" t="str">
        <v>NHẬP</v>
      </c>
      <c r="M1306" s="2" t="str"/>
      <c r="N1306" s="2" t="str">
        <v>KHAC</v>
      </c>
    </row>
    <row r="1307" ht="25" customHeight="1">
      <c r="A1307" s="2" t="str">
        <v>Q1553</v>
      </c>
      <c r="B1307" s="2" t="str">
        <v>KH068</v>
      </c>
      <c r="C1307" s="2" t="str">
        <v>KH068</v>
      </c>
      <c r="D1307" s="2" t="str">
        <v>S2-01553-BH</v>
      </c>
      <c r="E1307" s="2" t="str">
        <v>BAN_HANG</v>
      </c>
      <c r="F1307" s="2" t="str">
        <v>INP6102</v>
      </c>
      <c r="G1307" s="2" t="str">
        <v>2026-09-03</v>
      </c>
      <c r="H1307" s="2" t="str">
        <v>24311999.9232</v>
      </c>
      <c r="I1307" s="28" t="n">
        <v>24311999.9232</v>
      </c>
      <c r="J1307" s="7" t="n">
        <v>24312000</v>
      </c>
      <c r="K1307" s="28" t="n">
        <f>J1307-I1307</f>
        <v>0.07679999992251396</v>
      </c>
      <c r="L1307" s="2" t="str">
        <v>NHẬP</v>
      </c>
      <c r="M1307" s="2" t="str"/>
      <c r="N1307" s="2" t="str">
        <v>KHAC</v>
      </c>
    </row>
    <row r="1308" ht="25" customHeight="1">
      <c r="A1308" s="2" t="str">
        <v>Q1554</v>
      </c>
      <c r="B1308" s="2" t="str">
        <v>KH068</v>
      </c>
      <c r="C1308" s="2" t="str">
        <v>KH068</v>
      </c>
      <c r="D1308" s="2" t="str">
        <v>S2-01553-BH</v>
      </c>
      <c r="E1308" s="2" t="str">
        <v>BAN_HANG</v>
      </c>
      <c r="F1308" s="2" t="str">
        <v>INP6105</v>
      </c>
      <c r="G1308" s="2" t="str">
        <v>2026-09-03</v>
      </c>
      <c r="H1308" s="2" t="str">
        <v>17520000.1056</v>
      </c>
      <c r="I1308" s="28" t="n">
        <v>17520000.1056</v>
      </c>
      <c r="J1308" s="7" t="n">
        <v>17520000</v>
      </c>
      <c r="K1308" s="28" t="n">
        <f>J1308-I1308</f>
        <v>-0.10559999942779541</v>
      </c>
      <c r="L1308" s="2" t="str">
        <v>NHẬP</v>
      </c>
      <c r="M1308" s="2" t="str"/>
      <c r="N1308" s="2" t="str">
        <v>KHAC</v>
      </c>
    </row>
    <row r="1309" ht="25" customHeight="1">
      <c r="A1309" s="2" t="str">
        <v>Q1555</v>
      </c>
      <c r="B1309" s="2" t="str">
        <v>KH068</v>
      </c>
      <c r="C1309" s="2" t="str">
        <v>KH068</v>
      </c>
      <c r="D1309" s="2" t="str">
        <v>S2-01553-BH</v>
      </c>
      <c r="E1309" s="2" t="str">
        <v>BAN_HANG</v>
      </c>
      <c r="F1309" s="2" t="str">
        <v>INP6902</v>
      </c>
      <c r="G1309" s="2" t="str">
        <v>2026-09-03</v>
      </c>
      <c r="H1309" s="2" t="str">
        <v>17599999.896</v>
      </c>
      <c r="I1309" s="28" t="n">
        <v>17599999.896</v>
      </c>
      <c r="J1309" s="7" t="n">
        <v>17600000</v>
      </c>
      <c r="K1309" s="28" t="n">
        <f>J1309-I1309</f>
        <v>0.10399999842047691</v>
      </c>
      <c r="L1309" s="2" t="str">
        <v>NHẬP</v>
      </c>
      <c r="M1309" s="2" t="str"/>
      <c r="N1309" s="2" t="str">
        <v>KHAC</v>
      </c>
    </row>
    <row r="1310" ht="25" customHeight="1">
      <c r="A1310" s="2" t="str">
        <v>Q1556</v>
      </c>
      <c r="B1310" s="2" t="str">
        <v>KH068</v>
      </c>
      <c r="C1310" s="2" t="str">
        <v>KH068</v>
      </c>
      <c r="D1310" s="2" t="str">
        <v>S2-01553-BH</v>
      </c>
      <c r="E1310" s="2" t="str">
        <v>BAN_HANG</v>
      </c>
      <c r="F1310" s="2" t="str">
        <v>INP6010</v>
      </c>
      <c r="G1310" s="2" t="str">
        <v>2026-09-03</v>
      </c>
      <c r="H1310" s="2" t="str">
        <v>23399999.928</v>
      </c>
      <c r="I1310" s="28" t="n">
        <v>23399999.928</v>
      </c>
      <c r="J1310" s="7" t="n">
        <v>23400000</v>
      </c>
      <c r="K1310" s="28" t="n">
        <f>J1310-I1310</f>
        <v>0.07200000062584877</v>
      </c>
      <c r="L1310" s="2" t="str">
        <v>NHẬP</v>
      </c>
      <c r="M1310" s="2" t="str"/>
      <c r="N1310" s="2" t="str">
        <v>KHAC</v>
      </c>
    </row>
    <row r="1311" ht="25" customHeight="1">
      <c r="A1311" s="2" t="str">
        <v>Q1557</v>
      </c>
      <c r="B1311" s="2" t="str">
        <v>KH068</v>
      </c>
      <c r="C1311" s="2" t="str">
        <v>KH068</v>
      </c>
      <c r="D1311" s="2" t="str">
        <v>S2-01553-BH</v>
      </c>
      <c r="E1311" s="2" t="str">
        <v>BAN_HANG</v>
      </c>
      <c r="F1311" s="2" t="str">
        <v>INP6011</v>
      </c>
      <c r="G1311" s="2" t="str">
        <v>2026-09-03</v>
      </c>
      <c r="H1311" s="2" t="str">
        <v>9299999.934</v>
      </c>
      <c r="I1311" s="28" t="n">
        <v>9299999.934</v>
      </c>
      <c r="J1311" s="7" t="n">
        <v>9300000</v>
      </c>
      <c r="K1311" s="28" t="n">
        <f>J1311-I1311</f>
        <v>0.06599999964237213</v>
      </c>
      <c r="L1311" s="2" t="str">
        <v>NHẬP</v>
      </c>
      <c r="M1311" s="2" t="str"/>
      <c r="N1311" s="2" t="str">
        <v>KHAC</v>
      </c>
    </row>
    <row r="1312" ht="25" customHeight="1">
      <c r="A1312" s="2" t="str">
        <v>Q1562</v>
      </c>
      <c r="B1312" s="2" t="str">
        <v>KH012</v>
      </c>
      <c r="C1312" s="2" t="str">
        <v>KH012</v>
      </c>
      <c r="D1312" s="2" t="str">
        <v>S2-01562-BH</v>
      </c>
      <c r="E1312" s="2" t="str">
        <v>BAN_HANG</v>
      </c>
      <c r="F1312" s="2" t="str">
        <v>INP1001</v>
      </c>
      <c r="G1312" s="2" t="str">
        <v>2026-09-04</v>
      </c>
      <c r="H1312" s="2" t="str">
        <v>5190000.048</v>
      </c>
      <c r="I1312" s="28" t="n">
        <v>5190000.048</v>
      </c>
      <c r="J1312" s="7" t="n">
        <v>5190000</v>
      </c>
      <c r="K1312" s="28" t="n">
        <f>J1312-I1312</f>
        <v>-0.04800000041723251</v>
      </c>
      <c r="L1312" s="2" t="str">
        <v>NHẬP</v>
      </c>
      <c r="M1312" s="2" t="str"/>
      <c r="N1312" s="2" t="str">
        <v>KHAC</v>
      </c>
    </row>
    <row r="1313" ht="25" customHeight="1">
      <c r="A1313" s="2" t="str">
        <v>Q1563</v>
      </c>
      <c r="B1313" s="2" t="str">
        <v>KH012</v>
      </c>
      <c r="C1313" s="2" t="str">
        <v>KH012</v>
      </c>
      <c r="D1313" s="2" t="str">
        <v>S2-01562-BH</v>
      </c>
      <c r="E1313" s="2" t="str">
        <v>BAN_HANG</v>
      </c>
      <c r="F1313" s="2" t="str">
        <v>INP1003</v>
      </c>
      <c r="G1313" s="2" t="str">
        <v>2026-09-04</v>
      </c>
      <c r="H1313" s="2" t="str">
        <v>6999999.912</v>
      </c>
      <c r="I1313" s="28" t="n">
        <v>6999999.912</v>
      </c>
      <c r="J1313" s="7" t="n">
        <v>7000000</v>
      </c>
      <c r="K1313" s="28" t="n">
        <f>J1313-I1313</f>
        <v>0.08800000045448542</v>
      </c>
      <c r="L1313" s="2" t="str">
        <v>NHẬP</v>
      </c>
      <c r="M1313" s="2" t="str"/>
      <c r="N1313" s="2" t="str">
        <v>KHAC</v>
      </c>
    </row>
    <row r="1314" ht="25" customHeight="1">
      <c r="A1314" s="2" t="str">
        <v>Q1564</v>
      </c>
      <c r="B1314" s="2" t="str">
        <v>KH012</v>
      </c>
      <c r="C1314" s="2" t="str">
        <v>KH012</v>
      </c>
      <c r="D1314" s="2" t="str">
        <v>S2-01562-BH</v>
      </c>
      <c r="E1314" s="2" t="str">
        <v>BAN_HANG</v>
      </c>
      <c r="F1314" s="2" t="str">
        <v>INP1101</v>
      </c>
      <c r="G1314" s="2" t="str">
        <v>2026-09-04</v>
      </c>
      <c r="H1314" s="2" t="str">
        <v>5219999.964</v>
      </c>
      <c r="I1314" s="28" t="n">
        <v>5219999.964</v>
      </c>
      <c r="J1314" s="7" t="n">
        <v>5220000</v>
      </c>
      <c r="K1314" s="28" t="n">
        <f>J1314-I1314</f>
        <v>0.036000000312924385</v>
      </c>
      <c r="L1314" s="2" t="str">
        <v>NHẬP</v>
      </c>
      <c r="M1314" s="2" t="str"/>
      <c r="N1314" s="2" t="str">
        <v>KHAC</v>
      </c>
    </row>
    <row r="1315" ht="25" customHeight="1">
      <c r="A1315" s="2" t="str">
        <v>Q1565</v>
      </c>
      <c r="B1315" s="2" t="str">
        <v>KH012</v>
      </c>
      <c r="C1315" s="2" t="str">
        <v>KH012</v>
      </c>
      <c r="D1315" s="2" t="str">
        <v>S2-01562-BH</v>
      </c>
      <c r="E1315" s="2" t="str">
        <v>BAN_HANG</v>
      </c>
      <c r="F1315" s="2" t="str">
        <v>INP1403</v>
      </c>
      <c r="G1315" s="2" t="str">
        <v>2026-09-04</v>
      </c>
      <c r="H1315" s="2" t="str">
        <v>2599999.992</v>
      </c>
      <c r="I1315" s="28" t="n">
        <v>2599999.992</v>
      </c>
      <c r="J1315" s="7" t="n">
        <v>2600000</v>
      </c>
      <c r="K1315" s="28" t="n">
        <f>J1315-I1315</f>
        <v>0.007999999914318323</v>
      </c>
      <c r="L1315" s="2" t="str">
        <v>NHẬP</v>
      </c>
      <c r="M1315" s="2" t="str"/>
      <c r="N1315" s="2" t="str">
        <v>KHAC</v>
      </c>
    </row>
    <row r="1316" ht="25" customHeight="1">
      <c r="A1316" s="2" t="str">
        <v>Q1566</v>
      </c>
      <c r="B1316" s="2" t="str">
        <v>KH012</v>
      </c>
      <c r="C1316" s="2" t="str">
        <v>KH012</v>
      </c>
      <c r="D1316" s="2" t="str">
        <v>S2-01562-BH</v>
      </c>
      <c r="E1316" s="2" t="str">
        <v>BAN_HANG</v>
      </c>
      <c r="F1316" s="2" t="str">
        <v>INP2301</v>
      </c>
      <c r="G1316" s="2" t="str">
        <v>2026-09-04</v>
      </c>
      <c r="H1316" s="2" t="str">
        <v>900000.0072</v>
      </c>
      <c r="I1316" s="28" t="n">
        <v>900000.0072</v>
      </c>
      <c r="J1316" s="7" t="n">
        <v>900000</v>
      </c>
      <c r="K1316" s="28" t="n">
        <f>J1316-I1316</f>
        <v>-0.007199999992735684</v>
      </c>
      <c r="L1316" s="2" t="str">
        <v>NHẬP</v>
      </c>
      <c r="M1316" s="2" t="str"/>
      <c r="N1316" s="2" t="str">
        <v>KHAC</v>
      </c>
    </row>
    <row r="1317" ht="25" customHeight="1">
      <c r="A1317" s="2" t="str">
        <v>Q1567</v>
      </c>
      <c r="B1317" s="2" t="str">
        <v>KH012</v>
      </c>
      <c r="C1317" s="2" t="str">
        <v>KH012</v>
      </c>
      <c r="D1317" s="2" t="str">
        <v>S2-01562-BH</v>
      </c>
      <c r="E1317" s="2" t="str">
        <v>BAN_HANG</v>
      </c>
      <c r="F1317" s="2" t="str">
        <v>INP6004</v>
      </c>
      <c r="G1317" s="2" t="str">
        <v>2026-09-04</v>
      </c>
      <c r="H1317" s="2" t="str">
        <v>8700000.048</v>
      </c>
      <c r="I1317" s="28" t="n">
        <v>8700000.048</v>
      </c>
      <c r="J1317" s="7" t="n">
        <v>8700000</v>
      </c>
      <c r="K1317" s="28" t="n">
        <f>J1317-I1317</f>
        <v>-0.04800000041723251</v>
      </c>
      <c r="L1317" s="2" t="str">
        <v>NHẬP</v>
      </c>
      <c r="M1317" s="2" t="str"/>
      <c r="N1317" s="2" t="str">
        <v>KHAC</v>
      </c>
    </row>
    <row r="1318" ht="25" customHeight="1">
      <c r="A1318" s="2" t="str">
        <v>Q1568</v>
      </c>
      <c r="B1318" s="2" t="str">
        <v>KH012</v>
      </c>
      <c r="C1318" s="2" t="str">
        <v>KH012</v>
      </c>
      <c r="D1318" s="2" t="str">
        <v>S2-01562-BH</v>
      </c>
      <c r="E1318" s="2" t="str">
        <v>BAN_HANG</v>
      </c>
      <c r="F1318" s="2" t="str">
        <v>INP6005</v>
      </c>
      <c r="G1318" s="2" t="str">
        <v>2026-09-04</v>
      </c>
      <c r="H1318" s="2" t="str">
        <v>20700000.036</v>
      </c>
      <c r="I1318" s="28" t="n">
        <v>20700000.036</v>
      </c>
      <c r="J1318" s="7" t="n">
        <v>20700000</v>
      </c>
      <c r="K1318" s="28" t="n">
        <f>J1318-I1318</f>
        <v>-0.035999998450279236</v>
      </c>
      <c r="L1318" s="2" t="str">
        <v>NHẬP</v>
      </c>
      <c r="M1318" s="2" t="str"/>
      <c r="N1318" s="2" t="str">
        <v>KHAC</v>
      </c>
    </row>
    <row r="1319" ht="25" customHeight="1">
      <c r="A1319" s="2" t="str">
        <v>Q1569</v>
      </c>
      <c r="B1319" s="2" t="str">
        <v>KH012</v>
      </c>
      <c r="C1319" s="2" t="str">
        <v>KH012</v>
      </c>
      <c r="D1319" s="2" t="str">
        <v>S2-01562-BH</v>
      </c>
      <c r="E1319" s="2" t="str">
        <v>BAN_HANG</v>
      </c>
      <c r="F1319" s="2" t="str">
        <v>INP6006</v>
      </c>
      <c r="G1319" s="2" t="str">
        <v>2026-09-04</v>
      </c>
      <c r="H1319" s="2" t="str">
        <v>8550000.036</v>
      </c>
      <c r="I1319" s="28" t="n">
        <v>8550000.036</v>
      </c>
      <c r="J1319" s="7" t="n">
        <v>8550000</v>
      </c>
      <c r="K1319" s="28" t="n">
        <f>J1319-I1319</f>
        <v>-0.036000000312924385</v>
      </c>
      <c r="L1319" s="2" t="str">
        <v>NHẬP</v>
      </c>
      <c r="M1319" s="2" t="str"/>
      <c r="N1319" s="2" t="str">
        <v>KHAC</v>
      </c>
    </row>
    <row r="1320" ht="25" customHeight="1">
      <c r="A1320" s="2" t="str">
        <v>Q1570</v>
      </c>
      <c r="B1320" s="2" t="str">
        <v>KH012</v>
      </c>
      <c r="C1320" s="2" t="str">
        <v>KH012</v>
      </c>
      <c r="D1320" s="2" t="str">
        <v>S2-01562-BH</v>
      </c>
      <c r="E1320" s="2" t="str">
        <v>BAN_HANG</v>
      </c>
      <c r="F1320" s="2" t="str">
        <v>INP6010</v>
      </c>
      <c r="G1320" s="2" t="str">
        <v>2026-09-04</v>
      </c>
      <c r="H1320" s="2" t="str">
        <v>7799999.976</v>
      </c>
      <c r="I1320" s="28" t="n">
        <v>7799999.976</v>
      </c>
      <c r="J1320" s="7" t="n">
        <v>7800000</v>
      </c>
      <c r="K1320" s="28" t="n">
        <f>J1320-I1320</f>
        <v>0.024000000208616257</v>
      </c>
      <c r="L1320" s="2" t="str">
        <v>NHẬP</v>
      </c>
      <c r="M1320" s="2" t="str"/>
      <c r="N1320" s="2" t="str">
        <v>KHAC</v>
      </c>
    </row>
    <row r="1321" ht="25" customHeight="1">
      <c r="A1321" s="2" t="str">
        <v>Q1571</v>
      </c>
      <c r="B1321" s="2" t="str">
        <v>KH012</v>
      </c>
      <c r="C1321" s="2" t="str">
        <v>KH012</v>
      </c>
      <c r="D1321" s="2" t="str">
        <v>S2-01562-BH</v>
      </c>
      <c r="E1321" s="2" t="str">
        <v>BAN_HANG</v>
      </c>
      <c r="F1321" s="2" t="str">
        <v>INP6011</v>
      </c>
      <c r="G1321" s="2" t="str">
        <v>2026-09-04</v>
      </c>
      <c r="H1321" s="2" t="str">
        <v>9299999.934</v>
      </c>
      <c r="I1321" s="28" t="n">
        <v>9299999.934</v>
      </c>
      <c r="J1321" s="7" t="n">
        <v>9300000</v>
      </c>
      <c r="K1321" s="28" t="n">
        <f>J1321-I1321</f>
        <v>0.06599999964237213</v>
      </c>
      <c r="L1321" s="2" t="str">
        <v>NHẬP</v>
      </c>
      <c r="M1321" s="2" t="str"/>
      <c r="N1321" s="2" t="str">
        <v>KHAC</v>
      </c>
    </row>
    <row r="1322" ht="25" customHeight="1">
      <c r="A1322" s="2" t="str">
        <v>Q1572</v>
      </c>
      <c r="B1322" s="2" t="str">
        <v>KH012</v>
      </c>
      <c r="C1322" s="2" t="str">
        <v>KH012</v>
      </c>
      <c r="D1322" s="2" t="str">
        <v>S2-01562-BH</v>
      </c>
      <c r="E1322" s="2" t="str">
        <v>BAN_HANG</v>
      </c>
      <c r="F1322" s="2" t="str">
        <v>INP6105</v>
      </c>
      <c r="G1322" s="2" t="str">
        <v>2026-09-04</v>
      </c>
      <c r="H1322" s="2" t="str">
        <v>6077999.9808</v>
      </c>
      <c r="I1322" s="28" t="n">
        <v>6077999.9808</v>
      </c>
      <c r="J1322" s="7" t="n">
        <v>6078000</v>
      </c>
      <c r="K1322" s="28" t="n">
        <f>J1322-I1322</f>
        <v>0.01919999998062849</v>
      </c>
      <c r="L1322" s="2" t="str">
        <v>NHẬP</v>
      </c>
      <c r="M1322" s="2" t="str"/>
      <c r="N1322" s="2" t="str">
        <v>KHAC</v>
      </c>
    </row>
    <row r="1323" ht="25" customHeight="1">
      <c r="A1323" s="2" t="str">
        <v>Q1573</v>
      </c>
      <c r="B1323" s="2" t="str">
        <v>KH012</v>
      </c>
      <c r="C1323" s="2" t="str">
        <v>KH012</v>
      </c>
      <c r="D1323" s="2" t="str">
        <v>S2-01562-BH</v>
      </c>
      <c r="E1323" s="2" t="str">
        <v>BAN_HANG</v>
      </c>
      <c r="F1323" s="2" t="str">
        <v>INP6202</v>
      </c>
      <c r="G1323" s="2" t="str">
        <v>2026-09-04</v>
      </c>
      <c r="H1323" s="2" t="str">
        <v>4224000.0528</v>
      </c>
      <c r="I1323" s="28" t="n">
        <v>4224000.0528</v>
      </c>
      <c r="J1323" s="7" t="n">
        <v>4224000</v>
      </c>
      <c r="K1323" s="28" t="n">
        <f>J1323-I1323</f>
        <v>-0.052799999713897705</v>
      </c>
      <c r="L1323" s="2" t="str">
        <v>NHẬP</v>
      </c>
      <c r="M1323" s="2" t="str"/>
      <c r="N1323" s="2" t="str">
        <v>KHAC</v>
      </c>
    </row>
    <row r="1324" ht="25" customHeight="1">
      <c r="A1324" s="2" t="str">
        <v>Q1574</v>
      </c>
      <c r="B1324" s="2" t="str">
        <v>KH012</v>
      </c>
      <c r="C1324" s="2" t="str">
        <v>KH012</v>
      </c>
      <c r="D1324" s="2" t="str">
        <v>S2-01562-BH</v>
      </c>
      <c r="E1324" s="2" t="str">
        <v>BAN_HANG</v>
      </c>
      <c r="F1324" s="2" t="str">
        <v>INP6903</v>
      </c>
      <c r="G1324" s="2" t="str">
        <v>2026-09-04</v>
      </c>
      <c r="H1324" s="2" t="str">
        <v>3920000.0112</v>
      </c>
      <c r="I1324" s="28" t="n">
        <v>3920000.0112</v>
      </c>
      <c r="J1324" s="7" t="n">
        <v>3920000</v>
      </c>
      <c r="K1324" s="28" t="n">
        <f>J1324-I1324</f>
        <v>-0.011200000066310167</v>
      </c>
      <c r="L1324" s="2" t="str">
        <v>NHẬP</v>
      </c>
      <c r="M1324" s="2" t="str"/>
      <c r="N1324" s="2" t="str">
        <v>KHAC</v>
      </c>
    </row>
    <row r="1325" ht="25" customHeight="1">
      <c r="A1325" s="2" t="str">
        <v>R1582</v>
      </c>
      <c r="B1325" s="2" t="str">
        <v>KH001</v>
      </c>
      <c r="C1325" s="2" t="str">
        <v>KH001</v>
      </c>
      <c r="D1325" s="2" t="str">
        <v>S2-01582-TT</v>
      </c>
      <c r="E1325" s="2" t="str">
        <v>THU_TIEN</v>
      </c>
      <c r="F1325" s="2" t="str"/>
      <c r="G1325" s="2" t="str">
        <v>2026-09-04</v>
      </c>
      <c r="H1325" s="2" t="str">
        <v>50000000</v>
      </c>
      <c r="I1325" s="28" t="n">
        <v>50000000</v>
      </c>
      <c r="J1325" s="7" t="n">
        <v>50000000</v>
      </c>
      <c r="K1325" s="28" t="n">
        <f>J1325-I1325</f>
        <v>0</v>
      </c>
      <c r="L1325" s="2" t="str">
        <v>NHẬP</v>
      </c>
      <c r="M1325" s="2" t="str"/>
      <c r="N1325" s="2" t="str">
        <v>KHAC</v>
      </c>
    </row>
    <row r="1326" ht="25" customHeight="1">
      <c r="A1326" s="2" t="str">
        <v>Q1583</v>
      </c>
      <c r="B1326" s="2" t="str">
        <v>KH066</v>
      </c>
      <c r="C1326" s="2" t="str">
        <v>KH066</v>
      </c>
      <c r="D1326" s="2" t="str">
        <v>S2-01583-BH</v>
      </c>
      <c r="E1326" s="2" t="str">
        <v>BAN_HANG</v>
      </c>
      <c r="F1326" s="2" t="str">
        <v>INP2002</v>
      </c>
      <c r="G1326" s="2" t="str">
        <v>2026-09-04</v>
      </c>
      <c r="H1326" s="2" t="str">
        <v>9199999.98</v>
      </c>
      <c r="I1326" s="28" t="n">
        <v>9199999.98</v>
      </c>
      <c r="J1326" s="7" t="n">
        <v>9200000</v>
      </c>
      <c r="K1326" s="28" t="n">
        <f>J1326-I1326</f>
        <v>0.019999999552965164</v>
      </c>
      <c r="L1326" s="2" t="str">
        <v>NHẬP</v>
      </c>
      <c r="M1326" s="2" t="str"/>
      <c r="N1326" s="2" t="str">
        <v>KHAC</v>
      </c>
    </row>
    <row r="1327" ht="25" customHeight="1">
      <c r="A1327" s="2" t="str">
        <v>Q1586</v>
      </c>
      <c r="B1327" s="2" t="str">
        <v>KH015</v>
      </c>
      <c r="C1327" s="2" t="str">
        <v>KH015</v>
      </c>
      <c r="D1327" s="2" t="str">
        <v>S2-01586-BH</v>
      </c>
      <c r="E1327" s="2" t="str">
        <v>BAN_HANG</v>
      </c>
      <c r="F1327" s="2" t="str">
        <v>INP3201</v>
      </c>
      <c r="G1327" s="2" t="str">
        <v>2026-09-05</v>
      </c>
      <c r="H1327" s="2" t="str">
        <v>1039999.9968</v>
      </c>
      <c r="I1327" s="28" t="n">
        <v>1039999.9968</v>
      </c>
      <c r="J1327" s="7" t="n">
        <v>1040000</v>
      </c>
      <c r="K1327" s="28" t="n">
        <f>J1327-I1327</f>
        <v>0.0032000000355765224</v>
      </c>
      <c r="L1327" s="2" t="str">
        <v>NHẬP</v>
      </c>
      <c r="M1327" s="2" t="str"/>
      <c r="N1327" s="2" t="str">
        <v>KHAC</v>
      </c>
    </row>
    <row r="1328" ht="25" customHeight="1">
      <c r="A1328" s="2" t="str">
        <v>Q1587</v>
      </c>
      <c r="B1328" s="2" t="str">
        <v>KH015</v>
      </c>
      <c r="C1328" s="2" t="str">
        <v>KH015</v>
      </c>
      <c r="D1328" s="2" t="str">
        <v>S2-01586-BH</v>
      </c>
      <c r="E1328" s="2" t="str">
        <v>BAN_HANG</v>
      </c>
      <c r="F1328" s="2" t="str">
        <v>INP3001</v>
      </c>
      <c r="G1328" s="2" t="str">
        <v>2026-09-05</v>
      </c>
      <c r="H1328" s="2" t="str">
        <v>2479999.9824</v>
      </c>
      <c r="I1328" s="28" t="n">
        <v>2479999.9824</v>
      </c>
      <c r="J1328" s="7" t="n">
        <v>2480000</v>
      </c>
      <c r="K1328" s="28" t="n">
        <f>J1328-I1328</f>
        <v>0.01759999990463257</v>
      </c>
      <c r="L1328" s="2" t="str">
        <v>NHẬP</v>
      </c>
      <c r="M1328" s="2" t="str"/>
      <c r="N1328" s="2" t="str">
        <v>KHAC</v>
      </c>
    </row>
    <row r="1329" ht="25" customHeight="1">
      <c r="A1329" s="2" t="str">
        <v>Q1588</v>
      </c>
      <c r="B1329" s="2" t="str">
        <v>KH015</v>
      </c>
      <c r="C1329" s="2" t="str">
        <v>KH015</v>
      </c>
      <c r="D1329" s="2" t="str">
        <v>S2-01586-BH</v>
      </c>
      <c r="E1329" s="2" t="str">
        <v>BAN_HANG</v>
      </c>
      <c r="F1329" s="2" t="str">
        <v>INP3002</v>
      </c>
      <c r="G1329" s="2" t="str">
        <v>2026-09-05</v>
      </c>
      <c r="H1329" s="2" t="str">
        <v>2280000.0096</v>
      </c>
      <c r="I1329" s="28" t="n">
        <v>2280000.0096</v>
      </c>
      <c r="J1329" s="7" t="n">
        <v>2280000</v>
      </c>
      <c r="K1329" s="28" t="n">
        <f>J1329-I1329</f>
        <v>-0.009599999990314245</v>
      </c>
      <c r="L1329" s="2" t="str">
        <v>NHẬP</v>
      </c>
      <c r="M1329" s="2" t="str"/>
      <c r="N1329" s="2" t="str">
        <v>KHAC</v>
      </c>
    </row>
    <row r="1330" ht="25" customHeight="1">
      <c r="A1330" s="2" t="str">
        <v>Q1589</v>
      </c>
      <c r="B1330" s="2" t="str">
        <v>KH015</v>
      </c>
      <c r="C1330" s="2" t="str">
        <v>KH015</v>
      </c>
      <c r="D1330" s="2" t="str">
        <v>S2-01586-BH</v>
      </c>
      <c r="E1330" s="2" t="str">
        <v>BAN_HANG</v>
      </c>
      <c r="F1330" s="2" t="str">
        <v>INP3003</v>
      </c>
      <c r="G1330" s="2" t="str">
        <v>2026-09-05</v>
      </c>
      <c r="H1330" s="2" t="str">
        <v>2320000.0128</v>
      </c>
      <c r="I1330" s="28" t="n">
        <v>2320000.0128</v>
      </c>
      <c r="J1330" s="7" t="n">
        <v>2320000</v>
      </c>
      <c r="K1330" s="28" t="n">
        <f>J1330-I1330</f>
        <v>-0.01280000014230609</v>
      </c>
      <c r="L1330" s="2" t="str">
        <v>NHẬP</v>
      </c>
      <c r="M1330" s="2" t="str"/>
      <c r="N1330" s="2" t="str">
        <v>KHAC</v>
      </c>
    </row>
    <row r="1331" ht="25" customHeight="1">
      <c r="A1331" s="2" t="str">
        <v>Q1590</v>
      </c>
      <c r="B1331" s="2" t="str">
        <v>KH015</v>
      </c>
      <c r="C1331" s="2" t="str">
        <v>KH015</v>
      </c>
      <c r="D1331" s="2" t="str">
        <v>S2-01586-BH</v>
      </c>
      <c r="E1331" s="2" t="str">
        <v>BAN_HANG</v>
      </c>
      <c r="F1331" s="2" t="str">
        <v>INP3004</v>
      </c>
      <c r="G1331" s="2" t="str">
        <v>2026-09-05</v>
      </c>
      <c r="H1331" s="2" t="str">
        <v>3840000.048</v>
      </c>
      <c r="I1331" s="28" t="n">
        <v>3840000.048</v>
      </c>
      <c r="J1331" s="7" t="n">
        <v>3840000</v>
      </c>
      <c r="K1331" s="28" t="n">
        <f>J1331-I1331</f>
        <v>-0.047999999951571226</v>
      </c>
      <c r="L1331" s="2" t="str">
        <v>NHẬP</v>
      </c>
      <c r="M1331" s="2" t="str"/>
      <c r="N1331" s="2" t="str">
        <v>KHAC</v>
      </c>
    </row>
    <row r="1332" ht="25" customHeight="1">
      <c r="A1332" s="2" t="str">
        <v>Q1591</v>
      </c>
      <c r="B1332" s="2" t="str">
        <v>KH015</v>
      </c>
      <c r="C1332" s="2" t="str">
        <v>KH015</v>
      </c>
      <c r="D1332" s="2" t="str">
        <v>S2-01586-BH</v>
      </c>
      <c r="E1332" s="2" t="str">
        <v>BAN_HANG</v>
      </c>
      <c r="F1332" s="2" t="str">
        <v>INP3005</v>
      </c>
      <c r="G1332" s="2" t="str">
        <v>2026-09-05</v>
      </c>
      <c r="H1332" s="2" t="str">
        <v>5759999.9424</v>
      </c>
      <c r="I1332" s="28" t="n">
        <v>5759999.9424</v>
      </c>
      <c r="J1332" s="7" t="n">
        <v>5760000</v>
      </c>
      <c r="K1332" s="28" t="n">
        <f>J1332-I1332</f>
        <v>0.05759999994188547</v>
      </c>
      <c r="L1332" s="2" t="str">
        <v>NHẬP</v>
      </c>
      <c r="M1332" s="2" t="str"/>
      <c r="N1332" s="2" t="str">
        <v>KHAC</v>
      </c>
    </row>
    <row r="1333" ht="25" customHeight="1">
      <c r="A1333" s="2" t="str">
        <v>Q1592</v>
      </c>
      <c r="B1333" s="2" t="str">
        <v>KH015</v>
      </c>
      <c r="C1333" s="2" t="str">
        <v>KH015</v>
      </c>
      <c r="D1333" s="2" t="str">
        <v>S2-01586-BH</v>
      </c>
      <c r="E1333" s="2" t="str">
        <v>BAN_HANG</v>
      </c>
      <c r="F1333" s="2" t="str">
        <v>INP1203</v>
      </c>
      <c r="G1333" s="2" t="str">
        <v>2026-09-05</v>
      </c>
      <c r="H1333" s="2" t="str">
        <v>3520000.0224</v>
      </c>
      <c r="I1333" s="28" t="n">
        <v>3520000.0224</v>
      </c>
      <c r="J1333" s="7" t="n">
        <v>3520000</v>
      </c>
      <c r="K1333" s="28" t="n">
        <f>J1333-I1333</f>
        <v>-0.022400000132620335</v>
      </c>
      <c r="L1333" s="2" t="str">
        <v>NHẬP</v>
      </c>
      <c r="M1333" s="2" t="str"/>
      <c r="N1333" s="2" t="str">
        <v>KHAC</v>
      </c>
    </row>
    <row r="1334" ht="25" customHeight="1">
      <c r="A1334" s="2" t="str">
        <v>R1598</v>
      </c>
      <c r="B1334" s="2" t="str">
        <v>KH062</v>
      </c>
      <c r="C1334" s="2" t="str">
        <v>KH062</v>
      </c>
      <c r="D1334" s="2" t="str">
        <v>S2-01598-TT</v>
      </c>
      <c r="E1334" s="2" t="str">
        <v>THU_TIEN</v>
      </c>
      <c r="F1334" s="2" t="str"/>
      <c r="G1334" s="2" t="str">
        <v>2026-09-07</v>
      </c>
      <c r="H1334" s="2" t="str">
        <v>9130000</v>
      </c>
      <c r="I1334" s="28" t="n">
        <v>9130000</v>
      </c>
      <c r="J1334" s="7" t="n">
        <v>9130000</v>
      </c>
      <c r="K1334" s="28" t="n">
        <f>J1334-I1334</f>
        <v>0</v>
      </c>
      <c r="L1334" s="2" t="str">
        <v>NHẬP</v>
      </c>
      <c r="M1334" s="2" t="str"/>
      <c r="N1334" s="2" t="str">
        <v>KHAC</v>
      </c>
    </row>
    <row r="1335" ht="25" customHeight="1">
      <c r="A1335" s="2" t="str">
        <v>R1599</v>
      </c>
      <c r="B1335" s="2" t="str">
        <v>KH050</v>
      </c>
      <c r="C1335" s="2" t="str">
        <v>KH050</v>
      </c>
      <c r="D1335" s="2" t="str">
        <v>S2-01599-TT</v>
      </c>
      <c r="E1335" s="2" t="str">
        <v>THU_TIEN</v>
      </c>
      <c r="F1335" s="2" t="str"/>
      <c r="G1335" s="2" t="str">
        <v>2026-09-08</v>
      </c>
      <c r="H1335" s="2" t="str">
        <v>2400000</v>
      </c>
      <c r="I1335" s="28" t="n">
        <v>2400000</v>
      </c>
      <c r="J1335" s="7" t="n">
        <v>2400000</v>
      </c>
      <c r="K1335" s="28" t="n">
        <f>J1335-I1335</f>
        <v>0</v>
      </c>
      <c r="L1335" s="2" t="str">
        <v>NHẬP</v>
      </c>
      <c r="M1335" s="2" t="str"/>
      <c r="N1335" s="2" t="str">
        <v>KHAC</v>
      </c>
    </row>
    <row r="1336" ht="25" customHeight="1">
      <c r="A1336" s="2" t="str">
        <v>Q1600</v>
      </c>
      <c r="B1336" s="2" t="str">
        <v>KH055</v>
      </c>
      <c r="C1336" s="2" t="str">
        <v>KH055</v>
      </c>
      <c r="D1336" s="2" t="str">
        <v>S2-01600-BH</v>
      </c>
      <c r="E1336" s="2" t="str">
        <v>BAN_HANG</v>
      </c>
      <c r="F1336" s="2" t="str">
        <v>INP6104</v>
      </c>
      <c r="G1336" s="2" t="str">
        <v>2026-09-08</v>
      </c>
      <c r="H1336" s="2" t="str">
        <v>3264000.0084</v>
      </c>
      <c r="I1336" s="28" t="n">
        <v>3264000.0084</v>
      </c>
      <c r="J1336" s="7" t="n">
        <v>3264000</v>
      </c>
      <c r="K1336" s="28" t="n">
        <f>J1336-I1336</f>
        <v>-0.008400000166147947</v>
      </c>
      <c r="L1336" s="2" t="str">
        <v>NHẬP</v>
      </c>
      <c r="M1336" s="2" t="str"/>
      <c r="N1336" s="2" t="str">
        <v>KHAC</v>
      </c>
    </row>
    <row r="1337" ht="25" customHeight="1">
      <c r="A1337" s="2" t="str">
        <v>Q1601</v>
      </c>
      <c r="B1337" s="2" t="str">
        <v>KH055</v>
      </c>
      <c r="C1337" s="2" t="str">
        <v>KH055</v>
      </c>
      <c r="D1337" s="2" t="str">
        <v>S2-01600-BH</v>
      </c>
      <c r="E1337" s="2" t="str">
        <v>BAN_HANG</v>
      </c>
      <c r="F1337" s="2" t="str">
        <v>INP6902</v>
      </c>
      <c r="G1337" s="2" t="str">
        <v>2026-09-08</v>
      </c>
      <c r="H1337" s="2" t="str">
        <v>1959999.984</v>
      </c>
      <c r="I1337" s="28" t="n">
        <v>1959999.984</v>
      </c>
      <c r="J1337" s="7" t="n">
        <v>1960000</v>
      </c>
      <c r="K1337" s="28" t="n">
        <f>J1337-I1337</f>
        <v>0.01600000006146729</v>
      </c>
      <c r="L1337" s="2" t="str">
        <v>NHẬP</v>
      </c>
      <c r="M1337" s="2" t="str"/>
      <c r="N1337" s="2" t="str">
        <v>KHAC</v>
      </c>
    </row>
    <row r="1338" ht="25" customHeight="1">
      <c r="A1338" s="2" t="str">
        <v>Q1603</v>
      </c>
      <c r="B1338" s="2" t="str">
        <v>KH015</v>
      </c>
      <c r="C1338" s="2" t="str">
        <v>KH015</v>
      </c>
      <c r="D1338" s="2" t="str">
        <v>S2-01603-BH</v>
      </c>
      <c r="E1338" s="2" t="str">
        <v>BAN_HANG</v>
      </c>
      <c r="F1338" s="2" t="str">
        <v>INP3202</v>
      </c>
      <c r="G1338" s="2" t="str">
        <v>2026-09-08</v>
      </c>
      <c r="H1338" s="2" t="str">
        <v>1479999.9888</v>
      </c>
      <c r="I1338" s="28" t="n">
        <v>1479999.9888</v>
      </c>
      <c r="J1338" s="7" t="n">
        <v>1480000</v>
      </c>
      <c r="K1338" s="28" t="n">
        <f>J1338-I1338</f>
        <v>0.011200000066310167</v>
      </c>
      <c r="L1338" s="2" t="str">
        <v>NHẬP</v>
      </c>
      <c r="M1338" s="2" t="str"/>
      <c r="N1338" s="2" t="str">
        <v>KHAC</v>
      </c>
    </row>
    <row r="1339" ht="25" customHeight="1">
      <c r="A1339" s="2" t="str">
        <v>Q1604</v>
      </c>
      <c r="B1339" s="2" t="str">
        <v>KH015</v>
      </c>
      <c r="C1339" s="2" t="str">
        <v>KH015</v>
      </c>
      <c r="D1339" s="2" t="str">
        <v>S2-01603-BH</v>
      </c>
      <c r="E1339" s="2" t="str">
        <v>BAN_HANG</v>
      </c>
      <c r="F1339" s="2" t="str">
        <v>INP3001</v>
      </c>
      <c r="G1339" s="2" t="str">
        <v>2026-09-08</v>
      </c>
      <c r="H1339" s="2" t="str">
        <v>2479999.9824</v>
      </c>
      <c r="I1339" s="28" t="n">
        <v>2479999.9824</v>
      </c>
      <c r="J1339" s="7" t="n">
        <v>2480000</v>
      </c>
      <c r="K1339" s="28" t="n">
        <f>J1339-I1339</f>
        <v>0.01759999990463257</v>
      </c>
      <c r="L1339" s="2" t="str">
        <v>NHẬP</v>
      </c>
      <c r="M1339" s="2" t="str"/>
      <c r="N1339" s="2" t="str">
        <v>KHAC</v>
      </c>
    </row>
    <row r="1340" ht="25" customHeight="1">
      <c r="A1340" s="2" t="str">
        <v>Q1605</v>
      </c>
      <c r="B1340" s="2" t="str">
        <v>KH015</v>
      </c>
      <c r="C1340" s="2" t="str">
        <v>KH015</v>
      </c>
      <c r="D1340" s="2" t="str">
        <v>S2-01603-BH</v>
      </c>
      <c r="E1340" s="2" t="str">
        <v>BAN_HANG</v>
      </c>
      <c r="F1340" s="2" t="str">
        <v>INP3004</v>
      </c>
      <c r="G1340" s="2" t="str">
        <v>2026-09-08</v>
      </c>
      <c r="H1340" s="2" t="str">
        <v>1280000.016</v>
      </c>
      <c r="I1340" s="28" t="n">
        <v>1280000.016</v>
      </c>
      <c r="J1340" s="7" t="n">
        <v>1280000</v>
      </c>
      <c r="K1340" s="28" t="n">
        <f>J1340-I1340</f>
        <v>-0.01600000006146729</v>
      </c>
      <c r="L1340" s="2" t="str">
        <v>NHẬP</v>
      </c>
      <c r="M1340" s="2" t="str"/>
      <c r="N1340" s="2" t="str">
        <v>KHAC</v>
      </c>
    </row>
    <row r="1341" ht="25" customHeight="1">
      <c r="A1341" s="2" t="str">
        <v>Q1606</v>
      </c>
      <c r="B1341" s="2" t="str">
        <v>KH015</v>
      </c>
      <c r="C1341" s="2" t="str">
        <v>KH015</v>
      </c>
      <c r="D1341" s="2" t="str">
        <v>S2-01603-BH</v>
      </c>
      <c r="E1341" s="2" t="str">
        <v>BAN_HANG</v>
      </c>
      <c r="F1341" s="2" t="str">
        <v>INP3005</v>
      </c>
      <c r="G1341" s="2" t="str">
        <v>2026-09-08</v>
      </c>
      <c r="H1341" s="2" t="str">
        <v>1439999.9856</v>
      </c>
      <c r="I1341" s="28" t="n">
        <v>1439999.9856</v>
      </c>
      <c r="J1341" s="7" t="n">
        <v>1440000</v>
      </c>
      <c r="K1341" s="28" t="n">
        <f>J1341-I1341</f>
        <v>0.014399999985471368</v>
      </c>
      <c r="L1341" s="2" t="str">
        <v>NHẬP</v>
      </c>
      <c r="M1341" s="2" t="str"/>
      <c r="N1341" s="2" t="str">
        <v>KHAC</v>
      </c>
    </row>
    <row r="1342" ht="25" customHeight="1">
      <c r="A1342" s="2" t="str">
        <v>Q1607</v>
      </c>
      <c r="B1342" s="2" t="str">
        <v>KH015</v>
      </c>
      <c r="C1342" s="2" t="str">
        <v>KH015</v>
      </c>
      <c r="D1342" s="2" t="str">
        <v>S2-01603-BH</v>
      </c>
      <c r="E1342" s="2" t="str">
        <v>BAN_HANG</v>
      </c>
      <c r="F1342" s="2" t="str">
        <v>INP6601</v>
      </c>
      <c r="G1342" s="2" t="str">
        <v>2026-09-08</v>
      </c>
      <c r="H1342" s="2" t="str">
        <v>3899999.988</v>
      </c>
      <c r="I1342" s="28" t="n">
        <v>3899999.988</v>
      </c>
      <c r="J1342" s="7" t="n">
        <v>3900000</v>
      </c>
      <c r="K1342" s="28" t="n">
        <f>J1342-I1342</f>
        <v>0.012000000104308128</v>
      </c>
      <c r="L1342" s="2" t="str">
        <v>NHẬP</v>
      </c>
      <c r="M1342" s="2" t="str"/>
      <c r="N1342" s="2" t="str">
        <v>KHAC</v>
      </c>
    </row>
    <row r="1343" ht="25" customHeight="1">
      <c r="A1343" s="2" t="str">
        <v>Q1608</v>
      </c>
      <c r="B1343" s="2" t="str">
        <v>KH067</v>
      </c>
      <c r="C1343" s="2" t="str">
        <v>KH067</v>
      </c>
      <c r="D1343" s="2" t="str">
        <v>S2-01608-BH</v>
      </c>
      <c r="E1343" s="2" t="str">
        <v>BAN_HANG</v>
      </c>
      <c r="F1343" s="2" t="str">
        <v>INP3202</v>
      </c>
      <c r="G1343" s="2" t="str">
        <v>2026-09-08</v>
      </c>
      <c r="H1343" s="2" t="str">
        <v>739999.9944</v>
      </c>
      <c r="I1343" s="28" t="n">
        <v>739999.9944</v>
      </c>
      <c r="J1343" s="7" t="n">
        <v>740000</v>
      </c>
      <c r="K1343" s="28" t="n">
        <f>J1343-I1343</f>
        <v>0.005600000033155084</v>
      </c>
      <c r="L1343" s="2" t="str">
        <v>NHẬP</v>
      </c>
      <c r="M1343" s="2" t="str"/>
      <c r="N1343" s="2" t="str">
        <v>KHAC</v>
      </c>
    </row>
    <row r="1344" ht="25" customHeight="1">
      <c r="A1344" s="2" t="str">
        <v>Q1609</v>
      </c>
      <c r="B1344" s="2" t="str">
        <v>KH067</v>
      </c>
      <c r="C1344" s="2" t="str">
        <v>KH067</v>
      </c>
      <c r="D1344" s="2" t="str">
        <v>S2-01608-BH</v>
      </c>
      <c r="E1344" s="2" t="str">
        <v>BAN_HANG</v>
      </c>
      <c r="F1344" s="2" t="str">
        <v>INP2101</v>
      </c>
      <c r="G1344" s="2" t="str">
        <v>2026-09-08</v>
      </c>
      <c r="H1344" s="2" t="str">
        <v>590000.004</v>
      </c>
      <c r="I1344" s="28" t="n">
        <v>590000.004</v>
      </c>
      <c r="J1344" s="7" t="n">
        <v>590000</v>
      </c>
      <c r="K1344" s="28" t="n">
        <f>J1344-I1344</f>
        <v>-0.003999999957159162</v>
      </c>
      <c r="L1344" s="2" t="str">
        <v>NHẬP</v>
      </c>
      <c r="M1344" s="2" t="str"/>
      <c r="N1344" s="2" t="str">
        <v>KHAC</v>
      </c>
    </row>
    <row r="1345" ht="25" customHeight="1">
      <c r="A1345" s="2" t="str">
        <v>Q1610</v>
      </c>
      <c r="B1345" s="2" t="str">
        <v>KH067</v>
      </c>
      <c r="C1345" s="2" t="str">
        <v>KH067</v>
      </c>
      <c r="D1345" s="2" t="str">
        <v>S2-01608-BH</v>
      </c>
      <c r="E1345" s="2" t="str">
        <v>BAN_HANG</v>
      </c>
      <c r="F1345" s="2" t="str">
        <v>INP2102</v>
      </c>
      <c r="G1345" s="2" t="str">
        <v>2026-09-08</v>
      </c>
      <c r="H1345" s="2" t="str">
        <v>640000.008</v>
      </c>
      <c r="I1345" s="28" t="n">
        <v>640000.008</v>
      </c>
      <c r="J1345" s="7" t="n">
        <v>640000</v>
      </c>
      <c r="K1345" s="28" t="n">
        <f>J1345-I1345</f>
        <v>-0.008000000030733645</v>
      </c>
      <c r="L1345" s="2" t="str">
        <v>NHẬP</v>
      </c>
      <c r="M1345" s="2" t="str"/>
      <c r="N1345" s="2" t="str">
        <v>KHAC</v>
      </c>
    </row>
    <row r="1346" ht="25" customHeight="1">
      <c r="A1346" s="2" t="str">
        <v>R1611</v>
      </c>
      <c r="B1346" s="2" t="str">
        <v>KH043</v>
      </c>
      <c r="C1346" s="2" t="str">
        <v>KH043</v>
      </c>
      <c r="D1346" s="2" t="str">
        <v>S2-01611-TT</v>
      </c>
      <c r="E1346" s="2" t="str">
        <v>THU_TIEN</v>
      </c>
      <c r="F1346" s="2" t="str"/>
      <c r="G1346" s="2" t="str">
        <v>2026-09-09</v>
      </c>
      <c r="H1346" s="2" t="str">
        <v>780000</v>
      </c>
      <c r="I1346" s="28" t="n">
        <v>780000</v>
      </c>
      <c r="J1346" s="7" t="n">
        <v>780000</v>
      </c>
      <c r="K1346" s="28" t="n">
        <f>J1346-I1346</f>
        <v>0</v>
      </c>
      <c r="L1346" s="2" t="str">
        <v>NHẬP</v>
      </c>
      <c r="M1346" s="2" t="str"/>
      <c r="N1346" s="2" t="str">
        <v>KHAC</v>
      </c>
    </row>
    <row r="1347" ht="25" customHeight="1">
      <c r="A1347" s="2" t="str">
        <v>Q1612</v>
      </c>
      <c r="B1347" s="2" t="str">
        <v>KH029</v>
      </c>
      <c r="C1347" s="2" t="str">
        <v>(trống)</v>
      </c>
      <c r="D1347" s="2" t="str">
        <v>S2-01612-BH</v>
      </c>
      <c r="E1347" s="2" t="str">
        <v>BAN_HANG</v>
      </c>
      <c r="F1347" s="2" t="str">
        <v>INP1301B</v>
      </c>
      <c r="G1347" s="2" t="str">
        <v>2026-09-09</v>
      </c>
      <c r="H1347" s="2" t="str">
        <v>239999.9976</v>
      </c>
      <c r="I1347" s="28" t="n">
        <v>239999.9976</v>
      </c>
      <c r="J1347" s="7" t="n">
        <v>240000</v>
      </c>
      <c r="K1347" s="28" t="n">
        <f>J1347-I1347</f>
        <v>0.0023999999975785613</v>
      </c>
      <c r="L1347" s="2" t="str">
        <v>NHẬP</v>
      </c>
      <c r="M1347" s="2" t="str"/>
      <c r="N1347" s="2" t="str">
        <v>KHAC</v>
      </c>
    </row>
    <row r="1348" ht="25" customHeight="1">
      <c r="A1348" s="2" t="str">
        <v>R1617</v>
      </c>
      <c r="B1348" s="2" t="str">
        <v>KH067</v>
      </c>
      <c r="C1348" s="2" t="str">
        <v>KH067</v>
      </c>
      <c r="D1348" s="2" t="str">
        <v>S2-01617-TT</v>
      </c>
      <c r="E1348" s="2" t="str">
        <v>THU_TIEN</v>
      </c>
      <c r="F1348" s="2" t="str"/>
      <c r="G1348" s="2" t="str">
        <v>2026-09-09</v>
      </c>
      <c r="H1348" s="2" t="str">
        <v>1970000</v>
      </c>
      <c r="I1348" s="28" t="n">
        <v>1970000</v>
      </c>
      <c r="J1348" s="7" t="n">
        <v>1970000</v>
      </c>
      <c r="K1348" s="28" t="n">
        <f>J1348-I1348</f>
        <v>0</v>
      </c>
      <c r="L1348" s="2" t="str">
        <v>NHẬP</v>
      </c>
      <c r="M1348" s="2" t="str"/>
      <c r="N1348" s="2" t="str">
        <v>KHAC</v>
      </c>
    </row>
    <row r="1349" ht="25" customHeight="1">
      <c r="A1349" s="2" t="str">
        <v>R1627</v>
      </c>
      <c r="B1349" s="2" t="str">
        <v>KH068</v>
      </c>
      <c r="C1349" s="2" t="str">
        <v>KH068</v>
      </c>
      <c r="D1349" s="2" t="str">
        <v>S2-01627-TT</v>
      </c>
      <c r="E1349" s="2" t="str">
        <v>THU_TIEN</v>
      </c>
      <c r="F1349" s="2" t="str"/>
      <c r="G1349" s="2" t="str">
        <v>2026-09-09</v>
      </c>
      <c r="H1349" s="2" t="str">
        <v>50000000</v>
      </c>
      <c r="I1349" s="28" t="n">
        <v>50000000</v>
      </c>
      <c r="J1349" s="7" t="n">
        <v>50000000</v>
      </c>
      <c r="K1349" s="28" t="n">
        <f>J1349-I1349</f>
        <v>0</v>
      </c>
      <c r="L1349" s="2" t="str">
        <v>NHẬP</v>
      </c>
      <c r="M1349" s="2" t="str"/>
      <c r="N1349" s="2" t="str">
        <v>KHAC</v>
      </c>
    </row>
    <row r="1350" ht="25" customHeight="1">
      <c r="A1350" s="2" t="str">
        <v>Q1628</v>
      </c>
      <c r="B1350" s="2" t="str">
        <v>KH068</v>
      </c>
      <c r="C1350" s="2" t="str">
        <v>KH068</v>
      </c>
      <c r="D1350" s="2" t="str">
        <v>S2-01628-TH</v>
      </c>
      <c r="E1350" s="2" t="str">
        <v>TRA_HANG</v>
      </c>
      <c r="F1350" s="2" t="str">
        <v>INP6408</v>
      </c>
      <c r="G1350" s="2" t="str">
        <v>2026-09-10</v>
      </c>
      <c r="H1350" s="2" t="str">
        <v>5000000.4</v>
      </c>
      <c r="I1350" s="28" t="n">
        <v>5000000.4</v>
      </c>
      <c r="J1350" s="7" t="n">
        <v>5000001</v>
      </c>
      <c r="K1350" s="28" t="n">
        <f>J1350-I1350</f>
        <v>0.599999999627471</v>
      </c>
      <c r="L1350" s="2" t="str">
        <v>NHẬP</v>
      </c>
      <c r="M1350" s="2" t="str"/>
      <c r="N1350" s="2" t="str">
        <v>QUAT</v>
      </c>
    </row>
    <row r="1351" ht="25" customHeight="1">
      <c r="A1351" s="2" t="str">
        <v>Q1629</v>
      </c>
      <c r="B1351" s="2" t="str">
        <v>KH068</v>
      </c>
      <c r="C1351" s="2" t="str">
        <v>KH068</v>
      </c>
      <c r="D1351" s="2" t="str">
        <v>S2-01628-TH</v>
      </c>
      <c r="E1351" s="2" t="str">
        <v>TRA_HANG</v>
      </c>
      <c r="F1351" s="2" t="str">
        <v>INP7901</v>
      </c>
      <c r="G1351" s="2" t="str">
        <v>2026-09-10</v>
      </c>
      <c r="H1351" s="2" t="str">
        <v>5999999.616</v>
      </c>
      <c r="I1351" s="28" t="n">
        <v>5999999.616</v>
      </c>
      <c r="J1351" s="7" t="n">
        <v>6000000</v>
      </c>
      <c r="K1351" s="28" t="n">
        <f>J1351-I1351</f>
        <v>0.3839999996125698</v>
      </c>
      <c r="L1351" s="2" t="str">
        <v>NHẬP</v>
      </c>
      <c r="M1351" s="2" t="str"/>
      <c r="N1351" s="2" t="str">
        <v>VOT_MUOI</v>
      </c>
    </row>
    <row r="1352" ht="25" customHeight="1">
      <c r="A1352" s="2" t="str">
        <v>Q1630</v>
      </c>
      <c r="B1352" s="2" t="str">
        <v>KH068</v>
      </c>
      <c r="C1352" s="2" t="str">
        <v>KH068</v>
      </c>
      <c r="D1352" s="2" t="str">
        <v>S2-01628-TH</v>
      </c>
      <c r="E1352" s="2" t="str">
        <v>TRA_HANG</v>
      </c>
      <c r="F1352" s="2" t="str">
        <v>INP7902</v>
      </c>
      <c r="G1352" s="2" t="str">
        <v>2026-09-10</v>
      </c>
      <c r="H1352" s="2" t="str">
        <v>8399999.808</v>
      </c>
      <c r="I1352" s="28" t="n">
        <v>8399999.808</v>
      </c>
      <c r="J1352" s="7" t="n">
        <v>8400000</v>
      </c>
      <c r="K1352" s="28" t="n">
        <f>J1352-I1352</f>
        <v>0.1919999998062849</v>
      </c>
      <c r="L1352" s="2" t="str">
        <v>NHẬP</v>
      </c>
      <c r="M1352" s="2" t="str"/>
      <c r="N1352" s="2" t="str">
        <v>VOT_MUOI</v>
      </c>
    </row>
    <row r="1353" ht="25" customHeight="1">
      <c r="A1353" s="2" t="str">
        <v>Q1632</v>
      </c>
      <c r="B1353" s="2" t="str">
        <v>KH068</v>
      </c>
      <c r="C1353" s="2" t="str">
        <v>KH068</v>
      </c>
      <c r="D1353" s="2" t="str">
        <v>S2-01628-TH</v>
      </c>
      <c r="E1353" s="2" t="str">
        <v>TRA_HANG</v>
      </c>
      <c r="F1353" s="2" t="str">
        <v>INP6402</v>
      </c>
      <c r="G1353" s="2" t="str">
        <v>2026-09-10</v>
      </c>
      <c r="H1353" s="2" t="str">
        <v>12399999.912</v>
      </c>
      <c r="I1353" s="28" t="n">
        <v>12399999.912</v>
      </c>
      <c r="J1353" s="7" t="n">
        <v>12400000</v>
      </c>
      <c r="K1353" s="28" t="n">
        <f>J1353-I1353</f>
        <v>0.08799999952316284</v>
      </c>
      <c r="L1353" s="2" t="str">
        <v>NHẬP</v>
      </c>
      <c r="M1353" s="2" t="str"/>
      <c r="N1353" s="2" t="str">
        <v>QUAT</v>
      </c>
    </row>
    <row r="1354" ht="25" customHeight="1">
      <c r="A1354" s="2" t="str">
        <v>Q1633</v>
      </c>
      <c r="B1354" s="2" t="str">
        <v>KH068</v>
      </c>
      <c r="C1354" s="2" t="str">
        <v>KH068</v>
      </c>
      <c r="D1354" s="2" t="str">
        <v>S2-01628-TH</v>
      </c>
      <c r="E1354" s="2" t="str">
        <v>TRA_HANG</v>
      </c>
      <c r="F1354" s="2" t="str">
        <v>INP6401(XANH)</v>
      </c>
      <c r="G1354" s="2" t="str">
        <v>2026-09-10</v>
      </c>
      <c r="H1354" s="2" t="str">
        <v>19800000.0288</v>
      </c>
      <c r="I1354" s="28" t="n">
        <v>19800000.0288</v>
      </c>
      <c r="J1354" s="7" t="n">
        <v>19800000</v>
      </c>
      <c r="K1354" s="28" t="n">
        <f>J1354-I1354</f>
        <v>-0.02879999950528145</v>
      </c>
      <c r="L1354" s="2" t="str">
        <v>NHẬP</v>
      </c>
      <c r="M1354" s="2" t="str"/>
      <c r="N1354" s="2" t="str">
        <v>QUAT</v>
      </c>
    </row>
    <row r="1355" ht="25" customHeight="1">
      <c r="A1355" s="2" t="str">
        <v>Q1634</v>
      </c>
      <c r="B1355" s="2" t="str">
        <v>KH068</v>
      </c>
      <c r="C1355" s="2" t="str">
        <v>KH068</v>
      </c>
      <c r="D1355" s="2" t="str">
        <v>S2-01628-TH</v>
      </c>
      <c r="E1355" s="2" t="str">
        <v>TRA_HANG</v>
      </c>
      <c r="F1355" s="2" t="str">
        <v>INP6401(ĐEN)</v>
      </c>
      <c r="G1355" s="2" t="str">
        <v>2026-09-10</v>
      </c>
      <c r="H1355" s="2" t="str">
        <v>14850000.0216</v>
      </c>
      <c r="I1355" s="28" t="n">
        <v>14850000.0216</v>
      </c>
      <c r="J1355" s="7" t="n">
        <v>14850000</v>
      </c>
      <c r="K1355" s="28" t="n">
        <f>J1355-I1355</f>
        <v>-0.02160000056028366</v>
      </c>
      <c r="L1355" s="2" t="str">
        <v>NHẬP</v>
      </c>
      <c r="M1355" s="2" t="str"/>
      <c r="N1355" s="2" t="str">
        <v>QUAT</v>
      </c>
    </row>
    <row r="1356" ht="25" customHeight="1">
      <c r="A1356" s="2" t="str">
        <v>Q1637</v>
      </c>
      <c r="B1356" s="2" t="str">
        <v>KH068</v>
      </c>
      <c r="C1356" s="2" t="str">
        <v>KH068</v>
      </c>
      <c r="D1356" s="2" t="str">
        <v>S2-01628-TH</v>
      </c>
      <c r="E1356" s="2" t="str">
        <v>TRA_HANG</v>
      </c>
      <c r="F1356" s="2" t="str">
        <v>INP6901</v>
      </c>
      <c r="G1356" s="2" t="str">
        <v>2026-09-10</v>
      </c>
      <c r="H1356" s="2" t="str">
        <v>29759999.9616</v>
      </c>
      <c r="I1356" s="28" t="n">
        <v>29759999.9616</v>
      </c>
      <c r="J1356" s="7" t="n">
        <v>29760000</v>
      </c>
      <c r="K1356" s="28" t="n">
        <f>J1356-I1356</f>
        <v>0.03840000182390213</v>
      </c>
      <c r="L1356" s="2" t="str">
        <v>NHẬP</v>
      </c>
      <c r="M1356" s="2" t="str"/>
      <c r="N1356" s="2" t="str">
        <v>KHAC</v>
      </c>
    </row>
    <row r="1357" ht="25" customHeight="1">
      <c r="A1357" s="2" t="str">
        <v>Q1641</v>
      </c>
      <c r="B1357" s="2" t="str">
        <v>KH068</v>
      </c>
      <c r="C1357" s="2" t="str">
        <v>KH068</v>
      </c>
      <c r="D1357" s="2" t="str">
        <v>S2-01641-BH</v>
      </c>
      <c r="E1357" s="2" t="str">
        <v>BAN_HANG</v>
      </c>
      <c r="F1357" s="2" t="str">
        <v>INP6102</v>
      </c>
      <c r="G1357" s="2" t="str">
        <v>2026-09-10</v>
      </c>
      <c r="H1357" s="2" t="str">
        <v>32415999.8976</v>
      </c>
      <c r="I1357" s="28" t="n">
        <v>32415999.8976</v>
      </c>
      <c r="J1357" s="7" t="n">
        <v>32416000</v>
      </c>
      <c r="K1357" s="28" t="n">
        <f>J1357-I1357</f>
        <v>0.10240000113844872</v>
      </c>
      <c r="L1357" s="2" t="str">
        <v>NHẬP</v>
      </c>
      <c r="M1357" s="2" t="str"/>
      <c r="N1357" s="2" t="str">
        <v>KHAC</v>
      </c>
    </row>
    <row r="1358" ht="25" customHeight="1">
      <c r="A1358" s="2" t="str">
        <v>Q1642</v>
      </c>
      <c r="B1358" s="2" t="str">
        <v>KH068</v>
      </c>
      <c r="C1358" s="2" t="str">
        <v>KH068</v>
      </c>
      <c r="D1358" s="2" t="str">
        <v>S2-01641-BH</v>
      </c>
      <c r="E1358" s="2" t="str">
        <v>BAN_HANG</v>
      </c>
      <c r="F1358" s="2" t="str">
        <v>INP6105</v>
      </c>
      <c r="G1358" s="2" t="str">
        <v>2026-09-10</v>
      </c>
      <c r="H1358" s="2" t="str">
        <v>43800000.264</v>
      </c>
      <c r="I1358" s="28" t="n">
        <v>43800000.264</v>
      </c>
      <c r="J1358" s="7" t="n">
        <v>43800000</v>
      </c>
      <c r="K1358" s="28" t="n">
        <f>J1358-I1358</f>
        <v>-0.2639999985694885</v>
      </c>
      <c r="L1358" s="2" t="str">
        <v>NHẬP</v>
      </c>
      <c r="M1358" s="2" t="str"/>
      <c r="N1358" s="2" t="str">
        <v>KHAC</v>
      </c>
    </row>
    <row r="1359" ht="25" customHeight="1">
      <c r="A1359" s="2" t="str">
        <v>Q1643</v>
      </c>
      <c r="B1359" s="2" t="str">
        <v>KH068</v>
      </c>
      <c r="C1359" s="2" t="str">
        <v>KH068</v>
      </c>
      <c r="D1359" s="2" t="str">
        <v>S2-01641-BH</v>
      </c>
      <c r="E1359" s="2" t="str">
        <v>BAN_HANG</v>
      </c>
      <c r="F1359" s="2" t="str">
        <v>INP6101</v>
      </c>
      <c r="G1359" s="2" t="str">
        <v>2026-09-10</v>
      </c>
      <c r="H1359" s="2" t="str">
        <v>19499999.94</v>
      </c>
      <c r="I1359" s="28" t="n">
        <v>19499999.94</v>
      </c>
      <c r="J1359" s="7" t="n">
        <v>19500000</v>
      </c>
      <c r="K1359" s="28" t="n">
        <f>J1359-I1359</f>
        <v>0.05999999865889549</v>
      </c>
      <c r="L1359" s="2" t="str">
        <v>NHẬP</v>
      </c>
      <c r="M1359" s="2" t="str"/>
      <c r="N1359" s="2" t="str">
        <v>KHAC</v>
      </c>
    </row>
    <row r="1360" ht="25" customHeight="1">
      <c r="A1360" s="2" t="str">
        <v>Q1646</v>
      </c>
      <c r="B1360" s="2" t="str">
        <v>KH083</v>
      </c>
      <c r="C1360" s="2" t="str">
        <v>KH083</v>
      </c>
      <c r="D1360" s="2" t="str">
        <v>S2-01646-BH</v>
      </c>
      <c r="E1360" s="2" t="str">
        <v>BAN_HANG</v>
      </c>
      <c r="F1360" s="2" t="str">
        <v>INP6902</v>
      </c>
      <c r="G1360" s="2" t="str">
        <v>2026-09-11</v>
      </c>
      <c r="H1360" s="2" t="str">
        <v>1960000.0056</v>
      </c>
      <c r="I1360" s="28" t="n">
        <v>1960000.0056</v>
      </c>
      <c r="J1360" s="7" t="n">
        <v>1960000</v>
      </c>
      <c r="K1360" s="28" t="n">
        <f>J1360-I1360</f>
        <v>-0.005600000033155084</v>
      </c>
      <c r="L1360" s="2" t="str">
        <v>NHẬP</v>
      </c>
      <c r="M1360" s="2" t="str"/>
      <c r="N1360" s="2" t="str">
        <v>KHAC</v>
      </c>
    </row>
    <row r="1361" ht="25" customHeight="1">
      <c r="A1361" s="2" t="str">
        <v>Q1647</v>
      </c>
      <c r="B1361" s="2" t="str">
        <v>KH004</v>
      </c>
      <c r="C1361" s="2" t="str">
        <v>KH004</v>
      </c>
      <c r="D1361" s="2" t="str">
        <v>S2-01647-BH</v>
      </c>
      <c r="E1361" s="2" t="str">
        <v>BAN_HANG</v>
      </c>
      <c r="F1361" s="2" t="str">
        <v>INP6902</v>
      </c>
      <c r="G1361" s="2" t="str">
        <v>2026-09-10</v>
      </c>
      <c r="H1361" s="2" t="str">
        <v>1960000.0056</v>
      </c>
      <c r="I1361" s="28" t="n">
        <v>1960000.0056</v>
      </c>
      <c r="J1361" s="7" t="n">
        <v>1960000</v>
      </c>
      <c r="K1361" s="28" t="n">
        <f>J1361-I1361</f>
        <v>-0.005600000033155084</v>
      </c>
      <c r="L1361" s="2" t="str">
        <v>NHẬP</v>
      </c>
      <c r="M1361" s="2" t="str"/>
      <c r="N1361" s="2" t="str">
        <v>KHAC</v>
      </c>
    </row>
    <row r="1362" ht="25" customHeight="1">
      <c r="A1362" s="2" t="str">
        <v>Q1648</v>
      </c>
      <c r="B1362" s="2" t="str">
        <v>KH004</v>
      </c>
      <c r="C1362" s="2" t="str">
        <v>KH004</v>
      </c>
      <c r="D1362" s="2" t="str">
        <v>S2-01647-BH</v>
      </c>
      <c r="E1362" s="2" t="str">
        <v>BAN_HANG</v>
      </c>
      <c r="F1362" s="2" t="str">
        <v>INP6012</v>
      </c>
      <c r="G1362" s="2" t="str">
        <v>2026-09-10</v>
      </c>
      <c r="H1362" s="2" t="str">
        <v>980000.0028</v>
      </c>
      <c r="I1362" s="28" t="n">
        <v>980000.0028</v>
      </c>
      <c r="J1362" s="7" t="n">
        <v>980000</v>
      </c>
      <c r="K1362" s="28" t="n">
        <f>J1362-I1362</f>
        <v>-0.002800000016577542</v>
      </c>
      <c r="L1362" s="2" t="str">
        <v>NHẬP</v>
      </c>
      <c r="M1362" s="2" t="str"/>
      <c r="N1362" s="2" t="str">
        <v>KHAC</v>
      </c>
    </row>
    <row r="1363" ht="25" customHeight="1">
      <c r="A1363" s="2" t="str">
        <v>Q1649</v>
      </c>
      <c r="B1363" s="2" t="str">
        <v>KH004</v>
      </c>
      <c r="C1363" s="2" t="str">
        <v>KH004</v>
      </c>
      <c r="D1363" s="2" t="str">
        <v>S2-01647-BH</v>
      </c>
      <c r="E1363" s="2" t="str">
        <v>BAN_HANG</v>
      </c>
      <c r="F1363" s="2" t="str">
        <v>INP2105</v>
      </c>
      <c r="G1363" s="2" t="str">
        <v>2026-09-10</v>
      </c>
      <c r="H1363" s="2" t="str">
        <v>300000.0024</v>
      </c>
      <c r="I1363" s="28" t="n">
        <v>300000.0024</v>
      </c>
      <c r="J1363" s="7" t="n">
        <v>300000</v>
      </c>
      <c r="K1363" s="28" t="n">
        <f>J1363-I1363</f>
        <v>-0.0023999999975785613</v>
      </c>
      <c r="L1363" s="2" t="str">
        <v>NHẬP</v>
      </c>
      <c r="M1363" s="2" t="str"/>
      <c r="N1363" s="2" t="str">
        <v>KHAC</v>
      </c>
    </row>
    <row r="1364" ht="25" customHeight="1">
      <c r="A1364" s="2" t="str">
        <v>Q1650</v>
      </c>
      <c r="B1364" s="2" t="str">
        <v>KH004</v>
      </c>
      <c r="C1364" s="2" t="str">
        <v>KH004</v>
      </c>
      <c r="D1364" s="2" t="str">
        <v>S2-01647-BH</v>
      </c>
      <c r="E1364" s="2" t="str">
        <v>BAN_HANG</v>
      </c>
      <c r="F1364" s="2" t="str">
        <v>INP2106</v>
      </c>
      <c r="G1364" s="2" t="str">
        <v>2026-09-10</v>
      </c>
      <c r="H1364" s="2" t="str">
        <v>320000.004</v>
      </c>
      <c r="I1364" s="28" t="n">
        <v>320000.004</v>
      </c>
      <c r="J1364" s="7" t="n">
        <v>320000</v>
      </c>
      <c r="K1364" s="28" t="n">
        <f>J1364-I1364</f>
        <v>-0.0040000000153668225</v>
      </c>
      <c r="L1364" s="2" t="str">
        <v>NHẬP</v>
      </c>
      <c r="M1364" s="2" t="str"/>
      <c r="N1364" s="2" t="str">
        <v>KHAC</v>
      </c>
    </row>
    <row r="1365" ht="25" customHeight="1">
      <c r="A1365" s="2" t="str">
        <v>Q1651</v>
      </c>
      <c r="B1365" s="2" t="str">
        <v>KH004</v>
      </c>
      <c r="C1365" s="2" t="str">
        <v>KH004</v>
      </c>
      <c r="D1365" s="2" t="str">
        <v>S2-01647-BH</v>
      </c>
      <c r="E1365" s="2" t="str">
        <v>BAN_HANG</v>
      </c>
      <c r="F1365" s="2" t="str">
        <v>INP2107</v>
      </c>
      <c r="G1365" s="2" t="str">
        <v>2026-09-10</v>
      </c>
      <c r="H1365" s="2" t="str">
        <v>339999.9948</v>
      </c>
      <c r="I1365" s="28" t="n">
        <v>339999.9948</v>
      </c>
      <c r="J1365" s="7" t="n">
        <v>340000</v>
      </c>
      <c r="K1365" s="28" t="n">
        <f>J1365-I1365</f>
        <v>0.005200000014156103</v>
      </c>
      <c r="L1365" s="2" t="str">
        <v>NHẬP</v>
      </c>
      <c r="M1365" s="2" t="str"/>
      <c r="N1365" s="2" t="str">
        <v>KHAC</v>
      </c>
    </row>
    <row r="1366" ht="25" customHeight="1">
      <c r="A1366" s="2" t="str">
        <v>Q1652</v>
      </c>
      <c r="B1366" s="2" t="str">
        <v>KH007</v>
      </c>
      <c r="C1366" s="2" t="str">
        <v>KH007</v>
      </c>
      <c r="D1366" s="2" t="str">
        <v>S2-01652-BH</v>
      </c>
      <c r="E1366" s="2" t="str">
        <v>BAN_HANG</v>
      </c>
      <c r="F1366" s="2" t="str">
        <v>INP6403</v>
      </c>
      <c r="G1366" s="2" t="str">
        <v>2026-09-10</v>
      </c>
      <c r="H1366" s="2" t="str">
        <v>2962962.96</v>
      </c>
      <c r="I1366" s="28" t="n">
        <v>2962962.96</v>
      </c>
      <c r="J1366" s="7" t="n">
        <v>2962963</v>
      </c>
      <c r="K1366" s="28" t="n">
        <f>J1366-I1366</f>
        <v>0.0400000000372529</v>
      </c>
      <c r="L1366" s="2" t="str">
        <v>NHẬP</v>
      </c>
      <c r="M1366" s="2" t="str"/>
      <c r="N1366" s="2" t="str">
        <v>QUAT</v>
      </c>
    </row>
    <row r="1367" ht="25" customHeight="1">
      <c r="A1367" s="2" t="str">
        <v>R1653</v>
      </c>
      <c r="B1367" s="2" t="str">
        <v>KH007</v>
      </c>
      <c r="C1367" s="2" t="str">
        <v>KH007</v>
      </c>
      <c r="D1367" s="2" t="str">
        <v>S2-01653-TT</v>
      </c>
      <c r="E1367" s="2" t="str">
        <v>THU_TIEN</v>
      </c>
      <c r="F1367" s="2" t="str"/>
      <c r="G1367" s="2" t="str">
        <v>2026-09-11</v>
      </c>
      <c r="H1367" s="2" t="str">
        <v>2962963</v>
      </c>
      <c r="I1367" s="28" t="n">
        <v>2962963</v>
      </c>
      <c r="J1367" s="7" t="n">
        <v>2962963</v>
      </c>
      <c r="K1367" s="28" t="n">
        <f>J1367-I1367</f>
        <v>0</v>
      </c>
      <c r="L1367" s="2" t="str">
        <v>NHẬP</v>
      </c>
      <c r="M1367" s="2" t="str"/>
      <c r="N1367" s="2" t="str">
        <v>KHAC</v>
      </c>
    </row>
    <row r="1368" ht="25" customHeight="1">
      <c r="A1368" s="2" t="str">
        <v>Q1654</v>
      </c>
      <c r="B1368" s="2" t="str">
        <v>KH004</v>
      </c>
      <c r="C1368" s="2" t="str">
        <v>KH004</v>
      </c>
      <c r="D1368" s="2" t="str">
        <v>S2-01654-TH</v>
      </c>
      <c r="E1368" s="2" t="str">
        <v>TRA_HANG</v>
      </c>
      <c r="F1368" s="2" t="str">
        <v>INP2105</v>
      </c>
      <c r="G1368" s="2" t="str">
        <v>2026-09-11</v>
      </c>
      <c r="H1368" s="2" t="str">
        <v>300000.0024</v>
      </c>
      <c r="I1368" s="28" t="n">
        <v>300000.0024</v>
      </c>
      <c r="J1368" s="7" t="n">
        <v>300000</v>
      </c>
      <c r="K1368" s="28" t="n">
        <f>J1368-I1368</f>
        <v>-0.0023999999975785613</v>
      </c>
      <c r="L1368" s="2" t="str">
        <v>NHẬP</v>
      </c>
      <c r="M1368" s="2" t="str"/>
      <c r="N1368" s="2" t="str">
        <v>KHAC</v>
      </c>
    </row>
    <row r="1369" ht="25" customHeight="1">
      <c r="A1369" s="2" t="str">
        <v>Q1655</v>
      </c>
      <c r="B1369" s="2" t="str">
        <v>KH004</v>
      </c>
      <c r="C1369" s="2" t="str">
        <v>KH004</v>
      </c>
      <c r="D1369" s="2" t="str">
        <v>S2-01654-TH</v>
      </c>
      <c r="E1369" s="2" t="str">
        <v>TRA_HANG</v>
      </c>
      <c r="F1369" s="2" t="str">
        <v>INP2106</v>
      </c>
      <c r="G1369" s="2" t="str">
        <v>2026-09-11</v>
      </c>
      <c r="H1369" s="2" t="str">
        <v>320000.004</v>
      </c>
      <c r="I1369" s="28" t="n">
        <v>320000.004</v>
      </c>
      <c r="J1369" s="7" t="n">
        <v>320000</v>
      </c>
      <c r="K1369" s="28" t="n">
        <f>J1369-I1369</f>
        <v>-0.0040000000153668225</v>
      </c>
      <c r="L1369" s="2" t="str">
        <v>NHẬP</v>
      </c>
      <c r="M1369" s="2" t="str"/>
      <c r="N1369" s="2" t="str">
        <v>KHAC</v>
      </c>
    </row>
    <row r="1370" ht="25" customHeight="1">
      <c r="A1370" s="2" t="str">
        <v>Q1656</v>
      </c>
      <c r="B1370" s="2" t="str">
        <v>KH004</v>
      </c>
      <c r="C1370" s="2" t="str">
        <v>KH004</v>
      </c>
      <c r="D1370" s="2" t="str">
        <v>S2-01654-TH</v>
      </c>
      <c r="E1370" s="2" t="str">
        <v>TRA_HANG</v>
      </c>
      <c r="F1370" s="2" t="str">
        <v>INP2107</v>
      </c>
      <c r="G1370" s="2" t="str">
        <v>2026-09-11</v>
      </c>
      <c r="H1370" s="2" t="str">
        <v>339999.9948</v>
      </c>
      <c r="I1370" s="28" t="n">
        <v>339999.9948</v>
      </c>
      <c r="J1370" s="7" t="n">
        <v>340000</v>
      </c>
      <c r="K1370" s="28" t="n">
        <f>J1370-I1370</f>
        <v>0.005200000014156103</v>
      </c>
      <c r="L1370" s="2" t="str">
        <v>NHẬP</v>
      </c>
      <c r="M1370" s="2" t="str"/>
      <c r="N1370" s="2" t="str">
        <v>KHAC</v>
      </c>
    </row>
    <row r="1371" ht="25" customHeight="1">
      <c r="A1371" s="2" t="str">
        <v>R1657</v>
      </c>
      <c r="B1371" s="2" t="str">
        <v>KH004</v>
      </c>
      <c r="C1371" s="2" t="str">
        <v>KH004</v>
      </c>
      <c r="D1371" s="2" t="str">
        <v>S2-01657-TT</v>
      </c>
      <c r="E1371" s="2" t="str">
        <v>THU_TIEN</v>
      </c>
      <c r="F1371" s="2" t="str"/>
      <c r="G1371" s="2" t="str">
        <v>2026-09-11</v>
      </c>
      <c r="H1371" s="2" t="str">
        <v>2940000</v>
      </c>
      <c r="I1371" s="28" t="n">
        <v>2940000</v>
      </c>
      <c r="J1371" s="7" t="n">
        <v>2940000</v>
      </c>
      <c r="K1371" s="28" t="n">
        <f>J1371-I1371</f>
        <v>0</v>
      </c>
      <c r="L1371" s="2" t="str">
        <v>NHẬP</v>
      </c>
      <c r="M1371" s="2" t="str"/>
      <c r="N1371" s="2" t="str">
        <v>KHAC</v>
      </c>
    </row>
    <row r="1372" ht="25" customHeight="1">
      <c r="A1372" s="2" t="str">
        <v>Q1658</v>
      </c>
      <c r="B1372" s="2" t="str">
        <v>KH055</v>
      </c>
      <c r="C1372" s="2" t="str">
        <v>KH055</v>
      </c>
      <c r="D1372" s="2" t="str">
        <v>S2-01658-BH</v>
      </c>
      <c r="E1372" s="2" t="str">
        <v>BAN_HANG</v>
      </c>
      <c r="F1372" s="2" t="str">
        <v>INP6101</v>
      </c>
      <c r="G1372" s="2" t="str">
        <v>2026-09-11</v>
      </c>
      <c r="H1372" s="2" t="str">
        <v>7799999.976</v>
      </c>
      <c r="I1372" s="28" t="n">
        <v>7799999.976</v>
      </c>
      <c r="J1372" s="7" t="n">
        <v>7800000</v>
      </c>
      <c r="K1372" s="28" t="n">
        <f>J1372-I1372</f>
        <v>0.024000000208616257</v>
      </c>
      <c r="L1372" s="2" t="str">
        <v>NHẬP</v>
      </c>
      <c r="M1372" s="2" t="str"/>
      <c r="N1372" s="2" t="str">
        <v>KHAC</v>
      </c>
    </row>
    <row r="1373" ht="25" customHeight="1">
      <c r="A1373" s="2" t="str">
        <v>Q1660</v>
      </c>
      <c r="B1373" s="2" t="str">
        <v>KH024</v>
      </c>
      <c r="C1373" s="2" t="str">
        <v>KH024</v>
      </c>
      <c r="D1373" s="2" t="str">
        <v>S2-01660-BH</v>
      </c>
      <c r="E1373" s="2" t="str">
        <v>BAN_HANG</v>
      </c>
      <c r="F1373" s="2" t="str">
        <v>INP6006</v>
      </c>
      <c r="G1373" s="2" t="str">
        <v>2026-09-10</v>
      </c>
      <c r="H1373" s="2" t="str">
        <v>8550000.036</v>
      </c>
      <c r="I1373" s="28" t="n">
        <v>8550000.036</v>
      </c>
      <c r="J1373" s="7" t="n">
        <v>8550000</v>
      </c>
      <c r="K1373" s="28" t="n">
        <f>J1373-I1373</f>
        <v>-0.036000000312924385</v>
      </c>
      <c r="L1373" s="2" t="str">
        <v>NHẬP</v>
      </c>
      <c r="M1373" s="2" t="str"/>
      <c r="N1373" s="2" t="str">
        <v>KHAC</v>
      </c>
    </row>
    <row r="1374" ht="25" customHeight="1">
      <c r="A1374" s="2" t="str">
        <v>Q1661</v>
      </c>
      <c r="B1374" s="2" t="str">
        <v>KH024</v>
      </c>
      <c r="C1374" s="2" t="str">
        <v>KH024</v>
      </c>
      <c r="D1374" s="2" t="str">
        <v>S2-01660-BH</v>
      </c>
      <c r="E1374" s="2" t="str">
        <v>BAN_HANG</v>
      </c>
      <c r="F1374" s="2" t="str">
        <v>INP1301B</v>
      </c>
      <c r="G1374" s="2" t="str">
        <v>2026-09-10</v>
      </c>
      <c r="H1374" s="2" t="str">
        <v>5999999.94</v>
      </c>
      <c r="I1374" s="28" t="n">
        <v>5999999.94</v>
      </c>
      <c r="J1374" s="7" t="n">
        <v>6000000</v>
      </c>
      <c r="K1374" s="28" t="n">
        <f>J1374-I1374</f>
        <v>0.05999999959021807</v>
      </c>
      <c r="L1374" s="2" t="str">
        <v>NHẬP</v>
      </c>
      <c r="M1374" s="2" t="str"/>
      <c r="N1374" s="2" t="str">
        <v>KHAC</v>
      </c>
    </row>
    <row r="1375" ht="25" customHeight="1">
      <c r="A1375" s="2" t="str">
        <v>Q1663</v>
      </c>
      <c r="B1375" s="2" t="str">
        <v>KH058</v>
      </c>
      <c r="C1375" s="2" t="str">
        <v>KH058</v>
      </c>
      <c r="D1375" s="2" t="str">
        <v>S2-01663-BH</v>
      </c>
      <c r="E1375" s="2" t="str">
        <v>BAN_HANG</v>
      </c>
      <c r="F1375" s="2" t="str">
        <v>INP6003</v>
      </c>
      <c r="G1375" s="2" t="str">
        <v>2026-09-11</v>
      </c>
      <c r="H1375" s="2" t="str">
        <v>1839999.996</v>
      </c>
      <c r="I1375" s="28" t="n">
        <v>1839999.996</v>
      </c>
      <c r="J1375" s="7" t="n">
        <v>1840000</v>
      </c>
      <c r="K1375" s="28" t="n">
        <f>J1375-I1375</f>
        <v>0.003999999957159162</v>
      </c>
      <c r="L1375" s="2" t="str">
        <v>NHẬP</v>
      </c>
      <c r="M1375" s="2" t="str"/>
      <c r="N1375" s="2" t="str">
        <v>KHAC</v>
      </c>
    </row>
    <row r="1376" ht="25" customHeight="1">
      <c r="A1376" s="2" t="str">
        <v>Q1664</v>
      </c>
      <c r="B1376" s="2" t="str">
        <v>KH058</v>
      </c>
      <c r="C1376" s="2" t="str">
        <v>KH058</v>
      </c>
      <c r="D1376" s="2" t="str">
        <v>S2-01663-BH</v>
      </c>
      <c r="E1376" s="2" t="str">
        <v>BAN_HANG</v>
      </c>
      <c r="F1376" s="2" t="str">
        <v>INP6902</v>
      </c>
      <c r="G1376" s="2" t="str">
        <v>2026-09-11</v>
      </c>
      <c r="H1376" s="2" t="str">
        <v>17599999.896</v>
      </c>
      <c r="I1376" s="28" t="n">
        <v>17599999.896</v>
      </c>
      <c r="J1376" s="7" t="n">
        <v>17600000</v>
      </c>
      <c r="K1376" s="28" t="n">
        <f>J1376-I1376</f>
        <v>0.10399999842047691</v>
      </c>
      <c r="L1376" s="2" t="str">
        <v>NHẬP</v>
      </c>
      <c r="M1376" s="2" t="str"/>
      <c r="N1376" s="2" t="str">
        <v>KHAC</v>
      </c>
    </row>
    <row r="1377" ht="25" customHeight="1">
      <c r="A1377" s="2" t="str">
        <v>Q1665</v>
      </c>
      <c r="B1377" s="2" t="str">
        <v>KH058</v>
      </c>
      <c r="C1377" s="2" t="str">
        <v>KH058</v>
      </c>
      <c r="D1377" s="2" t="str">
        <v>S2-01663-BH</v>
      </c>
      <c r="E1377" s="2" t="str">
        <v>BAN_HANG</v>
      </c>
      <c r="F1377" s="2" t="str">
        <v>INP6006</v>
      </c>
      <c r="G1377" s="2" t="str">
        <v>2026-09-11</v>
      </c>
      <c r="H1377" s="2" t="str">
        <v>8550000.036</v>
      </c>
      <c r="I1377" s="28" t="n">
        <v>8550000.036</v>
      </c>
      <c r="J1377" s="7" t="n">
        <v>8550000</v>
      </c>
      <c r="K1377" s="28" t="n">
        <f>J1377-I1377</f>
        <v>-0.036000000312924385</v>
      </c>
      <c r="L1377" s="2" t="str">
        <v>NHẬP</v>
      </c>
      <c r="M1377" s="2" t="str"/>
      <c r="N1377" s="2" t="str">
        <v>KHAC</v>
      </c>
    </row>
    <row r="1378" ht="25" customHeight="1">
      <c r="A1378" s="2" t="str">
        <v>Q1666</v>
      </c>
      <c r="B1378" s="2" t="str">
        <v>KH058</v>
      </c>
      <c r="C1378" s="2" t="str">
        <v>KH058</v>
      </c>
      <c r="D1378" s="2" t="str">
        <v>S2-01663-BH</v>
      </c>
      <c r="E1378" s="2" t="str">
        <v>BAN_HANG</v>
      </c>
      <c r="F1378" s="2" t="str">
        <v>INP6010</v>
      </c>
      <c r="G1378" s="2" t="str">
        <v>2026-09-11</v>
      </c>
      <c r="H1378" s="2" t="str">
        <v>7799999.976</v>
      </c>
      <c r="I1378" s="28" t="n">
        <v>7799999.976</v>
      </c>
      <c r="J1378" s="7" t="n">
        <v>7800000</v>
      </c>
      <c r="K1378" s="28" t="n">
        <f>J1378-I1378</f>
        <v>0.024000000208616257</v>
      </c>
      <c r="L1378" s="2" t="str">
        <v>NHẬP</v>
      </c>
      <c r="M1378" s="2" t="str"/>
      <c r="N1378" s="2" t="str">
        <v>KHAC</v>
      </c>
    </row>
    <row r="1379" ht="25" customHeight="1">
      <c r="A1379" s="2" t="str">
        <v>Q1667</v>
      </c>
      <c r="B1379" s="2" t="str">
        <v>KH058</v>
      </c>
      <c r="C1379" s="2" t="str">
        <v>KH058</v>
      </c>
      <c r="D1379" s="2" t="str">
        <v>S2-01663-BH</v>
      </c>
      <c r="E1379" s="2" t="str">
        <v>BAN_HANG</v>
      </c>
      <c r="F1379" s="2" t="str">
        <v>INP2101</v>
      </c>
      <c r="G1379" s="2" t="str">
        <v>2026-09-11</v>
      </c>
      <c r="H1379" s="2" t="str">
        <v>7590000.024</v>
      </c>
      <c r="I1379" s="28" t="n">
        <v>7590000.024</v>
      </c>
      <c r="J1379" s="7" t="n">
        <v>7590000</v>
      </c>
      <c r="K1379" s="28" t="n">
        <f>J1379-I1379</f>
        <v>-0.024000000208616257</v>
      </c>
      <c r="L1379" s="2" t="str">
        <v>NHẬP</v>
      </c>
      <c r="M1379" s="2" t="str"/>
      <c r="N1379" s="2" t="str">
        <v>KHAC</v>
      </c>
    </row>
    <row r="1380" ht="25" customHeight="1">
      <c r="A1380" s="2" t="str">
        <v>Q1670</v>
      </c>
      <c r="B1380" s="2" t="str">
        <v>KH091</v>
      </c>
      <c r="C1380" s="2" t="str">
        <v>KH091</v>
      </c>
      <c r="D1380" s="2" t="str">
        <v>S2-01670-BH</v>
      </c>
      <c r="E1380" s="2" t="str">
        <v>BAN_HANG</v>
      </c>
      <c r="F1380" s="2" t="str">
        <v>INP6005</v>
      </c>
      <c r="G1380" s="2" t="str">
        <v>2026-09-11</v>
      </c>
      <c r="H1380" s="2" t="str">
        <v>10350000.018</v>
      </c>
      <c r="I1380" s="28" t="n">
        <v>10350000.018</v>
      </c>
      <c r="J1380" s="7" t="n">
        <v>10350000</v>
      </c>
      <c r="K1380" s="28" t="n">
        <f>J1380-I1380</f>
        <v>-0.017999999225139618</v>
      </c>
      <c r="L1380" s="2" t="str">
        <v>NHẬP</v>
      </c>
      <c r="M1380" s="2" t="str"/>
      <c r="N1380" s="2" t="str">
        <v>KHAC</v>
      </c>
    </row>
    <row r="1381" ht="25" customHeight="1">
      <c r="A1381" s="2" t="str">
        <v>Q1671</v>
      </c>
      <c r="B1381" s="2" t="str">
        <v>KH091</v>
      </c>
      <c r="C1381" s="2" t="str">
        <v>KH091</v>
      </c>
      <c r="D1381" s="2" t="str">
        <v>S2-01670-BH</v>
      </c>
      <c r="E1381" s="2" t="str">
        <v>BAN_HANG</v>
      </c>
      <c r="F1381" s="2" t="str">
        <v>INP6006</v>
      </c>
      <c r="G1381" s="2" t="str">
        <v>2026-09-11</v>
      </c>
      <c r="H1381" s="2" t="str">
        <v>8550000.036</v>
      </c>
      <c r="I1381" s="28" t="n">
        <v>8550000.036</v>
      </c>
      <c r="J1381" s="7" t="n">
        <v>8550000</v>
      </c>
      <c r="K1381" s="28" t="n">
        <f>J1381-I1381</f>
        <v>-0.036000000312924385</v>
      </c>
      <c r="L1381" s="2" t="str">
        <v>NHẬP</v>
      </c>
      <c r="M1381" s="2" t="str"/>
      <c r="N1381" s="2" t="str">
        <v>KHAC</v>
      </c>
    </row>
    <row r="1382" ht="25" customHeight="1">
      <c r="A1382" s="2" t="str">
        <v>Q1674</v>
      </c>
      <c r="B1382" s="2" t="str">
        <v>KH001</v>
      </c>
      <c r="C1382" s="2" t="str">
        <v>KH001</v>
      </c>
      <c r="D1382" s="2" t="str">
        <v>S2-01674-BH</v>
      </c>
      <c r="E1382" s="2" t="str">
        <v>BAN_HANG</v>
      </c>
      <c r="F1382" s="2" t="str">
        <v>INP6008</v>
      </c>
      <c r="G1382" s="2" t="str">
        <v>2026-09-11</v>
      </c>
      <c r="H1382" s="2" t="str">
        <v>9299999.934</v>
      </c>
      <c r="I1382" s="28" t="n">
        <v>9299999.934</v>
      </c>
      <c r="J1382" s="7" t="n">
        <v>9300000</v>
      </c>
      <c r="K1382" s="28" t="n">
        <f>J1382-I1382</f>
        <v>0.06599999964237213</v>
      </c>
      <c r="L1382" s="2" t="str">
        <v>NHẬP</v>
      </c>
      <c r="M1382" s="2" t="str"/>
      <c r="N1382" s="2" t="str">
        <v>KHAC</v>
      </c>
    </row>
    <row r="1383" ht="25" customHeight="1">
      <c r="A1383" s="2" t="str">
        <v>Q1675</v>
      </c>
      <c r="B1383" s="2" t="str">
        <v>KH001</v>
      </c>
      <c r="C1383" s="2" t="str">
        <v>KH001</v>
      </c>
      <c r="D1383" s="2" t="str">
        <v>S2-01674-BH</v>
      </c>
      <c r="E1383" s="2" t="str">
        <v>BAN_HANG</v>
      </c>
      <c r="F1383" s="2" t="str">
        <v>INP6009</v>
      </c>
      <c r="G1383" s="2" t="str">
        <v>2026-09-11</v>
      </c>
      <c r="H1383" s="2" t="str">
        <v>11249999.928</v>
      </c>
      <c r="I1383" s="28" t="n">
        <v>11249999.928</v>
      </c>
      <c r="J1383" s="7" t="n">
        <v>11250000</v>
      </c>
      <c r="K1383" s="28" t="n">
        <f>J1383-I1383</f>
        <v>0.07200000062584877</v>
      </c>
      <c r="L1383" s="2" t="str">
        <v>NHẬP</v>
      </c>
      <c r="M1383" s="2" t="str"/>
      <c r="N1383" s="2" t="str">
        <v>KHAC</v>
      </c>
    </row>
    <row r="1384" ht="25" customHeight="1">
      <c r="A1384" s="2" t="str">
        <v>Q1676</v>
      </c>
      <c r="B1384" s="2" t="str">
        <v>KH001</v>
      </c>
      <c r="C1384" s="2" t="str">
        <v>KH001</v>
      </c>
      <c r="D1384" s="2" t="str">
        <v>S2-01674-BH</v>
      </c>
      <c r="E1384" s="2" t="str">
        <v>BAN_HANG</v>
      </c>
      <c r="F1384" s="2" t="str">
        <v>INP6010</v>
      </c>
      <c r="G1384" s="2" t="str">
        <v>2026-09-11</v>
      </c>
      <c r="H1384" s="2" t="str">
        <v>7799999.976</v>
      </c>
      <c r="I1384" s="28" t="n">
        <v>7799999.976</v>
      </c>
      <c r="J1384" s="7" t="n">
        <v>7800000</v>
      </c>
      <c r="K1384" s="28" t="n">
        <f>J1384-I1384</f>
        <v>0.024000000208616257</v>
      </c>
      <c r="L1384" s="2" t="str">
        <v>NHẬP</v>
      </c>
      <c r="M1384" s="2" t="str"/>
      <c r="N1384" s="2" t="str">
        <v>KHAC</v>
      </c>
    </row>
    <row r="1385" ht="25" customHeight="1">
      <c r="A1385" s="2" t="str">
        <v>Q1677</v>
      </c>
      <c r="B1385" s="2" t="str">
        <v>KH001</v>
      </c>
      <c r="C1385" s="2" t="str">
        <v>KH001</v>
      </c>
      <c r="D1385" s="2" t="str">
        <v>S2-01674-BH</v>
      </c>
      <c r="E1385" s="2" t="str">
        <v>BAN_HANG</v>
      </c>
      <c r="F1385" s="2" t="str">
        <v>INP6011</v>
      </c>
      <c r="G1385" s="2" t="str">
        <v>2026-09-11</v>
      </c>
      <c r="H1385" s="2" t="str">
        <v>9299999.934</v>
      </c>
      <c r="I1385" s="28" t="n">
        <v>9299999.934</v>
      </c>
      <c r="J1385" s="7" t="n">
        <v>9300000</v>
      </c>
      <c r="K1385" s="28" t="n">
        <f>J1385-I1385</f>
        <v>0.06599999964237213</v>
      </c>
      <c r="L1385" s="2" t="str">
        <v>NHẬP</v>
      </c>
      <c r="M1385" s="2" t="str"/>
      <c r="N1385" s="2" t="str">
        <v>KHAC</v>
      </c>
    </row>
    <row r="1386" ht="25" customHeight="1">
      <c r="A1386" s="2" t="str">
        <v>Q1678</v>
      </c>
      <c r="B1386" s="2" t="str">
        <v>KH001</v>
      </c>
      <c r="C1386" s="2" t="str">
        <v>KH001</v>
      </c>
      <c r="D1386" s="2" t="str">
        <v>S2-01674-BH</v>
      </c>
      <c r="E1386" s="2" t="str">
        <v>BAN_HANG</v>
      </c>
      <c r="F1386" s="2" t="str">
        <v>INP1002</v>
      </c>
      <c r="G1386" s="2" t="str">
        <v>2026-09-11</v>
      </c>
      <c r="H1386" s="2" t="str">
        <v>6989999.976</v>
      </c>
      <c r="I1386" s="28" t="n">
        <v>6989999.976</v>
      </c>
      <c r="J1386" s="7" t="n">
        <v>6990000</v>
      </c>
      <c r="K1386" s="28" t="n">
        <f>J1386-I1386</f>
        <v>0.024000000208616257</v>
      </c>
      <c r="L1386" s="2" t="str">
        <v>NHẬP</v>
      </c>
      <c r="M1386" s="2" t="str"/>
      <c r="N1386" s="2" t="str">
        <v>KHAC</v>
      </c>
    </row>
    <row r="1387" ht="25" customHeight="1">
      <c r="A1387" s="2" t="str">
        <v>Q1679</v>
      </c>
      <c r="B1387" s="2" t="str">
        <v>KH001</v>
      </c>
      <c r="C1387" s="2" t="str">
        <v>KH001</v>
      </c>
      <c r="D1387" s="2" t="str">
        <v>S2-01674-BH</v>
      </c>
      <c r="E1387" s="2" t="str">
        <v>BAN_HANG</v>
      </c>
      <c r="F1387" s="2" t="str">
        <v>INP6008</v>
      </c>
      <c r="G1387" s="2" t="str">
        <v>2026-09-11</v>
      </c>
      <c r="H1387" s="2" t="str">
        <v>619999.9956</v>
      </c>
      <c r="I1387" s="28" t="n">
        <v>619999.9956</v>
      </c>
      <c r="J1387" s="7" t="n">
        <v>620000</v>
      </c>
      <c r="K1387" s="28" t="n">
        <f>J1387-I1387</f>
        <v>0.004399999976158142</v>
      </c>
      <c r="L1387" s="2" t="str">
        <v>NHẬP</v>
      </c>
      <c r="M1387" s="2" t="str"/>
      <c r="N1387" s="2" t="str">
        <v>KHAC</v>
      </c>
    </row>
    <row r="1388" ht="25" customHeight="1">
      <c r="A1388" s="2" t="str">
        <v>Q1680</v>
      </c>
      <c r="B1388" s="2" t="str">
        <v>KH001</v>
      </c>
      <c r="C1388" s="2" t="str">
        <v>KH001</v>
      </c>
      <c r="D1388" s="2" t="str">
        <v>S2-01674-BH</v>
      </c>
      <c r="E1388" s="2" t="str">
        <v>BAN_HANG</v>
      </c>
      <c r="F1388" s="2" t="str">
        <v>INP6009</v>
      </c>
      <c r="G1388" s="2" t="str">
        <v>2026-09-11</v>
      </c>
      <c r="H1388" s="2" t="str">
        <v>749999.9952</v>
      </c>
      <c r="I1388" s="28" t="n">
        <v>749999.9952</v>
      </c>
      <c r="J1388" s="7" t="n">
        <v>750000</v>
      </c>
      <c r="K1388" s="28" t="n">
        <f>J1388-I1388</f>
        <v>0.004799999995157123</v>
      </c>
      <c r="L1388" s="2" t="str">
        <v>NHẬP</v>
      </c>
      <c r="M1388" s="2" t="str"/>
      <c r="N1388" s="2" t="str">
        <v>KHAC</v>
      </c>
    </row>
    <row r="1389" ht="25" customHeight="1">
      <c r="A1389" s="2" t="str">
        <v>Q1681</v>
      </c>
      <c r="B1389" s="2" t="str">
        <v>KH001</v>
      </c>
      <c r="C1389" s="2" t="str">
        <v>KH001</v>
      </c>
      <c r="D1389" s="2" t="str">
        <v>S2-01674-BH</v>
      </c>
      <c r="E1389" s="2" t="str">
        <v>BAN_HANG</v>
      </c>
      <c r="F1389" s="2" t="str">
        <v>INP6010</v>
      </c>
      <c r="G1389" s="2" t="str">
        <v>2026-09-11</v>
      </c>
      <c r="H1389" s="2" t="str">
        <v>519999.9984</v>
      </c>
      <c r="I1389" s="28" t="n">
        <v>519999.9984</v>
      </c>
      <c r="J1389" s="7" t="n">
        <v>520000</v>
      </c>
      <c r="K1389" s="28" t="n">
        <f>J1389-I1389</f>
        <v>0.0016000000177882612</v>
      </c>
      <c r="L1389" s="2" t="str">
        <v>NHẬP</v>
      </c>
      <c r="M1389" s="2" t="str"/>
      <c r="N1389" s="2" t="str">
        <v>KHAC</v>
      </c>
    </row>
    <row r="1390" ht="25" customHeight="1">
      <c r="A1390" s="2" t="str">
        <v>Q1682</v>
      </c>
      <c r="B1390" s="2" t="str">
        <v>KH001</v>
      </c>
      <c r="C1390" s="2" t="str">
        <v>KH001</v>
      </c>
      <c r="D1390" s="2" t="str">
        <v>S2-01674-BH</v>
      </c>
      <c r="E1390" s="2" t="str">
        <v>BAN_HANG</v>
      </c>
      <c r="F1390" s="2" t="str">
        <v>INP6011</v>
      </c>
      <c r="G1390" s="2" t="str">
        <v>2026-09-11</v>
      </c>
      <c r="H1390" s="2" t="str">
        <v>619999.9956</v>
      </c>
      <c r="I1390" s="28" t="n">
        <v>619999.9956</v>
      </c>
      <c r="J1390" s="7" t="n">
        <v>620000</v>
      </c>
      <c r="K1390" s="28" t="n">
        <f>J1390-I1390</f>
        <v>0.004399999976158142</v>
      </c>
      <c r="L1390" s="2" t="str">
        <v>NHẬP</v>
      </c>
      <c r="M1390" s="2" t="str"/>
      <c r="N1390" s="2" t="str">
        <v>KHAC</v>
      </c>
    </row>
    <row r="1391" ht="25" customHeight="1">
      <c r="A1391" s="2" t="str">
        <v>Q1683</v>
      </c>
      <c r="B1391" s="2" t="str">
        <v>KH070</v>
      </c>
      <c r="C1391" s="2" t="str">
        <v>KH070</v>
      </c>
      <c r="D1391" s="2" t="str">
        <v>S2-01683-BH</v>
      </c>
      <c r="E1391" s="2" t="str">
        <v>BAN_HANG</v>
      </c>
      <c r="F1391" s="2" t="str">
        <v>INP1501</v>
      </c>
      <c r="G1391" s="2" t="str">
        <v>2026-09-11</v>
      </c>
      <c r="H1391" s="2" t="str">
        <v>5040000.0144</v>
      </c>
      <c r="I1391" s="28" t="n">
        <v>5040000.0144</v>
      </c>
      <c r="J1391" s="7" t="n">
        <v>5040000</v>
      </c>
      <c r="K1391" s="28" t="n">
        <f>J1391-I1391</f>
        <v>-0.014399999752640724</v>
      </c>
      <c r="L1391" s="2" t="str">
        <v>NHẬP</v>
      </c>
      <c r="M1391" s="2" t="str"/>
      <c r="N1391" s="2" t="str">
        <v>KHAC</v>
      </c>
    </row>
    <row r="1392" ht="25" customHeight="1">
      <c r="A1392" s="2" t="str">
        <v>Q1684</v>
      </c>
      <c r="B1392" s="2" t="str">
        <v>KH070</v>
      </c>
      <c r="C1392" s="2" t="str">
        <v>KH070</v>
      </c>
      <c r="D1392" s="2" t="str">
        <v>S2-01683-BH</v>
      </c>
      <c r="E1392" s="2" t="str">
        <v>BAN_HANG</v>
      </c>
      <c r="F1392" s="2" t="str">
        <v>INP6003</v>
      </c>
      <c r="G1392" s="2" t="str">
        <v>2026-09-11</v>
      </c>
      <c r="H1392" s="2" t="str">
        <v>7600000.0032</v>
      </c>
      <c r="I1392" s="28" t="n">
        <v>7600000.0032</v>
      </c>
      <c r="J1392" s="7" t="n">
        <v>7600000</v>
      </c>
      <c r="K1392" s="28" t="n">
        <f>J1392-I1392</f>
        <v>-0.003200000151991844</v>
      </c>
      <c r="L1392" s="2" t="str">
        <v>NHẬP</v>
      </c>
      <c r="M1392" s="2" t="str"/>
      <c r="N1392" s="2" t="str">
        <v>KHAC</v>
      </c>
    </row>
    <row r="1393" ht="25" customHeight="1">
      <c r="A1393" s="2" t="str">
        <v>Q1685</v>
      </c>
      <c r="B1393" s="2" t="str">
        <v>KH086</v>
      </c>
      <c r="C1393" s="2" t="str">
        <v>KH086</v>
      </c>
      <c r="D1393" s="2" t="str">
        <v>S2-01685-BH</v>
      </c>
      <c r="E1393" s="2" t="str">
        <v>BAN_HANG</v>
      </c>
      <c r="F1393" s="2" t="str">
        <v>INP6006</v>
      </c>
      <c r="G1393" s="2" t="str">
        <v>2026-09-12</v>
      </c>
      <c r="H1393" s="2" t="str">
        <v>8550000.036</v>
      </c>
      <c r="I1393" s="28" t="n">
        <v>8550000.036</v>
      </c>
      <c r="J1393" s="7" t="n">
        <v>8550000</v>
      </c>
      <c r="K1393" s="28" t="n">
        <f>J1393-I1393</f>
        <v>-0.036000000312924385</v>
      </c>
      <c r="L1393" s="2" t="str">
        <v>NHẬP</v>
      </c>
      <c r="M1393" s="2" t="str"/>
      <c r="N1393" s="2" t="str">
        <v>KHAC</v>
      </c>
    </row>
    <row r="1394" ht="25" customHeight="1">
      <c r="A1394" s="2" t="str">
        <v>Q1686</v>
      </c>
      <c r="B1394" s="2" t="str">
        <v>KH086</v>
      </c>
      <c r="C1394" s="2" t="str">
        <v>KH086</v>
      </c>
      <c r="D1394" s="2" t="str">
        <v>S2-01685-BH</v>
      </c>
      <c r="E1394" s="2" t="str">
        <v>BAN_HANG</v>
      </c>
      <c r="F1394" s="2" t="str">
        <v>INP6010</v>
      </c>
      <c r="G1394" s="2" t="str">
        <v>2026-09-12</v>
      </c>
      <c r="H1394" s="2" t="str">
        <v>7799999.976</v>
      </c>
      <c r="I1394" s="28" t="n">
        <v>7799999.976</v>
      </c>
      <c r="J1394" s="7" t="n">
        <v>7800000</v>
      </c>
      <c r="K1394" s="28" t="n">
        <f>J1394-I1394</f>
        <v>0.024000000208616257</v>
      </c>
      <c r="L1394" s="2" t="str">
        <v>NHẬP</v>
      </c>
      <c r="M1394" s="2" t="str"/>
      <c r="N1394" s="2" t="str">
        <v>KHAC</v>
      </c>
    </row>
    <row r="1395" ht="25" customHeight="1">
      <c r="A1395" s="2" t="str">
        <v>Q1687</v>
      </c>
      <c r="B1395" s="2" t="str">
        <v>KH086</v>
      </c>
      <c r="C1395" s="2" t="str">
        <v>KH086</v>
      </c>
      <c r="D1395" s="2" t="str">
        <v>S2-01685-BH</v>
      </c>
      <c r="E1395" s="2" t="str">
        <v>BAN_HANG</v>
      </c>
      <c r="F1395" s="2" t="str">
        <v>INP6011</v>
      </c>
      <c r="G1395" s="2" t="str">
        <v>2026-09-12</v>
      </c>
      <c r="H1395" s="2" t="str">
        <v>9299999.934</v>
      </c>
      <c r="I1395" s="28" t="n">
        <v>9299999.934</v>
      </c>
      <c r="J1395" s="7" t="n">
        <v>9300000</v>
      </c>
      <c r="K1395" s="28" t="n">
        <f>J1395-I1395</f>
        <v>0.06599999964237213</v>
      </c>
      <c r="L1395" s="2" t="str">
        <v>NHẬP</v>
      </c>
      <c r="M1395" s="2" t="str"/>
      <c r="N1395" s="2" t="str">
        <v>KHAC</v>
      </c>
    </row>
    <row r="1396" ht="25" customHeight="1">
      <c r="A1396" s="2" t="str">
        <v>R1691</v>
      </c>
      <c r="B1396" s="2" t="str">
        <v>KH066</v>
      </c>
      <c r="C1396" s="2" t="str">
        <v>KH066</v>
      </c>
      <c r="D1396" s="2" t="str">
        <v>S2-01691-TT</v>
      </c>
      <c r="E1396" s="2" t="str">
        <v>THU_TIEN</v>
      </c>
      <c r="F1396" s="2" t="str"/>
      <c r="G1396" s="2" t="str">
        <v>2026-09-12</v>
      </c>
      <c r="H1396" s="2" t="str">
        <v>150000000</v>
      </c>
      <c r="I1396" s="28" t="n">
        <v>150000000</v>
      </c>
      <c r="J1396" s="7" t="n">
        <v>150000000</v>
      </c>
      <c r="K1396" s="28" t="n">
        <f>J1396-I1396</f>
        <v>0</v>
      </c>
      <c r="L1396" s="2" t="str">
        <v>NHẬP</v>
      </c>
      <c r="M1396" s="2" t="str"/>
      <c r="N1396" s="2" t="str">
        <v>KHAC</v>
      </c>
    </row>
    <row r="1397" ht="25" customHeight="1">
      <c r="A1397" s="2" t="str">
        <v>S1692</v>
      </c>
      <c r="B1397" s="2" t="str">
        <v>KH024</v>
      </c>
      <c r="C1397" s="2" t="str">
        <v>KH024</v>
      </c>
      <c r="D1397" s="2" t="str">
        <v>S2-01692-VC</v>
      </c>
      <c r="E1397" s="2" t="str">
        <v>PHI_VAN_CHUYEN</v>
      </c>
      <c r="F1397" s="2" t="str"/>
      <c r="G1397" s="2" t="str"/>
      <c r="H1397" s="2" t="str">
        <v>300000</v>
      </c>
      <c r="I1397" s="28" t="n">
        <v>300000</v>
      </c>
      <c r="J1397" s="7" t="n">
        <v>300000</v>
      </c>
      <c r="K1397" s="28" t="n">
        <f>J1397-I1397</f>
        <v>0</v>
      </c>
      <c r="L1397" s="2" t="str">
        <v>NHẬP</v>
      </c>
      <c r="M1397" s="2" t="str"/>
      <c r="N1397" s="2" t="str">
        <v>KHAC</v>
      </c>
    </row>
    <row r="1398" ht="25" customHeight="1">
      <c r="A1398" s="2" t="str">
        <v>Q1693</v>
      </c>
      <c r="B1398" s="2" t="str">
        <v>KH034</v>
      </c>
      <c r="C1398" s="2" t="str">
        <v>KH034</v>
      </c>
      <c r="D1398" s="2" t="str">
        <v>S2-01693-BH</v>
      </c>
      <c r="E1398" s="2" t="str">
        <v>BAN_HANG</v>
      </c>
      <c r="F1398" s="2" t="str">
        <v>INP6010</v>
      </c>
      <c r="G1398" s="2" t="str">
        <v>2026-09-11</v>
      </c>
      <c r="H1398" s="2" t="str">
        <v>7799999.976</v>
      </c>
      <c r="I1398" s="28" t="n">
        <v>7799999.976</v>
      </c>
      <c r="J1398" s="7" t="n">
        <v>7800000</v>
      </c>
      <c r="K1398" s="28" t="n">
        <f>J1398-I1398</f>
        <v>0.024000000208616257</v>
      </c>
      <c r="L1398" s="2" t="str">
        <v>NHẬP</v>
      </c>
      <c r="M1398" s="2" t="str"/>
      <c r="N1398" s="2" t="str">
        <v>KHAC</v>
      </c>
    </row>
    <row r="1399" ht="25" customHeight="1">
      <c r="A1399" s="2" t="str">
        <v>Q1694</v>
      </c>
      <c r="B1399" s="2" t="str">
        <v>KH034</v>
      </c>
      <c r="C1399" s="2" t="str">
        <v>KH034</v>
      </c>
      <c r="D1399" s="2" t="str">
        <v>S2-01693-BH</v>
      </c>
      <c r="E1399" s="2" t="str">
        <v>BAN_HANG</v>
      </c>
      <c r="F1399" s="2" t="str">
        <v>INP6011</v>
      </c>
      <c r="G1399" s="2" t="str">
        <v>2026-09-11</v>
      </c>
      <c r="H1399" s="2" t="str">
        <v>9299999.934</v>
      </c>
      <c r="I1399" s="28" t="n">
        <v>9299999.934</v>
      </c>
      <c r="J1399" s="7" t="n">
        <v>9300000</v>
      </c>
      <c r="K1399" s="28" t="n">
        <f>J1399-I1399</f>
        <v>0.06599999964237213</v>
      </c>
      <c r="L1399" s="2" t="str">
        <v>NHẬP</v>
      </c>
      <c r="M1399" s="2" t="str"/>
      <c r="N1399" s="2" t="str">
        <v>KHAC</v>
      </c>
    </row>
    <row r="1400" ht="25" customHeight="1">
      <c r="A1400" s="2" t="str">
        <v>Q1695</v>
      </c>
      <c r="B1400" s="2" t="str">
        <v>KH034</v>
      </c>
      <c r="C1400" s="2" t="str">
        <v>KH034</v>
      </c>
      <c r="D1400" s="2" t="str">
        <v>S2-01693-BH</v>
      </c>
      <c r="E1400" s="2" t="str">
        <v>BAN_HANG</v>
      </c>
      <c r="F1400" s="2" t="str">
        <v>INP6902</v>
      </c>
      <c r="G1400" s="2" t="str">
        <v>2026-09-11</v>
      </c>
      <c r="H1400" s="2" t="str">
        <v>17599999.896</v>
      </c>
      <c r="I1400" s="28" t="n">
        <v>17599999.896</v>
      </c>
      <c r="J1400" s="7" t="n">
        <v>17600000</v>
      </c>
      <c r="K1400" s="28" t="n">
        <f>J1400-I1400</f>
        <v>0.10399999842047691</v>
      </c>
      <c r="L1400" s="2" t="str">
        <v>NHẬP</v>
      </c>
      <c r="M1400" s="2" t="str"/>
      <c r="N1400" s="2" t="str">
        <v>KHAC</v>
      </c>
    </row>
    <row r="1401" ht="25" customHeight="1">
      <c r="A1401" s="2" t="str">
        <v>Q1696</v>
      </c>
      <c r="B1401" s="2" t="str">
        <v>KH034</v>
      </c>
      <c r="C1401" s="2" t="str">
        <v>KH034</v>
      </c>
      <c r="D1401" s="2" t="str">
        <v>S2-01693-BH</v>
      </c>
      <c r="E1401" s="2" t="str">
        <v>BAN_HANG</v>
      </c>
      <c r="F1401" s="2" t="str">
        <v>INP6105</v>
      </c>
      <c r="G1401" s="2" t="str">
        <v>2026-09-11</v>
      </c>
      <c r="H1401" s="2" t="str">
        <v>21900000.132</v>
      </c>
      <c r="I1401" s="28" t="n">
        <v>21900000.132</v>
      </c>
      <c r="J1401" s="7" t="n">
        <v>21900000</v>
      </c>
      <c r="K1401" s="28" t="n">
        <f>J1401-I1401</f>
        <v>-0.13199999928474426</v>
      </c>
      <c r="L1401" s="2" t="str">
        <v>NHẬP</v>
      </c>
      <c r="M1401" s="2" t="str"/>
      <c r="N1401" s="2" t="str">
        <v>KHAC</v>
      </c>
    </row>
    <row r="1402" ht="25" customHeight="1">
      <c r="A1402" s="2" t="str">
        <v>Q1697</v>
      </c>
      <c r="B1402" s="2" t="str">
        <v>KH034</v>
      </c>
      <c r="C1402" s="2" t="str">
        <v>KH034</v>
      </c>
      <c r="D1402" s="2" t="str">
        <v>S2-01693-BH</v>
      </c>
      <c r="E1402" s="2" t="str">
        <v>BAN_HANG</v>
      </c>
      <c r="F1402" s="2" t="str">
        <v>INP7951</v>
      </c>
      <c r="G1402" s="2" t="str">
        <v>2026-09-11</v>
      </c>
      <c r="H1402" s="2" t="str">
        <v>25200000.072</v>
      </c>
      <c r="I1402" s="28" t="n">
        <v>25200000.072</v>
      </c>
      <c r="J1402" s="7" t="n">
        <v>25200000</v>
      </c>
      <c r="K1402" s="28" t="n">
        <f>J1402-I1402</f>
        <v>-0.07200000062584877</v>
      </c>
      <c r="L1402" s="2" t="str">
        <v>NHẬP</v>
      </c>
      <c r="M1402" s="2" t="str"/>
      <c r="N1402" s="2" t="str">
        <v>KHAC</v>
      </c>
    </row>
    <row r="1403" ht="25" customHeight="1">
      <c r="A1403" s="2" t="str">
        <v>Q1698</v>
      </c>
      <c r="B1403" s="2" t="str">
        <v>KH034</v>
      </c>
      <c r="C1403" s="2" t="str">
        <v>KH034</v>
      </c>
      <c r="D1403" s="2" t="str">
        <v>S2-01693-BH</v>
      </c>
      <c r="E1403" s="2" t="str">
        <v>BAN_HANG</v>
      </c>
      <c r="F1403" s="2" t="str">
        <v>INP7952</v>
      </c>
      <c r="G1403" s="2" t="str">
        <v>2026-09-11</v>
      </c>
      <c r="H1403" s="2" t="str">
        <v>31599999.72</v>
      </c>
      <c r="I1403" s="28" t="n">
        <v>31599999.72</v>
      </c>
      <c r="J1403" s="7" t="n">
        <v>31600000</v>
      </c>
      <c r="K1403" s="28" t="n">
        <f>J1403-I1403</f>
        <v>0.2800000011920929</v>
      </c>
      <c r="L1403" s="2" t="str">
        <v>NHẬP</v>
      </c>
      <c r="M1403" s="2" t="str"/>
      <c r="N1403" s="2" t="str">
        <v>KHAC</v>
      </c>
    </row>
    <row r="1404" ht="25" customHeight="1">
      <c r="A1404" s="2" t="str">
        <v>Q1699</v>
      </c>
      <c r="B1404" s="2" t="str">
        <v>KH034</v>
      </c>
      <c r="C1404" s="2" t="str">
        <v>KH034</v>
      </c>
      <c r="D1404" s="2" t="str">
        <v>S2-01693-BH</v>
      </c>
      <c r="E1404" s="2" t="str">
        <v>BAN_HANG</v>
      </c>
      <c r="F1404" s="2" t="str">
        <v>INP7953</v>
      </c>
      <c r="G1404" s="2" t="str">
        <v>2026-09-11</v>
      </c>
      <c r="H1404" s="2" t="str">
        <v>24999999.84</v>
      </c>
      <c r="I1404" s="28" t="n">
        <v>24999999.84</v>
      </c>
      <c r="J1404" s="7" t="n">
        <v>25000000</v>
      </c>
      <c r="K1404" s="28" t="n">
        <f>J1404-I1404</f>
        <v>0.1600000001490116</v>
      </c>
      <c r="L1404" s="2" t="str">
        <v>NHẬP</v>
      </c>
      <c r="M1404" s="2" t="str"/>
      <c r="N1404" s="2" t="str">
        <v>KHAC</v>
      </c>
    </row>
    <row r="1405" ht="25" customHeight="1">
      <c r="A1405" s="2" t="str">
        <v>Q1703</v>
      </c>
      <c r="B1405" s="2" t="str">
        <v>KH090</v>
      </c>
      <c r="C1405" s="2" t="str">
        <v>KH090</v>
      </c>
      <c r="D1405" s="2" t="str">
        <v>S2-01703-BH</v>
      </c>
      <c r="E1405" s="2" t="str">
        <v>BAN_HANG</v>
      </c>
      <c r="F1405" s="2" t="str">
        <v>INP1001</v>
      </c>
      <c r="G1405" s="2" t="str">
        <v>2026-09-08</v>
      </c>
      <c r="H1405" s="2" t="str">
        <v>1038000.0096</v>
      </c>
      <c r="I1405" s="28" t="n">
        <v>1038000.0096</v>
      </c>
      <c r="J1405" s="7" t="n">
        <v>1038000</v>
      </c>
      <c r="K1405" s="28" t="n">
        <f>J1405-I1405</f>
        <v>-0.009599999990314245</v>
      </c>
      <c r="L1405" s="2" t="str">
        <v>NHẬP</v>
      </c>
      <c r="M1405" s="2" t="str"/>
      <c r="N1405" s="2" t="str">
        <v>KHAC</v>
      </c>
    </row>
    <row r="1406" ht="25" customHeight="1">
      <c r="A1406" s="2" t="str">
        <v>Q1704</v>
      </c>
      <c r="B1406" s="2" t="str">
        <v>KH090</v>
      </c>
      <c r="C1406" s="2" t="str">
        <v>KH090</v>
      </c>
      <c r="D1406" s="2" t="str">
        <v>S2-01703-BH</v>
      </c>
      <c r="E1406" s="2" t="str">
        <v>BAN_HANG</v>
      </c>
      <c r="F1406" s="2" t="str">
        <v>INP1002</v>
      </c>
      <c r="G1406" s="2" t="str">
        <v>2026-09-08</v>
      </c>
      <c r="H1406" s="2" t="str">
        <v>1397999.9952</v>
      </c>
      <c r="I1406" s="28" t="n">
        <v>1397999.9952</v>
      </c>
      <c r="J1406" s="7" t="n">
        <v>1398000</v>
      </c>
      <c r="K1406" s="28" t="n">
        <f>J1406-I1406</f>
        <v>0.004799999995157123</v>
      </c>
      <c r="L1406" s="2" t="str">
        <v>NHẬP</v>
      </c>
      <c r="M1406" s="2" t="str"/>
      <c r="N1406" s="2" t="str">
        <v>KHAC</v>
      </c>
    </row>
    <row r="1407" ht="25" customHeight="1">
      <c r="A1407" s="2" t="str">
        <v>Q1705</v>
      </c>
      <c r="B1407" s="2" t="str">
        <v>KH090</v>
      </c>
      <c r="C1407" s="2" t="str">
        <v>KH090</v>
      </c>
      <c r="D1407" s="2" t="str">
        <v>S2-01703-BH</v>
      </c>
      <c r="E1407" s="2" t="str">
        <v>BAN_HANG</v>
      </c>
      <c r="F1407" s="2" t="str">
        <v>INP1401</v>
      </c>
      <c r="G1407" s="2" t="str">
        <v>2026-09-08</v>
      </c>
      <c r="H1407" s="2" t="str">
        <v>1779999.9912</v>
      </c>
      <c r="I1407" s="28" t="n">
        <v>1779999.9912</v>
      </c>
      <c r="J1407" s="7" t="n">
        <v>1780000</v>
      </c>
      <c r="K1407" s="28" t="n">
        <f>J1407-I1407</f>
        <v>0.008799999952316284</v>
      </c>
      <c r="L1407" s="2" t="str">
        <v>NHẬP</v>
      </c>
      <c r="M1407" s="2" t="str"/>
      <c r="N1407" s="2" t="str">
        <v>KHAC</v>
      </c>
    </row>
    <row r="1408" ht="25" customHeight="1">
      <c r="A1408" s="2" t="str">
        <v>Q1706</v>
      </c>
      <c r="B1408" s="2" t="str">
        <v>KH090</v>
      </c>
      <c r="C1408" s="2" t="str">
        <v>KH090</v>
      </c>
      <c r="D1408" s="2" t="str">
        <v>S2-01703-BH</v>
      </c>
      <c r="E1408" s="2" t="str">
        <v>BAN_HANG</v>
      </c>
      <c r="F1408" s="2" t="str">
        <v>INP1503</v>
      </c>
      <c r="G1408" s="2" t="str">
        <v>2026-09-08</v>
      </c>
      <c r="H1408" s="2" t="str">
        <v>1920000.024</v>
      </c>
      <c r="I1408" s="28" t="n">
        <v>1920000.024</v>
      </c>
      <c r="J1408" s="7" t="n">
        <v>1920000</v>
      </c>
      <c r="K1408" s="28" t="n">
        <f>J1408-I1408</f>
        <v>-0.023999999975785613</v>
      </c>
      <c r="L1408" s="2" t="str">
        <v>NHẬP</v>
      </c>
      <c r="M1408" s="2" t="str"/>
      <c r="N1408" s="2" t="str">
        <v>KHAC</v>
      </c>
    </row>
    <row r="1409" ht="25" customHeight="1">
      <c r="A1409" s="2" t="str">
        <v>Q1707</v>
      </c>
      <c r="B1409" s="2" t="str">
        <v>KH090</v>
      </c>
      <c r="C1409" s="2" t="str">
        <v>KH090</v>
      </c>
      <c r="D1409" s="2" t="str">
        <v>S2-01703-BH</v>
      </c>
      <c r="E1409" s="2" t="str">
        <v>BAN_HANG</v>
      </c>
      <c r="F1409" s="2" t="str">
        <v>INP2002</v>
      </c>
      <c r="G1409" s="2" t="str">
        <v>2026-09-08</v>
      </c>
      <c r="H1409" s="2" t="str">
        <v>1839999.996</v>
      </c>
      <c r="I1409" s="28" t="n">
        <v>1839999.996</v>
      </c>
      <c r="J1409" s="7" t="n">
        <v>1840000</v>
      </c>
      <c r="K1409" s="28" t="n">
        <f>J1409-I1409</f>
        <v>0.003999999957159162</v>
      </c>
      <c r="L1409" s="2" t="str">
        <v>NHẬP</v>
      </c>
      <c r="M1409" s="2" t="str"/>
      <c r="N1409" s="2" t="str">
        <v>KHAC</v>
      </c>
    </row>
    <row r="1410" ht="25" customHeight="1">
      <c r="A1410" s="2" t="str">
        <v>Q1708</v>
      </c>
      <c r="B1410" s="2" t="str">
        <v>KH090</v>
      </c>
      <c r="C1410" s="2" t="str">
        <v>KH090</v>
      </c>
      <c r="D1410" s="2" t="str">
        <v>S2-01703-BH</v>
      </c>
      <c r="E1410" s="2" t="str">
        <v>BAN_HANG</v>
      </c>
      <c r="F1410" s="2" t="str">
        <v>INP2301</v>
      </c>
      <c r="G1410" s="2" t="str">
        <v>2026-09-08</v>
      </c>
      <c r="H1410" s="2" t="str">
        <v>2700000.0216</v>
      </c>
      <c r="I1410" s="28" t="n">
        <v>2700000.0216</v>
      </c>
      <c r="J1410" s="7" t="n">
        <v>2700000</v>
      </c>
      <c r="K1410" s="28" t="n">
        <f>J1410-I1410</f>
        <v>-0.021600000094622374</v>
      </c>
      <c r="L1410" s="2" t="str">
        <v>NHẬP</v>
      </c>
      <c r="M1410" s="2" t="str"/>
      <c r="N1410" s="2" t="str">
        <v>KHAC</v>
      </c>
    </row>
    <row r="1411" ht="25" customHeight="1">
      <c r="A1411" s="2" t="str">
        <v>Q1709</v>
      </c>
      <c r="B1411" s="2" t="str">
        <v>KH090</v>
      </c>
      <c r="C1411" s="2" t="str">
        <v>KH090</v>
      </c>
      <c r="D1411" s="2" t="str">
        <v>S2-01703-BH</v>
      </c>
      <c r="E1411" s="2" t="str">
        <v>BAN_HANG</v>
      </c>
      <c r="F1411" s="2" t="str">
        <v>INP3201</v>
      </c>
      <c r="G1411" s="2" t="str">
        <v>2026-09-08</v>
      </c>
      <c r="H1411" s="2" t="str">
        <v>1559999.9952</v>
      </c>
      <c r="I1411" s="28" t="n">
        <v>1559999.9952</v>
      </c>
      <c r="J1411" s="7" t="n">
        <v>1560000</v>
      </c>
      <c r="K1411" s="28" t="n">
        <f>J1411-I1411</f>
        <v>0.004799999995157123</v>
      </c>
      <c r="L1411" s="2" t="str">
        <v>NHẬP</v>
      </c>
      <c r="M1411" s="2" t="str"/>
      <c r="N1411" s="2" t="str">
        <v>KHAC</v>
      </c>
    </row>
    <row r="1412" ht="25" customHeight="1">
      <c r="A1412" s="2" t="str">
        <v>Q1710</v>
      </c>
      <c r="B1412" s="2" t="str">
        <v>KH090</v>
      </c>
      <c r="C1412" s="2" t="str">
        <v>KH090</v>
      </c>
      <c r="D1412" s="2" t="str">
        <v>S2-01703-BH</v>
      </c>
      <c r="E1412" s="2" t="str">
        <v>BAN_HANG</v>
      </c>
      <c r="F1412" s="2" t="str">
        <v>INP3202</v>
      </c>
      <c r="G1412" s="2" t="str">
        <v>2026-09-08</v>
      </c>
      <c r="H1412" s="2" t="str">
        <v>2219999.9832</v>
      </c>
      <c r="I1412" s="28" t="n">
        <v>2219999.9832</v>
      </c>
      <c r="J1412" s="7" t="n">
        <v>2220000</v>
      </c>
      <c r="K1412" s="28" t="n">
        <f>J1412-I1412</f>
        <v>0.016799999866634607</v>
      </c>
      <c r="L1412" s="2" t="str">
        <v>NHẬP</v>
      </c>
      <c r="M1412" s="2" t="str"/>
      <c r="N1412" s="2" t="str">
        <v>KHAC</v>
      </c>
    </row>
    <row r="1413" ht="25" customHeight="1">
      <c r="A1413" s="2" t="str">
        <v>Q1711</v>
      </c>
      <c r="B1413" s="2" t="str">
        <v>KH090</v>
      </c>
      <c r="C1413" s="2" t="str">
        <v>KH090</v>
      </c>
      <c r="D1413" s="2" t="str">
        <v>S2-01703-BH</v>
      </c>
      <c r="E1413" s="2" t="str">
        <v>BAN_HANG</v>
      </c>
      <c r="F1413" s="2" t="str">
        <v>INP6001</v>
      </c>
      <c r="G1413" s="2" t="str">
        <v>2026-09-08</v>
      </c>
      <c r="H1413" s="2" t="str">
        <v>4920000.0048</v>
      </c>
      <c r="I1413" s="28" t="n">
        <v>4920000.0048</v>
      </c>
      <c r="J1413" s="7" t="n">
        <v>4920000</v>
      </c>
      <c r="K1413" s="28" t="n">
        <f>J1413-I1413</f>
        <v>-0.004800000227987766</v>
      </c>
      <c r="L1413" s="2" t="str">
        <v>NHẬP</v>
      </c>
      <c r="M1413" s="2" t="str"/>
      <c r="N1413" s="2" t="str">
        <v>KHAC</v>
      </c>
    </row>
    <row r="1414" ht="25" customHeight="1">
      <c r="A1414" s="2" t="str">
        <v>Q1712</v>
      </c>
      <c r="B1414" s="2" t="str">
        <v>KH090</v>
      </c>
      <c r="C1414" s="2" t="str">
        <v>KH090</v>
      </c>
      <c r="D1414" s="2" t="str">
        <v>S2-01703-BH</v>
      </c>
      <c r="E1414" s="2" t="str">
        <v>BAN_HANG</v>
      </c>
      <c r="F1414" s="2" t="str">
        <v>INP6002</v>
      </c>
      <c r="G1414" s="2" t="str">
        <v>2026-09-08</v>
      </c>
      <c r="H1414" s="2" t="str">
        <v>4739999.9904</v>
      </c>
      <c r="I1414" s="28" t="n">
        <v>4739999.9904</v>
      </c>
      <c r="J1414" s="7" t="n">
        <v>4740000</v>
      </c>
      <c r="K1414" s="28" t="n">
        <f>J1414-I1414</f>
        <v>0.009600000455975533</v>
      </c>
      <c r="L1414" s="2" t="str">
        <v>NHẬP</v>
      </c>
      <c r="M1414" s="2" t="str"/>
      <c r="N1414" s="2" t="str">
        <v>KHAC</v>
      </c>
    </row>
    <row r="1415" ht="25" customHeight="1">
      <c r="A1415" s="2" t="str">
        <v>Q1713</v>
      </c>
      <c r="B1415" s="2" t="str">
        <v>KH090</v>
      </c>
      <c r="C1415" s="2" t="str">
        <v>KH090</v>
      </c>
      <c r="D1415" s="2" t="str">
        <v>S2-01703-BH</v>
      </c>
      <c r="E1415" s="2" t="str">
        <v>BAN_HANG</v>
      </c>
      <c r="F1415" s="2" t="str">
        <v>INP6102</v>
      </c>
      <c r="G1415" s="2" t="str">
        <v>2026-09-08</v>
      </c>
      <c r="H1415" s="2" t="str">
        <v>6077999.9808</v>
      </c>
      <c r="I1415" s="28" t="n">
        <v>6077999.9808</v>
      </c>
      <c r="J1415" s="7" t="n">
        <v>6078000</v>
      </c>
      <c r="K1415" s="28" t="n">
        <f>J1415-I1415</f>
        <v>0.01919999998062849</v>
      </c>
      <c r="L1415" s="2" t="str">
        <v>NHẬP</v>
      </c>
      <c r="M1415" s="2" t="str"/>
      <c r="N1415" s="2" t="str">
        <v>KHAC</v>
      </c>
    </row>
    <row r="1416" ht="25" customHeight="1">
      <c r="A1416" s="2" t="str">
        <v>Q1714</v>
      </c>
      <c r="B1416" s="2" t="str">
        <v>KH090</v>
      </c>
      <c r="C1416" s="2" t="str">
        <v>KH090</v>
      </c>
      <c r="D1416" s="2" t="str">
        <v>S2-01703-BH</v>
      </c>
      <c r="E1416" s="2" t="str">
        <v>BAN_HANG</v>
      </c>
      <c r="F1416" s="2" t="str">
        <v>INP6104</v>
      </c>
      <c r="G1416" s="2" t="str">
        <v>2026-09-08</v>
      </c>
      <c r="H1416" s="2" t="str">
        <v>6528000.0168</v>
      </c>
      <c r="I1416" s="28" t="n">
        <v>6528000.0168</v>
      </c>
      <c r="J1416" s="7" t="n">
        <v>6528000</v>
      </c>
      <c r="K1416" s="28" t="n">
        <f>J1416-I1416</f>
        <v>-0.016800000332295895</v>
      </c>
      <c r="L1416" s="2" t="str">
        <v>NHẬP</v>
      </c>
      <c r="M1416" s="2" t="str"/>
      <c r="N1416" s="2" t="str">
        <v>KHAC</v>
      </c>
    </row>
    <row r="1417" ht="25" customHeight="1">
      <c r="A1417" s="2" t="str">
        <v>S1717</v>
      </c>
      <c r="B1417" s="2" t="str">
        <v>KH091</v>
      </c>
      <c r="C1417" s="2" t="str">
        <v>KH091</v>
      </c>
      <c r="D1417" s="2" t="str">
        <v>S2-01717-VC</v>
      </c>
      <c r="E1417" s="2" t="str">
        <v>PHI_VAN_CHUYEN</v>
      </c>
      <c r="F1417" s="2" t="str"/>
      <c r="G1417" s="2" t="str">
        <v>2026-09-12</v>
      </c>
      <c r="H1417" s="2" t="str">
        <v>280000</v>
      </c>
      <c r="I1417" s="28" t="n">
        <v>280000</v>
      </c>
      <c r="J1417" s="7" t="n">
        <v>280000</v>
      </c>
      <c r="K1417" s="28" t="n">
        <f>J1417-I1417</f>
        <v>0</v>
      </c>
      <c r="L1417" s="2" t="str">
        <v>NHẬP</v>
      </c>
      <c r="M1417" s="2" t="str"/>
      <c r="N1417" s="2" t="str">
        <v>KHAC</v>
      </c>
    </row>
    <row r="1418" ht="25" customHeight="1">
      <c r="A1418" s="2" t="str">
        <v>S1718</v>
      </c>
      <c r="B1418" s="2" t="str">
        <v>KH091</v>
      </c>
      <c r="C1418" s="2" t="str">
        <v>KH091</v>
      </c>
      <c r="D1418" s="2" t="str">
        <v>S2-01718-VC</v>
      </c>
      <c r="E1418" s="2" t="str">
        <v>PHI_VAN_CHUYEN</v>
      </c>
      <c r="F1418" s="2" t="str"/>
      <c r="G1418" s="2" t="str">
        <v>2026-09-08</v>
      </c>
      <c r="H1418" s="2" t="str">
        <v>700000</v>
      </c>
      <c r="I1418" s="28" t="n">
        <v>700000</v>
      </c>
      <c r="J1418" s="7" t="n">
        <v>700000</v>
      </c>
      <c r="K1418" s="28" t="n">
        <f>J1418-I1418</f>
        <v>0</v>
      </c>
      <c r="L1418" s="2" t="str">
        <v>NHẬP</v>
      </c>
      <c r="M1418" s="2" t="str"/>
      <c r="N1418" s="2" t="str">
        <v>KHAC</v>
      </c>
    </row>
    <row r="1419" ht="25" customHeight="1">
      <c r="A1419" s="2" t="str">
        <v>R1719</v>
      </c>
      <c r="B1419" s="2" t="str">
        <v>KH083</v>
      </c>
      <c r="C1419" s="2" t="str">
        <v>KH083</v>
      </c>
      <c r="D1419" s="2" t="str">
        <v>S2-01719-TT</v>
      </c>
      <c r="E1419" s="2" t="str">
        <v>THU_TIEN</v>
      </c>
      <c r="F1419" s="2" t="str"/>
      <c r="G1419" s="2" t="str">
        <v>2026-09-14</v>
      </c>
      <c r="H1419" s="2" t="str">
        <v>1960000</v>
      </c>
      <c r="I1419" s="28" t="n">
        <v>1960000</v>
      </c>
      <c r="J1419" s="7" t="n">
        <v>1960000</v>
      </c>
      <c r="K1419" s="28" t="n">
        <f>J1419-I1419</f>
        <v>0</v>
      </c>
      <c r="L1419" s="2" t="str">
        <v>NHẬP</v>
      </c>
      <c r="M1419" s="2" t="str"/>
      <c r="N1419" s="2" t="str">
        <v>KHAC</v>
      </c>
    </row>
    <row r="1420" ht="25" customHeight="1">
      <c r="A1420" s="2" t="str">
        <v>Q1721</v>
      </c>
      <c r="B1420" s="2" t="str">
        <v>KH024</v>
      </c>
      <c r="C1420" s="2" t="str">
        <v>KH024</v>
      </c>
      <c r="D1420" s="2" t="str">
        <v>S2-01721-BH</v>
      </c>
      <c r="E1420" s="2" t="str">
        <v>BAN_HANG</v>
      </c>
      <c r="F1420" s="2" t="str">
        <v>INP6105</v>
      </c>
      <c r="G1420" s="2" t="str">
        <v>2026-09-14</v>
      </c>
      <c r="H1420" s="2" t="str">
        <v>8760000.0528</v>
      </c>
      <c r="I1420" s="28" t="n">
        <v>8760000.0528</v>
      </c>
      <c r="J1420" s="7" t="n">
        <v>8760000</v>
      </c>
      <c r="K1420" s="28" t="n">
        <f>J1420-I1420</f>
        <v>-0.052799999713897705</v>
      </c>
      <c r="L1420" s="2" t="str">
        <v>NHẬP</v>
      </c>
      <c r="M1420" s="2" t="str"/>
      <c r="N1420" s="2" t="str">
        <v>KHAC</v>
      </c>
    </row>
    <row r="1421" ht="25" customHeight="1">
      <c r="A1421" s="2" t="str">
        <v>Q1722</v>
      </c>
      <c r="B1421" s="2" t="str">
        <v>KH024</v>
      </c>
      <c r="C1421" s="2" t="str">
        <v>KH024</v>
      </c>
      <c r="D1421" s="2" t="str">
        <v>S2-01721-BH</v>
      </c>
      <c r="E1421" s="2" t="str">
        <v>BAN_HANG</v>
      </c>
      <c r="F1421" s="2" t="str">
        <v>INP1301B</v>
      </c>
      <c r="G1421" s="2" t="str">
        <v>2026-09-14</v>
      </c>
      <c r="H1421" s="2" t="str">
        <v>11999999.88</v>
      </c>
      <c r="I1421" s="28" t="n">
        <v>11999999.88</v>
      </c>
      <c r="J1421" s="7" t="n">
        <v>12000000</v>
      </c>
      <c r="K1421" s="28" t="n">
        <f>J1421-I1421</f>
        <v>0.11999999918043613</v>
      </c>
      <c r="L1421" s="2" t="str">
        <v>NHẬP</v>
      </c>
      <c r="M1421" s="2" t="str"/>
      <c r="N1421" s="2" t="str">
        <v>KHAC</v>
      </c>
    </row>
    <row r="1422" ht="25" customHeight="1">
      <c r="A1422" s="2" t="str">
        <v>S1724</v>
      </c>
      <c r="B1422" s="2" t="str">
        <v>KH024</v>
      </c>
      <c r="C1422" s="2" t="str">
        <v>KH024</v>
      </c>
      <c r="D1422" s="2" t="str">
        <v>S2-01724-VC</v>
      </c>
      <c r="E1422" s="2" t="str">
        <v>PHI_VAN_CHUYEN</v>
      </c>
      <c r="F1422" s="2" t="str"/>
      <c r="G1422" s="2" t="str">
        <v>2026-09-14</v>
      </c>
      <c r="H1422" s="2" t="str">
        <v>350000</v>
      </c>
      <c r="I1422" s="28" t="n">
        <v>350000</v>
      </c>
      <c r="J1422" s="7" t="n">
        <v>350000</v>
      </c>
      <c r="K1422" s="28" t="n">
        <f>J1422-I1422</f>
        <v>0</v>
      </c>
      <c r="L1422" s="2" t="str">
        <v>NHẬP</v>
      </c>
      <c r="M1422" s="2" t="str"/>
      <c r="N1422" s="2" t="str">
        <v>KHAC</v>
      </c>
    </row>
    <row r="1423" ht="25" customHeight="1">
      <c r="A1423" s="2" t="str">
        <v>Q1725</v>
      </c>
      <c r="B1423" s="2" t="str">
        <v>KH004</v>
      </c>
      <c r="C1423" s="2" t="str">
        <v>KH004</v>
      </c>
      <c r="D1423" s="2" t="str">
        <v>S2-01725-BH</v>
      </c>
      <c r="E1423" s="2" t="str">
        <v>BAN_HANG</v>
      </c>
      <c r="F1423" s="2" t="str">
        <v>INP6004</v>
      </c>
      <c r="G1423" s="2" t="str">
        <v>2026-09-14</v>
      </c>
      <c r="H1423" s="2" t="str">
        <v>629999.9964</v>
      </c>
      <c r="I1423" s="28" t="n">
        <v>629999.9964</v>
      </c>
      <c r="J1423" s="7" t="n">
        <v>630000</v>
      </c>
      <c r="K1423" s="28" t="n">
        <f>J1423-I1423</f>
        <v>0.003600000054575503</v>
      </c>
      <c r="L1423" s="2" t="str">
        <v>NHẬP</v>
      </c>
      <c r="M1423" s="2" t="str"/>
      <c r="N1423" s="2" t="str">
        <v>KHAC</v>
      </c>
    </row>
    <row r="1424" ht="25" customHeight="1">
      <c r="A1424" s="2" t="str">
        <v>Q1726</v>
      </c>
      <c r="B1424" s="2" t="str">
        <v>KH004</v>
      </c>
      <c r="C1424" s="2" t="str">
        <v>KH004</v>
      </c>
      <c r="D1424" s="2" t="str">
        <v>S2-01725-BH</v>
      </c>
      <c r="E1424" s="2" t="str">
        <v>BAN_HANG</v>
      </c>
      <c r="F1424" s="2" t="str">
        <v>INP6005</v>
      </c>
      <c r="G1424" s="2" t="str">
        <v>2026-09-14</v>
      </c>
      <c r="H1424" s="2" t="str">
        <v>745999.9992</v>
      </c>
      <c r="I1424" s="28" t="n">
        <v>745999.9992</v>
      </c>
      <c r="J1424" s="7" t="n">
        <v>746000</v>
      </c>
      <c r="K1424" s="28" t="n">
        <f>J1424-I1424</f>
        <v>0.000800000037997961</v>
      </c>
      <c r="L1424" s="2" t="str">
        <v>NHẬP</v>
      </c>
      <c r="M1424" s="2" t="str"/>
      <c r="N1424" s="2" t="str">
        <v>KHAC</v>
      </c>
    </row>
    <row r="1425" ht="25" customHeight="1">
      <c r="A1425" s="2" t="str">
        <v>Q1727</v>
      </c>
      <c r="B1425" s="2" t="str">
        <v>KH004</v>
      </c>
      <c r="C1425" s="2" t="str">
        <v>KH004</v>
      </c>
      <c r="D1425" s="2" t="str">
        <v>S2-01725-BH</v>
      </c>
      <c r="E1425" s="2" t="str">
        <v>BAN_HANG</v>
      </c>
      <c r="F1425" s="2" t="str">
        <v>INP6006</v>
      </c>
      <c r="G1425" s="2" t="str">
        <v>2026-09-14</v>
      </c>
      <c r="H1425" s="2" t="str">
        <v>629999.9964</v>
      </c>
      <c r="I1425" s="28" t="n">
        <v>629999.9964</v>
      </c>
      <c r="J1425" s="7" t="n">
        <v>630000</v>
      </c>
      <c r="K1425" s="28" t="n">
        <f>J1425-I1425</f>
        <v>0.003600000054575503</v>
      </c>
      <c r="L1425" s="2" t="str">
        <v>NHẬP</v>
      </c>
      <c r="M1425" s="2" t="str"/>
      <c r="N1425" s="2" t="str">
        <v>KHAC</v>
      </c>
    </row>
    <row r="1426" ht="25" customHeight="1">
      <c r="A1426" s="2" t="str">
        <v>Q1728</v>
      </c>
      <c r="B1426" s="2" t="str">
        <v>KH004</v>
      </c>
      <c r="C1426" s="2" t="str">
        <v>KH004</v>
      </c>
      <c r="D1426" s="2" t="str">
        <v>S2-01725-BH</v>
      </c>
      <c r="E1426" s="2" t="str">
        <v>BAN_HANG</v>
      </c>
      <c r="F1426" s="2" t="str">
        <v>INP6008</v>
      </c>
      <c r="G1426" s="2" t="str">
        <v>2026-09-14</v>
      </c>
      <c r="H1426" s="2" t="str">
        <v>669999.9996</v>
      </c>
      <c r="I1426" s="28" t="n">
        <v>669999.9996</v>
      </c>
      <c r="J1426" s="7" t="n">
        <v>670000</v>
      </c>
      <c r="K1426" s="28" t="n">
        <f>J1426-I1426</f>
        <v>0.0004000000189989805</v>
      </c>
      <c r="L1426" s="2" t="str">
        <v>NHẬP</v>
      </c>
      <c r="M1426" s="2" t="str"/>
      <c r="N1426" s="2" t="str">
        <v>KHAC</v>
      </c>
    </row>
    <row r="1427" ht="25" customHeight="1">
      <c r="A1427" s="2" t="str">
        <v>Q1729</v>
      </c>
      <c r="B1427" s="2" t="str">
        <v>KH004</v>
      </c>
      <c r="C1427" s="2" t="str">
        <v>KH004</v>
      </c>
      <c r="D1427" s="2" t="str">
        <v>S2-01725-BH</v>
      </c>
      <c r="E1427" s="2" t="str">
        <v>BAN_HANG</v>
      </c>
      <c r="F1427" s="2" t="str">
        <v>INP6009</v>
      </c>
      <c r="G1427" s="2" t="str">
        <v>2026-09-14</v>
      </c>
      <c r="H1427" s="2" t="str">
        <v>799999.9992</v>
      </c>
      <c r="I1427" s="28" t="n">
        <v>799999.9992</v>
      </c>
      <c r="J1427" s="7" t="n">
        <v>800000</v>
      </c>
      <c r="K1427" s="28" t="n">
        <f>J1427-I1427</f>
        <v>0.000800000037997961</v>
      </c>
      <c r="L1427" s="2" t="str">
        <v>NHẬP</v>
      </c>
      <c r="M1427" s="2" t="str"/>
      <c r="N1427" s="2" t="str">
        <v>KHAC</v>
      </c>
    </row>
    <row r="1428" ht="25" customHeight="1">
      <c r="A1428" s="2" t="str">
        <v>Q1730</v>
      </c>
      <c r="B1428" s="2" t="str">
        <v>KH004</v>
      </c>
      <c r="C1428" s="2" t="str">
        <v>KH004</v>
      </c>
      <c r="D1428" s="2" t="str">
        <v>S2-01725-BH</v>
      </c>
      <c r="E1428" s="2" t="str">
        <v>BAN_HANG</v>
      </c>
      <c r="F1428" s="2" t="str">
        <v>INP6010</v>
      </c>
      <c r="G1428" s="2" t="str">
        <v>2026-09-14</v>
      </c>
      <c r="H1428" s="2" t="str">
        <v>569999.9916</v>
      </c>
      <c r="I1428" s="28" t="n">
        <v>569999.9916</v>
      </c>
      <c r="J1428" s="7" t="n">
        <v>570000</v>
      </c>
      <c r="K1428" s="28" t="n">
        <f>J1428-I1428</f>
        <v>0.008400000049732625</v>
      </c>
      <c r="L1428" s="2" t="str">
        <v>NHẬP</v>
      </c>
      <c r="M1428" s="2" t="str"/>
      <c r="N1428" s="2" t="str">
        <v>KHAC</v>
      </c>
    </row>
    <row r="1429" ht="25" customHeight="1">
      <c r="A1429" s="2" t="str">
        <v>Q1731</v>
      </c>
      <c r="B1429" s="2" t="str">
        <v>KH004</v>
      </c>
      <c r="C1429" s="2" t="str">
        <v>KH004</v>
      </c>
      <c r="D1429" s="2" t="str">
        <v>S2-01725-BH</v>
      </c>
      <c r="E1429" s="2" t="str">
        <v>BAN_HANG</v>
      </c>
      <c r="F1429" s="2" t="str">
        <v>INP6011</v>
      </c>
      <c r="G1429" s="2" t="str">
        <v>2026-09-14</v>
      </c>
      <c r="H1429" s="2" t="str">
        <v>659999.9988</v>
      </c>
      <c r="I1429" s="28" t="n">
        <v>659999.9988</v>
      </c>
      <c r="J1429" s="7" t="n">
        <v>660000</v>
      </c>
      <c r="K1429" s="28" t="n">
        <f>J1429-I1429</f>
        <v>0.0012000000569969416</v>
      </c>
      <c r="L1429" s="2" t="str">
        <v>NHẬP</v>
      </c>
      <c r="M1429" s="2" t="str"/>
      <c r="N1429" s="2" t="str">
        <v>KHAC</v>
      </c>
    </row>
    <row r="1430" ht="25" customHeight="1">
      <c r="A1430" s="2" t="str">
        <v>S1732</v>
      </c>
      <c r="B1430" s="2" t="str">
        <v>KH058</v>
      </c>
      <c r="C1430" s="2" t="str">
        <v>KH058</v>
      </c>
      <c r="D1430" s="2" t="str">
        <v>S2-01732-VC</v>
      </c>
      <c r="E1430" s="2" t="str">
        <v>PHI_VAN_CHUYEN</v>
      </c>
      <c r="F1430" s="2" t="str"/>
      <c r="G1430" s="2" t="str">
        <v>2026-09-11</v>
      </c>
      <c r="H1430" s="2" t="str">
        <v>660000</v>
      </c>
      <c r="I1430" s="28" t="n">
        <v>660000</v>
      </c>
      <c r="J1430" s="7" t="n">
        <v>660000</v>
      </c>
      <c r="K1430" s="28" t="n">
        <f>J1430-I1430</f>
        <v>0</v>
      </c>
      <c r="L1430" s="2" t="str">
        <v>NHẬP</v>
      </c>
      <c r="M1430" s="2" t="str"/>
      <c r="N1430" s="2" t="str">
        <v>KHAC</v>
      </c>
    </row>
    <row r="1431" ht="25" customHeight="1">
      <c r="A1431" s="2" t="str">
        <v>R1733</v>
      </c>
      <c r="B1431" s="2" t="str">
        <v>KH070</v>
      </c>
      <c r="C1431" s="2" t="str">
        <v>KH070</v>
      </c>
      <c r="D1431" s="2" t="str">
        <v>S2-01733-TT</v>
      </c>
      <c r="E1431" s="2" t="str">
        <v>THU_TIEN</v>
      </c>
      <c r="F1431" s="2" t="str"/>
      <c r="G1431" s="2" t="str">
        <v>2026-09-15</v>
      </c>
      <c r="H1431" s="2" t="str">
        <v>12640000</v>
      </c>
      <c r="I1431" s="28" t="n">
        <v>12640000</v>
      </c>
      <c r="J1431" s="7" t="n">
        <v>12640000</v>
      </c>
      <c r="K1431" s="28" t="n">
        <f>J1431-I1431</f>
        <v>0</v>
      </c>
      <c r="L1431" s="2" t="str">
        <v>NHẬP</v>
      </c>
      <c r="M1431" s="2" t="str"/>
      <c r="N1431" s="2" t="str">
        <v>KHAC</v>
      </c>
    </row>
    <row r="1432" ht="25" customHeight="1">
      <c r="A1432" s="2" t="str">
        <v>Q1736</v>
      </c>
      <c r="B1432" s="2" t="str">
        <v>KH025</v>
      </c>
      <c r="C1432" s="2" t="str">
        <v>KH025</v>
      </c>
      <c r="D1432" s="2" t="str">
        <v>S2-01736-BH</v>
      </c>
      <c r="E1432" s="2" t="str">
        <v>BAN_HANG</v>
      </c>
      <c r="F1432" s="2" t="str">
        <v>INP6202</v>
      </c>
      <c r="G1432" s="2" t="str">
        <v>2026-09-14</v>
      </c>
      <c r="H1432" s="2" t="str">
        <v>4679999.9856</v>
      </c>
      <c r="I1432" s="28" t="n">
        <v>4679999.9856</v>
      </c>
      <c r="J1432" s="7" t="n">
        <v>4680000</v>
      </c>
      <c r="K1432" s="28" t="n">
        <f>J1432-I1432</f>
        <v>0.014399999752640724</v>
      </c>
      <c r="L1432" s="2" t="str">
        <v>NHẬP</v>
      </c>
      <c r="M1432" s="2" t="str"/>
      <c r="N1432" s="2" t="str">
        <v>KHAC</v>
      </c>
    </row>
    <row r="1433" ht="25" customHeight="1">
      <c r="A1433" s="2" t="str">
        <v>Q1737</v>
      </c>
      <c r="B1433" s="2" t="str">
        <v>KH086</v>
      </c>
      <c r="C1433" s="2" t="str">
        <v>KH086</v>
      </c>
      <c r="D1433" s="2" t="str">
        <v>S2-01737-TH</v>
      </c>
      <c r="E1433" s="2" t="str">
        <v>TRA_HANG</v>
      </c>
      <c r="F1433" s="2" t="str">
        <v>INP6902</v>
      </c>
      <c r="G1433" s="2" t="str">
        <v>2026-09-15</v>
      </c>
      <c r="H1433" s="2" t="str">
        <v>8799999.948</v>
      </c>
      <c r="I1433" s="28" t="n">
        <v>8799999.948</v>
      </c>
      <c r="J1433" s="7" t="n">
        <v>8800000</v>
      </c>
      <c r="K1433" s="28" t="n">
        <f>J1433-I1433</f>
        <v>0.05199999921023846</v>
      </c>
      <c r="L1433" s="2" t="str">
        <v>NHẬP</v>
      </c>
      <c r="M1433" s="2" t="str"/>
      <c r="N1433" s="2" t="str">
        <v>KHAC</v>
      </c>
    </row>
    <row r="1434" ht="25" customHeight="1">
      <c r="A1434" s="2" t="str">
        <v>Q1738</v>
      </c>
      <c r="B1434" s="2" t="str">
        <v>KH086</v>
      </c>
      <c r="C1434" s="2" t="str">
        <v>KH086</v>
      </c>
      <c r="D1434" s="2" t="str">
        <v>S2-01737-TH</v>
      </c>
      <c r="E1434" s="2" t="str">
        <v>TRA_HANG</v>
      </c>
      <c r="F1434" s="2" t="str">
        <v>INP6903</v>
      </c>
      <c r="G1434" s="2" t="str">
        <v>2026-09-15</v>
      </c>
      <c r="H1434" s="2" t="str">
        <v>9799999.92</v>
      </c>
      <c r="I1434" s="28" t="n">
        <v>9799999.92</v>
      </c>
      <c r="J1434" s="7" t="n">
        <v>9800000</v>
      </c>
      <c r="K1434" s="28" t="n">
        <f>J1434-I1434</f>
        <v>0.0800000000745058</v>
      </c>
      <c r="L1434" s="2" t="str">
        <v>NHẬP</v>
      </c>
      <c r="M1434" s="2" t="str"/>
      <c r="N1434" s="2" t="str">
        <v>KHAC</v>
      </c>
    </row>
    <row r="1435" ht="25" customHeight="1">
      <c r="A1435" s="2" t="str">
        <v>Q1739</v>
      </c>
      <c r="B1435" s="2" t="str">
        <v>KH086</v>
      </c>
      <c r="C1435" s="2" t="str">
        <v>KH086</v>
      </c>
      <c r="D1435" s="2" t="str">
        <v>S2-01737-TH</v>
      </c>
      <c r="E1435" s="2" t="str">
        <v>TRA_HANG</v>
      </c>
      <c r="F1435" s="2" t="str">
        <v>INP6601</v>
      </c>
      <c r="G1435" s="2" t="str">
        <v>2026-09-15</v>
      </c>
      <c r="H1435" s="2" t="str">
        <v>5199996.96</v>
      </c>
      <c r="I1435" s="28" t="n">
        <v>5199996.96</v>
      </c>
      <c r="J1435" s="7" t="n">
        <v>5199997</v>
      </c>
      <c r="K1435" s="28" t="n">
        <f>J1435-I1435</f>
        <v>0.0400000000372529</v>
      </c>
      <c r="L1435" s="2" t="str">
        <v>NHẬP</v>
      </c>
      <c r="M1435" s="2" t="str"/>
      <c r="N1435" s="2" t="str">
        <v>KHAC</v>
      </c>
    </row>
    <row r="1436" ht="25" customHeight="1">
      <c r="A1436" s="2" t="str">
        <v>Q1740</v>
      </c>
      <c r="B1436" s="2" t="str">
        <v>KH086</v>
      </c>
      <c r="C1436" s="2" t="str">
        <v>KH086</v>
      </c>
      <c r="D1436" s="2" t="str">
        <v>S2-01737-TH</v>
      </c>
      <c r="E1436" s="2" t="str">
        <v>TRA_HANG</v>
      </c>
      <c r="F1436" s="2" t="str">
        <v>INP6602</v>
      </c>
      <c r="G1436" s="2" t="str">
        <v>2026-09-15</v>
      </c>
      <c r="H1436" s="2" t="str">
        <v>5879999.52</v>
      </c>
      <c r="I1436" s="28" t="n">
        <v>5879999.52</v>
      </c>
      <c r="J1436" s="7" t="n">
        <v>5879999</v>
      </c>
      <c r="K1436" s="28" t="n">
        <f>J1436-I1436</f>
        <v>-0.5199999995529652</v>
      </c>
      <c r="L1436" s="2" t="str">
        <v>NHẬP</v>
      </c>
      <c r="M1436" s="2" t="str"/>
      <c r="N1436" s="2" t="str">
        <v>KHAC</v>
      </c>
    </row>
    <row r="1437" ht="25" customHeight="1">
      <c r="A1437" s="2" t="str">
        <v>Q1741</v>
      </c>
      <c r="B1437" s="2" t="str">
        <v>KH086</v>
      </c>
      <c r="C1437" s="2" t="str">
        <v>KH086</v>
      </c>
      <c r="D1437" s="2" t="str">
        <v>S2-01737-TH</v>
      </c>
      <c r="E1437" s="2" t="str">
        <v>TRA_HANG</v>
      </c>
      <c r="F1437" s="2" t="str">
        <v>INP6802</v>
      </c>
      <c r="G1437" s="2" t="str">
        <v>2026-09-15</v>
      </c>
      <c r="H1437" s="2" t="str">
        <v>953000.0028</v>
      </c>
      <c r="I1437" s="28" t="n">
        <v>953000.0028</v>
      </c>
      <c r="J1437" s="7" t="n">
        <v>953000</v>
      </c>
      <c r="K1437" s="28" t="n">
        <f>J1437-I1437</f>
        <v>-0.002800000016577542</v>
      </c>
      <c r="L1437" s="2" t="str">
        <v>NHẬP</v>
      </c>
      <c r="M1437" s="2" t="str"/>
      <c r="N1437" s="2" t="str">
        <v>KHAC</v>
      </c>
    </row>
    <row r="1438" ht="25" customHeight="1">
      <c r="A1438" s="2" t="str">
        <v>R1742</v>
      </c>
      <c r="B1438" s="2" t="str">
        <v>KH082</v>
      </c>
      <c r="C1438" s="2" t="str">
        <v>KH082</v>
      </c>
      <c r="D1438" s="2" t="str">
        <v>S2-01742-TT</v>
      </c>
      <c r="E1438" s="2" t="str">
        <v>THU_TIEN</v>
      </c>
      <c r="F1438" s="2" t="str"/>
      <c r="G1438" s="2" t="str">
        <v>2026-09-16</v>
      </c>
      <c r="H1438" s="2" t="str">
        <v>2700000</v>
      </c>
      <c r="I1438" s="28" t="n">
        <v>2700000</v>
      </c>
      <c r="J1438" s="7" t="n">
        <v>2700000</v>
      </c>
      <c r="K1438" s="28" t="n">
        <f>J1438-I1438</f>
        <v>0</v>
      </c>
      <c r="L1438" s="2" t="str">
        <v>NHẬP</v>
      </c>
      <c r="M1438" s="2" t="str"/>
      <c r="N1438" s="2" t="str">
        <v>KHAC</v>
      </c>
    </row>
    <row r="1439" ht="25" customHeight="1">
      <c r="A1439" s="2" t="str">
        <v>S1743</v>
      </c>
      <c r="B1439" s="2" t="str">
        <v>KH034</v>
      </c>
      <c r="C1439" s="2" t="str">
        <v>KH034</v>
      </c>
      <c r="D1439" s="2" t="str">
        <v>S2-01743-VC</v>
      </c>
      <c r="E1439" s="2" t="str">
        <v>PHI_VAN_CHUYEN</v>
      </c>
      <c r="F1439" s="2" t="str"/>
      <c r="G1439" s="2" t="str">
        <v>2026-09-16</v>
      </c>
      <c r="H1439" s="2" t="str">
        <v>820000</v>
      </c>
      <c r="I1439" s="28" t="n">
        <v>820000</v>
      </c>
      <c r="J1439" s="7" t="n">
        <v>820000</v>
      </c>
      <c r="K1439" s="28" t="n">
        <f>J1439-I1439</f>
        <v>0</v>
      </c>
      <c r="L1439" s="2" t="str">
        <v>NHẬP</v>
      </c>
      <c r="M1439" s="2" t="str"/>
      <c r="N1439" s="2" t="str">
        <v>KHAC</v>
      </c>
    </row>
    <row r="1440" ht="25" customHeight="1">
      <c r="A1440" s="2" t="str">
        <v>Q1744</v>
      </c>
      <c r="B1440" s="2" t="str">
        <v>KH092</v>
      </c>
      <c r="C1440" s="2" t="str">
        <v>KH092</v>
      </c>
      <c r="D1440" s="2" t="str">
        <v>S2-01744-BH</v>
      </c>
      <c r="E1440" s="2" t="str">
        <v>BAN_HANG</v>
      </c>
      <c r="F1440" s="2" t="str">
        <v>INP1001</v>
      </c>
      <c r="G1440" s="2" t="str">
        <v>2026-09-14</v>
      </c>
      <c r="H1440" s="2" t="str">
        <v>1137999.996</v>
      </c>
      <c r="I1440" s="28" t="n">
        <v>1137999.996</v>
      </c>
      <c r="J1440" s="7" t="n">
        <v>1138000</v>
      </c>
      <c r="K1440" s="28" t="n">
        <f>J1440-I1440</f>
        <v>0.003999999957159162</v>
      </c>
      <c r="L1440" s="2" t="str">
        <v>NHẬP</v>
      </c>
      <c r="M1440" s="2" t="str"/>
      <c r="N1440" s="2" t="str">
        <v>KHAC</v>
      </c>
    </row>
    <row r="1441" ht="25" customHeight="1">
      <c r="A1441" s="2" t="str">
        <v>Q1745</v>
      </c>
      <c r="B1441" s="2" t="str">
        <v>KH092</v>
      </c>
      <c r="C1441" s="2" t="str">
        <v>KH092</v>
      </c>
      <c r="D1441" s="2" t="str">
        <v>S2-01744-BH</v>
      </c>
      <c r="E1441" s="2" t="str">
        <v>BAN_HANG</v>
      </c>
      <c r="F1441" s="2" t="str">
        <v>INP1002</v>
      </c>
      <c r="G1441" s="2" t="str">
        <v>2026-09-14</v>
      </c>
      <c r="H1441" s="2" t="str">
        <v>1498000.0032</v>
      </c>
      <c r="I1441" s="28" t="n">
        <v>1498000.0032</v>
      </c>
      <c r="J1441" s="7" t="n">
        <v>1498000</v>
      </c>
      <c r="K1441" s="28" t="n">
        <f>J1441-I1441</f>
        <v>-0.0031999999191612005</v>
      </c>
      <c r="L1441" s="2" t="str">
        <v>NHẬP</v>
      </c>
      <c r="M1441" s="2" t="str"/>
      <c r="N1441" s="2" t="str">
        <v>KHAC</v>
      </c>
    </row>
    <row r="1442" ht="25" customHeight="1">
      <c r="A1442" s="2" t="str">
        <v>Q1746</v>
      </c>
      <c r="B1442" s="2" t="str">
        <v>KH092</v>
      </c>
      <c r="C1442" s="2" t="str">
        <v>KH092</v>
      </c>
      <c r="D1442" s="2" t="str">
        <v>S2-01744-BH</v>
      </c>
      <c r="E1442" s="2" t="str">
        <v>BAN_HANG</v>
      </c>
      <c r="F1442" s="2" t="str">
        <v>INP1003</v>
      </c>
      <c r="G1442" s="2" t="str">
        <v>2026-09-14</v>
      </c>
      <c r="H1442" s="2" t="str">
        <v>799999.9992</v>
      </c>
      <c r="I1442" s="28" t="n">
        <v>799999.9992</v>
      </c>
      <c r="J1442" s="7" t="n">
        <v>800000</v>
      </c>
      <c r="K1442" s="28" t="n">
        <f>J1442-I1442</f>
        <v>0.000800000037997961</v>
      </c>
      <c r="L1442" s="2" t="str">
        <v>NHẬP</v>
      </c>
      <c r="M1442" s="2" t="str"/>
      <c r="N1442" s="2" t="str">
        <v>KHAC</v>
      </c>
    </row>
    <row r="1443" ht="25" customHeight="1">
      <c r="A1443" s="2" t="str">
        <v>Q1747</v>
      </c>
      <c r="B1443" s="2" t="str">
        <v>KH092</v>
      </c>
      <c r="C1443" s="2" t="str">
        <v>KH092</v>
      </c>
      <c r="D1443" s="2" t="str">
        <v>S2-01744-BH</v>
      </c>
      <c r="E1443" s="2" t="str">
        <v>BAN_HANG</v>
      </c>
      <c r="F1443" s="2" t="str">
        <v>INP1202</v>
      </c>
      <c r="G1443" s="2" t="str">
        <v>2026-09-14</v>
      </c>
      <c r="H1443" s="2" t="str">
        <v>1120000.0032</v>
      </c>
      <c r="I1443" s="28" t="n">
        <v>1120000.0032</v>
      </c>
      <c r="J1443" s="7" t="n">
        <v>1120000</v>
      </c>
      <c r="K1443" s="28" t="n">
        <f>J1443-I1443</f>
        <v>-0.0031999999191612005</v>
      </c>
      <c r="L1443" s="2" t="str">
        <v>NHẬP</v>
      </c>
      <c r="M1443" s="2" t="str"/>
      <c r="N1443" s="2" t="str">
        <v>KHAC</v>
      </c>
    </row>
    <row r="1444" ht="25" customHeight="1">
      <c r="A1444" s="2" t="str">
        <v>Q1748</v>
      </c>
      <c r="B1444" s="2" t="str">
        <v>KH092</v>
      </c>
      <c r="C1444" s="2" t="str">
        <v>KH092</v>
      </c>
      <c r="D1444" s="2" t="str">
        <v>S2-01744-BH</v>
      </c>
      <c r="E1444" s="2" t="str">
        <v>BAN_HANG</v>
      </c>
      <c r="F1444" s="2" t="str">
        <v>INP1301B</v>
      </c>
      <c r="G1444" s="2" t="str">
        <v>2026-09-14</v>
      </c>
      <c r="H1444" s="2" t="str">
        <v>280000.0008</v>
      </c>
      <c r="I1444" s="28" t="n">
        <v>280000.0008</v>
      </c>
      <c r="J1444" s="7" t="n">
        <v>280000</v>
      </c>
      <c r="K1444" s="28" t="n">
        <f>J1444-I1444</f>
        <v>-0.0007999999797903001</v>
      </c>
      <c r="L1444" s="2" t="str">
        <v>NHẬP</v>
      </c>
      <c r="M1444" s="2" t="str"/>
      <c r="N1444" s="2" t="str">
        <v>KHAC</v>
      </c>
    </row>
    <row r="1445" ht="25" customHeight="1">
      <c r="A1445" s="2" t="str">
        <v>Q1749</v>
      </c>
      <c r="B1445" s="2" t="str">
        <v>KH092</v>
      </c>
      <c r="C1445" s="2" t="str">
        <v>KH092</v>
      </c>
      <c r="D1445" s="2" t="str">
        <v>S2-01744-BH</v>
      </c>
      <c r="E1445" s="2" t="str">
        <v>BAN_HANG</v>
      </c>
      <c r="F1445" s="2" t="str">
        <v>INP1501</v>
      </c>
      <c r="G1445" s="2" t="str">
        <v>2026-09-14</v>
      </c>
      <c r="H1445" s="2" t="str">
        <v>320000.004</v>
      </c>
      <c r="I1445" s="28" t="n">
        <v>320000.004</v>
      </c>
      <c r="J1445" s="7" t="n">
        <v>320000</v>
      </c>
      <c r="K1445" s="28" t="n">
        <f>J1445-I1445</f>
        <v>-0.0040000000153668225</v>
      </c>
      <c r="L1445" s="2" t="str">
        <v>NHẬP</v>
      </c>
      <c r="M1445" s="2" t="str"/>
      <c r="N1445" s="2" t="str">
        <v>KHAC</v>
      </c>
    </row>
    <row r="1446" ht="25" customHeight="1">
      <c r="A1446" s="2" t="str">
        <v>Q1750</v>
      </c>
      <c r="B1446" s="2" t="str">
        <v>KH092</v>
      </c>
      <c r="C1446" s="2" t="str">
        <v>KH092</v>
      </c>
      <c r="D1446" s="2" t="str">
        <v>S2-01744-BH</v>
      </c>
      <c r="E1446" s="2" t="str">
        <v>BAN_HANG</v>
      </c>
      <c r="F1446" s="2" t="str">
        <v>INP2101</v>
      </c>
      <c r="G1446" s="2" t="str">
        <v>2026-09-14</v>
      </c>
      <c r="H1446" s="2" t="str">
        <v>546000.0048</v>
      </c>
      <c r="I1446" s="28" t="n">
        <v>546000.0048</v>
      </c>
      <c r="J1446" s="7" t="n">
        <v>546000</v>
      </c>
      <c r="K1446" s="28" t="n">
        <f>J1446-I1446</f>
        <v>-0.004799999995157123</v>
      </c>
      <c r="L1446" s="2" t="str">
        <v>NHẬP</v>
      </c>
      <c r="M1446" s="2" t="str"/>
      <c r="N1446" s="2" t="str">
        <v>KHAC</v>
      </c>
    </row>
    <row r="1447" ht="25" customHeight="1">
      <c r="A1447" s="2" t="str">
        <v>Q1751</v>
      </c>
      <c r="B1447" s="2" t="str">
        <v>KH092</v>
      </c>
      <c r="C1447" s="2" t="str">
        <v>KH092</v>
      </c>
      <c r="D1447" s="2" t="str">
        <v>S2-01744-BH</v>
      </c>
      <c r="E1447" s="2" t="str">
        <v>BAN_HANG</v>
      </c>
      <c r="F1447" s="2" t="str">
        <v>INP2102</v>
      </c>
      <c r="G1447" s="2" t="str">
        <v>2026-09-14</v>
      </c>
      <c r="H1447" s="2" t="str">
        <v>594000</v>
      </c>
      <c r="I1447" s="28" t="n">
        <v>594000</v>
      </c>
      <c r="J1447" s="7" t="n">
        <v>594000</v>
      </c>
      <c r="K1447" s="28" t="n">
        <f>J1447-I1447</f>
        <v>0</v>
      </c>
      <c r="L1447" s="2" t="str">
        <v>NHẬP</v>
      </c>
      <c r="M1447" s="2" t="str"/>
      <c r="N1447" s="2" t="str">
        <v>KHAC</v>
      </c>
    </row>
    <row r="1448" ht="25" customHeight="1">
      <c r="A1448" s="2" t="str">
        <v>Q1752</v>
      </c>
      <c r="B1448" s="2" t="str">
        <v>KH092</v>
      </c>
      <c r="C1448" s="2" t="str">
        <v>KH092</v>
      </c>
      <c r="D1448" s="2" t="str">
        <v>S2-01744-BH</v>
      </c>
      <c r="E1448" s="2" t="str">
        <v>BAN_HANG</v>
      </c>
      <c r="F1448" s="2" t="str">
        <v>INP2105</v>
      </c>
      <c r="G1448" s="2" t="str">
        <v>2026-09-14</v>
      </c>
      <c r="H1448" s="2" t="str">
        <v>560000.0016</v>
      </c>
      <c r="I1448" s="28" t="n">
        <v>560000.0016</v>
      </c>
      <c r="J1448" s="7" t="n">
        <v>560000</v>
      </c>
      <c r="K1448" s="28" t="n">
        <f>J1448-I1448</f>
        <v>-0.0015999999595806003</v>
      </c>
      <c r="L1448" s="2" t="str">
        <v>NHẬP</v>
      </c>
      <c r="M1448" s="2" t="str"/>
      <c r="N1448" s="2" t="str">
        <v>KHAC</v>
      </c>
    </row>
    <row r="1449" ht="25" customHeight="1">
      <c r="A1449" s="2" t="str">
        <v>Q1753</v>
      </c>
      <c r="B1449" s="2" t="str">
        <v>KH092</v>
      </c>
      <c r="C1449" s="2" t="str">
        <v>KH092</v>
      </c>
      <c r="D1449" s="2" t="str">
        <v>S2-01744-BH</v>
      </c>
      <c r="E1449" s="2" t="str">
        <v>BAN_HANG</v>
      </c>
      <c r="F1449" s="2" t="str">
        <v>INP6002</v>
      </c>
      <c r="G1449" s="2" t="str">
        <v>2026-09-14</v>
      </c>
      <c r="H1449" s="2" t="str">
        <v>2470000.0032</v>
      </c>
      <c r="I1449" s="28" t="n">
        <v>2470000.0032</v>
      </c>
      <c r="J1449" s="7" t="n">
        <v>2470000</v>
      </c>
      <c r="K1449" s="28" t="n">
        <f>J1449-I1449</f>
        <v>-0.003200000151991844</v>
      </c>
      <c r="L1449" s="2" t="str">
        <v>NHẬP</v>
      </c>
      <c r="M1449" s="2" t="str"/>
      <c r="N1449" s="2" t="str">
        <v>KHAC</v>
      </c>
    </row>
    <row r="1450" ht="25" customHeight="1">
      <c r="A1450" s="2" t="str">
        <v>Q1754</v>
      </c>
      <c r="B1450" s="2" t="str">
        <v>KH092</v>
      </c>
      <c r="C1450" s="2" t="str">
        <v>KH092</v>
      </c>
      <c r="D1450" s="2" t="str">
        <v>S2-01744-BH</v>
      </c>
      <c r="E1450" s="2" t="str">
        <v>BAN_HANG</v>
      </c>
      <c r="F1450" s="2" t="str">
        <v>INP6003</v>
      </c>
      <c r="G1450" s="2" t="str">
        <v>2026-09-14</v>
      </c>
      <c r="H1450" s="2" t="str">
        <v>1940000.004</v>
      </c>
      <c r="I1450" s="28" t="n">
        <v>1940000.004</v>
      </c>
      <c r="J1450" s="7" t="n">
        <v>1940000</v>
      </c>
      <c r="K1450" s="28" t="n">
        <f>J1450-I1450</f>
        <v>-0.003999999957159162</v>
      </c>
      <c r="L1450" s="2" t="str">
        <v>NHẬP</v>
      </c>
      <c r="M1450" s="2" t="str"/>
      <c r="N1450" s="2" t="str">
        <v>KHAC</v>
      </c>
    </row>
    <row r="1451" ht="25" customHeight="1">
      <c r="A1451" s="2" t="str">
        <v>Q1755</v>
      </c>
      <c r="B1451" s="2" t="str">
        <v>KH092</v>
      </c>
      <c r="C1451" s="2" t="str">
        <v>KH092</v>
      </c>
      <c r="D1451" s="2" t="str">
        <v>S2-01744-BH</v>
      </c>
      <c r="E1451" s="2" t="str">
        <v>BAN_HANG</v>
      </c>
      <c r="F1451" s="2" t="str">
        <v>INP6203</v>
      </c>
      <c r="G1451" s="2" t="str">
        <v>2026-09-14</v>
      </c>
      <c r="H1451" s="2" t="str">
        <v>813999.996</v>
      </c>
      <c r="I1451" s="28" t="n">
        <v>813999.996</v>
      </c>
      <c r="J1451" s="7" t="n">
        <v>814000</v>
      </c>
      <c r="K1451" s="28" t="n">
        <f>J1451-I1451</f>
        <v>0.003999999957159162</v>
      </c>
      <c r="L1451" s="2" t="str">
        <v>NHẬP</v>
      </c>
      <c r="M1451" s="2" t="str"/>
      <c r="N1451" s="2" t="str">
        <v>KHAC</v>
      </c>
    </row>
    <row r="1452" ht="25" customHeight="1">
      <c r="A1452" s="2" t="str">
        <v>Q1756</v>
      </c>
      <c r="B1452" s="2" t="str">
        <v>KH092</v>
      </c>
      <c r="C1452" s="2" t="str">
        <v>KH092</v>
      </c>
      <c r="D1452" s="2" t="str">
        <v>S2-01744-BH</v>
      </c>
      <c r="E1452" s="2" t="str">
        <v>BAN_HANG</v>
      </c>
      <c r="F1452" s="2" t="str">
        <v>INP6204</v>
      </c>
      <c r="G1452" s="2" t="str">
        <v>2026-09-14</v>
      </c>
      <c r="H1452" s="2" t="str">
        <v>674000.0064</v>
      </c>
      <c r="I1452" s="28" t="n">
        <v>674000.0064</v>
      </c>
      <c r="J1452" s="7" t="n">
        <v>674000</v>
      </c>
      <c r="K1452" s="28" t="n">
        <f>J1452-I1452</f>
        <v>-0.006399999954737723</v>
      </c>
      <c r="L1452" s="2" t="str">
        <v>NHẬP</v>
      </c>
      <c r="M1452" s="2" t="str"/>
      <c r="N1452" s="2" t="str">
        <v>KHAC</v>
      </c>
    </row>
    <row r="1453" ht="25" customHeight="1">
      <c r="A1453" s="2" t="str">
        <v>Q1757</v>
      </c>
      <c r="B1453" s="2" t="str">
        <v>KH007</v>
      </c>
      <c r="C1453" s="2" t="str">
        <v>KH007</v>
      </c>
      <c r="D1453" s="2" t="str">
        <v>S2-01757-BH</v>
      </c>
      <c r="E1453" s="2" t="str">
        <v>BAN_HANG</v>
      </c>
      <c r="F1453" s="2" t="str">
        <v>INP2003</v>
      </c>
      <c r="G1453" s="2" t="str">
        <v>2026-09-16</v>
      </c>
      <c r="H1453" s="2" t="str">
        <v>1279999.9944</v>
      </c>
      <c r="I1453" s="28" t="n">
        <v>1279999.9944</v>
      </c>
      <c r="J1453" s="7" t="n">
        <v>1280000</v>
      </c>
      <c r="K1453" s="28" t="n">
        <f>J1453-I1453</f>
        <v>0.005600000033155084</v>
      </c>
      <c r="L1453" s="2" t="str">
        <v>NHẬP</v>
      </c>
      <c r="M1453" s="2" t="str"/>
      <c r="N1453" s="2" t="str">
        <v>KHAC</v>
      </c>
    </row>
    <row r="1454" ht="25" customHeight="1">
      <c r="A1454" s="2" t="str">
        <v>Q1758</v>
      </c>
      <c r="B1454" s="2" t="str">
        <v>KH007</v>
      </c>
      <c r="C1454" s="2" t="str">
        <v>KH007</v>
      </c>
      <c r="D1454" s="2" t="str">
        <v>S2-01757-BH</v>
      </c>
      <c r="E1454" s="2" t="str">
        <v>BAN_HANG</v>
      </c>
      <c r="F1454" s="2" t="str">
        <v>INP6104</v>
      </c>
      <c r="G1454" s="2" t="str">
        <v>2026-09-16</v>
      </c>
      <c r="H1454" s="2" t="str">
        <v>2176000.0056</v>
      </c>
      <c r="I1454" s="28" t="n">
        <v>2176000.0056</v>
      </c>
      <c r="J1454" s="7" t="n">
        <v>2176000</v>
      </c>
      <c r="K1454" s="28" t="n">
        <f>J1454-I1454</f>
        <v>-0.00559999980032444</v>
      </c>
      <c r="L1454" s="2" t="str">
        <v>NHẬP</v>
      </c>
      <c r="M1454" s="2" t="str"/>
      <c r="N1454" s="2" t="str">
        <v>KHAC</v>
      </c>
    </row>
    <row r="1455" ht="25" customHeight="1">
      <c r="A1455" s="2" t="str">
        <v>R1760</v>
      </c>
      <c r="B1455" s="2" t="str">
        <v>KH007</v>
      </c>
      <c r="C1455" s="2" t="str">
        <v>KH007</v>
      </c>
      <c r="D1455" s="2" t="str">
        <v>S2-01760-TT</v>
      </c>
      <c r="E1455" s="2" t="str">
        <v>THU_TIEN</v>
      </c>
      <c r="F1455" s="2" t="str"/>
      <c r="G1455" s="2" t="str">
        <v>2026-09-18</v>
      </c>
      <c r="H1455" s="2" t="str">
        <v>1280000</v>
      </c>
      <c r="I1455" s="28" t="n">
        <v>1280000</v>
      </c>
      <c r="J1455" s="7" t="n">
        <v>1280000</v>
      </c>
      <c r="K1455" s="28" t="n">
        <f>J1455-I1455</f>
        <v>0</v>
      </c>
      <c r="L1455" s="2" t="str">
        <v>NHẬP</v>
      </c>
      <c r="M1455" s="2" t="str"/>
      <c r="N1455" s="2" t="str">
        <v>KHAC</v>
      </c>
    </row>
    <row r="1456" ht="25" customHeight="1">
      <c r="A1456" s="2" t="str">
        <v>Q1763</v>
      </c>
      <c r="B1456" s="2" t="str">
        <v>KH066</v>
      </c>
      <c r="C1456" s="2" t="str">
        <v>KH066</v>
      </c>
      <c r="D1456" s="2" t="str">
        <v>S2-01763-BH</v>
      </c>
      <c r="E1456" s="2" t="str">
        <v>BAN_HANG</v>
      </c>
      <c r="F1456" s="2" t="str">
        <v>INP6011</v>
      </c>
      <c r="G1456" s="2" t="str">
        <v>2026-09-14</v>
      </c>
      <c r="H1456" s="2" t="str">
        <v>4959999.9648</v>
      </c>
      <c r="I1456" s="28" t="n">
        <v>4959999.9648</v>
      </c>
      <c r="J1456" s="7" t="n">
        <v>4960000</v>
      </c>
      <c r="K1456" s="28" t="n">
        <f>J1456-I1456</f>
        <v>0.03519999980926514</v>
      </c>
      <c r="L1456" s="2" t="str">
        <v>NHẬP</v>
      </c>
      <c r="M1456" s="2" t="str"/>
      <c r="N1456" s="2" t="str">
        <v>KHAC</v>
      </c>
    </row>
    <row r="1457" ht="25" customHeight="1">
      <c r="A1457" s="2" t="str">
        <v>Q1764</v>
      </c>
      <c r="B1457" s="2" t="str">
        <v>KH007</v>
      </c>
      <c r="C1457" s="2" t="str">
        <v>KH007</v>
      </c>
      <c r="D1457" s="2" t="str">
        <v>S2-01764-BH</v>
      </c>
      <c r="E1457" s="2" t="str">
        <v>BAN_HANG</v>
      </c>
      <c r="F1457" s="2" t="str">
        <v>INP3201</v>
      </c>
      <c r="G1457" s="2" t="str">
        <v>2026-09-16</v>
      </c>
      <c r="H1457" s="2" t="str">
        <v>5719999.9824</v>
      </c>
      <c r="I1457" s="28" t="n">
        <v>5719999.9824</v>
      </c>
      <c r="J1457" s="7" t="n">
        <v>5720000</v>
      </c>
      <c r="K1457" s="28" t="n">
        <f>J1457-I1457</f>
        <v>0.01759999990463257</v>
      </c>
      <c r="L1457" s="2" t="str">
        <v>NHẬP</v>
      </c>
      <c r="M1457" s="2" t="str"/>
      <c r="N1457" s="2" t="str">
        <v>KHAC</v>
      </c>
    </row>
    <row r="1458" ht="25" customHeight="1">
      <c r="A1458" s="2" t="str">
        <v>Q1765</v>
      </c>
      <c r="B1458" s="2" t="str">
        <v>KH007</v>
      </c>
      <c r="C1458" s="2" t="str">
        <v>KH007</v>
      </c>
      <c r="D1458" s="2" t="str">
        <v>S2-01764-BH</v>
      </c>
      <c r="E1458" s="2" t="str">
        <v>BAN_HANG</v>
      </c>
      <c r="F1458" s="2" t="str">
        <v>INP3202</v>
      </c>
      <c r="G1458" s="2" t="str">
        <v>2026-09-16</v>
      </c>
      <c r="H1458" s="2" t="str">
        <v>19979999.8488</v>
      </c>
      <c r="I1458" s="28" t="n">
        <v>19979999.8488</v>
      </c>
      <c r="J1458" s="7" t="n">
        <v>19980000</v>
      </c>
      <c r="K1458" s="28" t="n">
        <f>J1458-I1458</f>
        <v>0.15120000019669533</v>
      </c>
      <c r="L1458" s="2" t="str">
        <v>NHẬP</v>
      </c>
      <c r="M1458" s="2" t="str"/>
      <c r="N1458" s="2" t="str">
        <v>KHAC</v>
      </c>
    </row>
    <row r="1459" ht="25" customHeight="1">
      <c r="A1459" s="2" t="str">
        <v>Q1766</v>
      </c>
      <c r="B1459" s="2" t="str">
        <v>KH007</v>
      </c>
      <c r="C1459" s="2" t="str">
        <v>KH007</v>
      </c>
      <c r="D1459" s="2" t="str">
        <v>S2-01764-BH</v>
      </c>
      <c r="E1459" s="2" t="str">
        <v>BAN_HANG</v>
      </c>
      <c r="F1459" s="2" t="str">
        <v>INP2202</v>
      </c>
      <c r="G1459" s="2" t="str">
        <v>2026-09-16</v>
      </c>
      <c r="H1459" s="2" t="str">
        <v>2735999.9856</v>
      </c>
      <c r="I1459" s="28" t="n">
        <v>2735999.9856</v>
      </c>
      <c r="J1459" s="7" t="n">
        <v>2736000</v>
      </c>
      <c r="K1459" s="28" t="n">
        <f>J1459-I1459</f>
        <v>0.014400000218302011</v>
      </c>
      <c r="L1459" s="2" t="str">
        <v>NHẬP</v>
      </c>
      <c r="M1459" s="2" t="str"/>
      <c r="N1459" s="2" t="str">
        <v>KHAC</v>
      </c>
    </row>
    <row r="1460" ht="25" customHeight="1">
      <c r="A1460" s="2" t="str">
        <v>Q1767</v>
      </c>
      <c r="B1460" s="2" t="str">
        <v>KH007</v>
      </c>
      <c r="C1460" s="2" t="str">
        <v>KH007</v>
      </c>
      <c r="D1460" s="2" t="str">
        <v>S2-01764-BH</v>
      </c>
      <c r="E1460" s="2" t="str">
        <v>BAN_HANG</v>
      </c>
      <c r="F1460" s="2" t="str">
        <v>INP6401</v>
      </c>
      <c r="G1460" s="2" t="str">
        <v>2026-09-16</v>
      </c>
      <c r="H1460" s="2" t="str">
        <v>10200000.0816</v>
      </c>
      <c r="I1460" s="28" t="n">
        <v>10200000.0816</v>
      </c>
      <c r="J1460" s="7" t="n">
        <v>10200000</v>
      </c>
      <c r="K1460" s="28" t="n">
        <f>J1460-I1460</f>
        <v>-0.08159999921917915</v>
      </c>
      <c r="L1460" s="2" t="str">
        <v>NHẬP</v>
      </c>
      <c r="M1460" s="2" t="str"/>
      <c r="N1460" s="2" t="str">
        <v>QUAT</v>
      </c>
    </row>
    <row r="1461" ht="25" customHeight="1">
      <c r="A1461" s="2" t="str">
        <v>Q1768</v>
      </c>
      <c r="B1461" s="2" t="str">
        <v>KH007</v>
      </c>
      <c r="C1461" s="2" t="str">
        <v>KH007</v>
      </c>
      <c r="D1461" s="2" t="str">
        <v>S2-01764-BH</v>
      </c>
      <c r="E1461" s="2" t="str">
        <v>BAN_HANG</v>
      </c>
      <c r="F1461" s="2" t="str">
        <v>INP6601</v>
      </c>
      <c r="G1461" s="2" t="str">
        <v>2026-09-16</v>
      </c>
      <c r="H1461" s="2" t="str">
        <v>12999999.96</v>
      </c>
      <c r="I1461" s="28" t="n">
        <v>12999999.96</v>
      </c>
      <c r="J1461" s="7" t="n">
        <v>13000000</v>
      </c>
      <c r="K1461" s="28" t="n">
        <f>J1461-I1461</f>
        <v>0.03999999910593033</v>
      </c>
      <c r="L1461" s="2" t="str">
        <v>NHẬP</v>
      </c>
      <c r="M1461" s="2" t="str"/>
      <c r="N1461" s="2" t="str">
        <v>KHAC</v>
      </c>
    </row>
    <row r="1462" ht="25" customHeight="1">
      <c r="A1462" s="2" t="str">
        <v>Q1769</v>
      </c>
      <c r="B1462" s="2" t="str">
        <v>KH007</v>
      </c>
      <c r="C1462" s="2" t="str">
        <v>KH007</v>
      </c>
      <c r="D1462" s="2" t="str">
        <v>S2-01764-BH</v>
      </c>
      <c r="E1462" s="2" t="str">
        <v>BAN_HANG</v>
      </c>
      <c r="F1462" s="2" t="str">
        <v>INP6601</v>
      </c>
      <c r="G1462" s="2" t="str">
        <v>2026-09-16</v>
      </c>
      <c r="H1462" s="2" t="str">
        <v>12999999.96</v>
      </c>
      <c r="I1462" s="28" t="n">
        <v>12999999.96</v>
      </c>
      <c r="J1462" s="7" t="n">
        <v>13000000</v>
      </c>
      <c r="K1462" s="28" t="n">
        <f>J1462-I1462</f>
        <v>0.03999999910593033</v>
      </c>
      <c r="L1462" s="2" t="str">
        <v>NHẬP</v>
      </c>
      <c r="M1462" s="2" t="str"/>
      <c r="N1462" s="2" t="str">
        <v>KHAC</v>
      </c>
    </row>
    <row r="1463" ht="25" customHeight="1">
      <c r="A1463" s="2" t="str">
        <v>Q1778</v>
      </c>
      <c r="B1463" s="2" t="str">
        <v>KH066</v>
      </c>
      <c r="C1463" s="2" t="str">
        <v>KH066</v>
      </c>
      <c r="D1463" s="2" t="str">
        <v>S2-01778-BH</v>
      </c>
      <c r="E1463" s="2" t="str">
        <v>BAN_HANG</v>
      </c>
      <c r="F1463" s="2" t="str">
        <v>INP6005</v>
      </c>
      <c r="G1463" s="2" t="str">
        <v>2026-09-17</v>
      </c>
      <c r="H1463" s="2" t="str">
        <v>10350000.018</v>
      </c>
      <c r="I1463" s="28" t="n">
        <v>10350000.018</v>
      </c>
      <c r="J1463" s="7" t="n">
        <v>10350000</v>
      </c>
      <c r="K1463" s="28" t="n">
        <f>J1463-I1463</f>
        <v>-0.017999999225139618</v>
      </c>
      <c r="L1463" s="2" t="str">
        <v>NHẬP</v>
      </c>
      <c r="M1463" s="2" t="str"/>
      <c r="N1463" s="2" t="str">
        <v>KHAC</v>
      </c>
    </row>
    <row r="1464" ht="25" customHeight="1">
      <c r="A1464" s="2" t="str">
        <v>Q1779</v>
      </c>
      <c r="B1464" s="2" t="str">
        <v>KH066</v>
      </c>
      <c r="C1464" s="2" t="str">
        <v>KH066</v>
      </c>
      <c r="D1464" s="2" t="str">
        <v>S2-01778-BH</v>
      </c>
      <c r="E1464" s="2" t="str">
        <v>BAN_HANG</v>
      </c>
      <c r="F1464" s="2" t="str">
        <v>INP6008</v>
      </c>
      <c r="G1464" s="2" t="str">
        <v>2026-09-17</v>
      </c>
      <c r="H1464" s="2" t="str">
        <v>9299999.934</v>
      </c>
      <c r="I1464" s="28" t="n">
        <v>9299999.934</v>
      </c>
      <c r="J1464" s="7" t="n">
        <v>9300000</v>
      </c>
      <c r="K1464" s="28" t="n">
        <f>J1464-I1464</f>
        <v>0.06599999964237213</v>
      </c>
      <c r="L1464" s="2" t="str">
        <v>NHẬP</v>
      </c>
      <c r="M1464" s="2" t="str"/>
      <c r="N1464" s="2" t="str">
        <v>KHAC</v>
      </c>
    </row>
    <row r="1465" ht="25" customHeight="1">
      <c r="A1465" s="2" t="str">
        <v>Q1780</v>
      </c>
      <c r="B1465" s="2" t="str">
        <v>KH066</v>
      </c>
      <c r="C1465" s="2" t="str">
        <v>KH066</v>
      </c>
      <c r="D1465" s="2" t="str">
        <v>S2-01778-BH</v>
      </c>
      <c r="E1465" s="2" t="str">
        <v>BAN_HANG</v>
      </c>
      <c r="F1465" s="2" t="str">
        <v>INP6009</v>
      </c>
      <c r="G1465" s="2" t="str">
        <v>2026-09-17</v>
      </c>
      <c r="H1465" s="2" t="str">
        <v>11249999.928</v>
      </c>
      <c r="I1465" s="28" t="n">
        <v>11249999.928</v>
      </c>
      <c r="J1465" s="7" t="n">
        <v>11250000</v>
      </c>
      <c r="K1465" s="28" t="n">
        <f>J1465-I1465</f>
        <v>0.07200000062584877</v>
      </c>
      <c r="L1465" s="2" t="str">
        <v>NHẬP</v>
      </c>
      <c r="M1465" s="2" t="str"/>
      <c r="N1465" s="2" t="str">
        <v>KHAC</v>
      </c>
    </row>
    <row r="1466" ht="25" customHeight="1">
      <c r="A1466" s="2" t="str">
        <v>Q1781</v>
      </c>
      <c r="B1466" s="2" t="str">
        <v>KH066</v>
      </c>
      <c r="C1466" s="2" t="str">
        <v>KH066</v>
      </c>
      <c r="D1466" s="2" t="str">
        <v>S2-01778-BH</v>
      </c>
      <c r="E1466" s="2" t="str">
        <v>BAN_HANG</v>
      </c>
      <c r="F1466" s="2" t="str">
        <v>INP6010</v>
      </c>
      <c r="G1466" s="2" t="str">
        <v>2026-09-17</v>
      </c>
      <c r="H1466" s="2" t="str">
        <v>7799999.976</v>
      </c>
      <c r="I1466" s="28" t="n">
        <v>7799999.976</v>
      </c>
      <c r="J1466" s="7" t="n">
        <v>7800000</v>
      </c>
      <c r="K1466" s="28" t="n">
        <f>J1466-I1466</f>
        <v>0.024000000208616257</v>
      </c>
      <c r="L1466" s="2" t="str">
        <v>NHẬP</v>
      </c>
      <c r="M1466" s="2" t="str"/>
      <c r="N1466" s="2" t="str">
        <v>KHAC</v>
      </c>
    </row>
    <row r="1467" ht="25" customHeight="1">
      <c r="A1467" s="2" t="str">
        <v>Q1782</v>
      </c>
      <c r="B1467" s="2" t="str">
        <v>KH066</v>
      </c>
      <c r="C1467" s="2" t="str">
        <v>KH066</v>
      </c>
      <c r="D1467" s="2" t="str">
        <v>S2-01778-BH</v>
      </c>
      <c r="E1467" s="2" t="str">
        <v>BAN_HANG</v>
      </c>
      <c r="F1467" s="2" t="str">
        <v>INP6011</v>
      </c>
      <c r="G1467" s="2" t="str">
        <v>2026-09-17</v>
      </c>
      <c r="H1467" s="2" t="str">
        <v>4339999.9692</v>
      </c>
      <c r="I1467" s="28" t="n">
        <v>4339999.9692</v>
      </c>
      <c r="J1467" s="7" t="n">
        <v>4340000</v>
      </c>
      <c r="K1467" s="28" t="n">
        <f>J1467-I1467</f>
        <v>0.030799999833106995</v>
      </c>
      <c r="L1467" s="2" t="str">
        <v>NHẬP</v>
      </c>
      <c r="M1467" s="2" t="str"/>
      <c r="N1467" s="2" t="str">
        <v>KHAC</v>
      </c>
    </row>
    <row r="1468" ht="25" customHeight="1">
      <c r="A1468" s="2" t="str">
        <v>Q1783</v>
      </c>
      <c r="B1468" s="2" t="str">
        <v>KH066</v>
      </c>
      <c r="C1468" s="2" t="str">
        <v>KH066</v>
      </c>
      <c r="D1468" s="2" t="str">
        <v>S2-01778-BH</v>
      </c>
      <c r="E1468" s="2" t="str">
        <v>BAN_HANG</v>
      </c>
      <c r="F1468" s="2" t="str">
        <v>INP7952</v>
      </c>
      <c r="G1468" s="2" t="str">
        <v>2026-09-17</v>
      </c>
      <c r="H1468" s="2" t="str">
        <v>15799999.86</v>
      </c>
      <c r="I1468" s="28" t="n">
        <v>15799999.86</v>
      </c>
      <c r="J1468" s="7" t="n">
        <v>15800000</v>
      </c>
      <c r="K1468" s="28" t="n">
        <f>J1468-I1468</f>
        <v>0.14000000059604645</v>
      </c>
      <c r="L1468" s="2" t="str">
        <v>NHẬP</v>
      </c>
      <c r="M1468" s="2" t="str"/>
      <c r="N1468" s="2" t="str">
        <v>KHAC</v>
      </c>
    </row>
    <row r="1469" ht="25" customHeight="1">
      <c r="A1469" s="2" t="str">
        <v>Q1784</v>
      </c>
      <c r="B1469" s="2" t="str">
        <v>KH066</v>
      </c>
      <c r="C1469" s="2" t="str">
        <v>KH066</v>
      </c>
      <c r="D1469" s="2" t="str">
        <v>S2-01778-BH</v>
      </c>
      <c r="E1469" s="2" t="str">
        <v>BAN_HANG</v>
      </c>
      <c r="F1469" s="2" t="str">
        <v>INP7953</v>
      </c>
      <c r="G1469" s="2" t="str">
        <v>2026-09-17</v>
      </c>
      <c r="H1469" s="2" t="str">
        <v>12499999.92</v>
      </c>
      <c r="I1469" s="28" t="n">
        <v>12499999.92</v>
      </c>
      <c r="J1469" s="7" t="n">
        <v>12500000</v>
      </c>
      <c r="K1469" s="28" t="n">
        <f>J1469-I1469</f>
        <v>0.0800000000745058</v>
      </c>
      <c r="L1469" s="2" t="str">
        <v>NHẬP</v>
      </c>
      <c r="M1469" s="2" t="str"/>
      <c r="N1469" s="2" t="str">
        <v>KHAC</v>
      </c>
    </row>
    <row r="1470" ht="25" customHeight="1">
      <c r="A1470" s="2" t="str">
        <v>R1790</v>
      </c>
      <c r="B1470" s="2" t="str">
        <v>KH042</v>
      </c>
      <c r="C1470" s="2" t="str">
        <v>KH042</v>
      </c>
      <c r="D1470" s="2" t="str">
        <v>S2-01790-TT</v>
      </c>
      <c r="E1470" s="2" t="str">
        <v>THU_TIEN</v>
      </c>
      <c r="F1470" s="2" t="str"/>
      <c r="G1470" s="2" t="str">
        <v>2026-09-19</v>
      </c>
      <c r="H1470" s="2" t="str">
        <v>50000000</v>
      </c>
      <c r="I1470" s="28" t="n">
        <v>50000000</v>
      </c>
      <c r="J1470" s="7" t="n">
        <v>50000000</v>
      </c>
      <c r="K1470" s="28" t="n">
        <f>J1470-I1470</f>
        <v>0</v>
      </c>
      <c r="L1470" s="2" t="str">
        <v>NHẬP</v>
      </c>
      <c r="M1470" s="2" t="str"/>
      <c r="N1470" s="2" t="str">
        <v>KHAC</v>
      </c>
    </row>
    <row r="1471" ht="25" customHeight="1">
      <c r="A1471" s="2" t="str">
        <v>Q1791</v>
      </c>
      <c r="B1471" s="2" t="str">
        <v>KH042</v>
      </c>
      <c r="C1471" s="2" t="str">
        <v>KH042</v>
      </c>
      <c r="D1471" s="2" t="str">
        <v>S2-01791-TH</v>
      </c>
      <c r="E1471" s="2" t="str">
        <v>TRA_HANG</v>
      </c>
      <c r="F1471" s="2" t="str">
        <v>INP6402</v>
      </c>
      <c r="G1471" s="2" t="str">
        <v>2026-09-10</v>
      </c>
      <c r="H1471" s="2" t="str">
        <v>4339999.9692</v>
      </c>
      <c r="I1471" s="28" t="n">
        <v>4339999.9692</v>
      </c>
      <c r="J1471" s="7" t="n">
        <v>4340000</v>
      </c>
      <c r="K1471" s="28" t="n">
        <f>J1471-I1471</f>
        <v>0.030799999833106995</v>
      </c>
      <c r="L1471" s="2" t="str">
        <v>NHẬP</v>
      </c>
      <c r="M1471" s="2" t="str"/>
      <c r="N1471" s="2" t="str">
        <v>QUAT</v>
      </c>
    </row>
    <row r="1472" ht="25" customHeight="1">
      <c r="A1472" s="2" t="str">
        <v>Q1792</v>
      </c>
      <c r="B1472" s="2" t="str">
        <v>KH091</v>
      </c>
      <c r="C1472" s="2" t="str">
        <v>KH091</v>
      </c>
      <c r="D1472" s="2" t="str">
        <v>S2-01792-BH</v>
      </c>
      <c r="E1472" s="2" t="str">
        <v>BAN_HANG</v>
      </c>
      <c r="F1472" s="2" t="str">
        <v>INP6007</v>
      </c>
      <c r="G1472" s="2" t="str">
        <v>2026-09-17</v>
      </c>
      <c r="H1472" s="2" t="str">
        <v>10200000.006</v>
      </c>
      <c r="I1472" s="28" t="n">
        <v>10200000.006</v>
      </c>
      <c r="J1472" s="7" t="n">
        <v>10200000</v>
      </c>
      <c r="K1472" s="28" t="n">
        <f>J1472-I1472</f>
        <v>-0.0059999991208314896</v>
      </c>
      <c r="L1472" s="2" t="str">
        <v>NHẬP</v>
      </c>
      <c r="M1472" s="2" t="str"/>
      <c r="N1472" s="2" t="str">
        <v>KHAC</v>
      </c>
    </row>
    <row r="1473" ht="25" customHeight="1">
      <c r="A1473" s="2" t="str">
        <v>Q1794</v>
      </c>
      <c r="B1473" s="2" t="str">
        <v>KH001</v>
      </c>
      <c r="C1473" s="2" t="str">
        <v>KH001</v>
      </c>
      <c r="D1473" s="2" t="str">
        <v>S2-01794-BH</v>
      </c>
      <c r="E1473" s="2" t="str">
        <v>BAN_HANG</v>
      </c>
      <c r="F1473" s="2" t="str">
        <v>INP6101</v>
      </c>
      <c r="G1473" s="2" t="str">
        <v>2026-09-14</v>
      </c>
      <c r="H1473" s="2" t="str">
        <v>7799999.976</v>
      </c>
      <c r="I1473" s="28" t="n">
        <v>7799999.976</v>
      </c>
      <c r="J1473" s="7" t="n">
        <v>7800000</v>
      </c>
      <c r="K1473" s="28" t="n">
        <f>J1473-I1473</f>
        <v>0.024000000208616257</v>
      </c>
      <c r="L1473" s="2" t="str">
        <v>NHẬP</v>
      </c>
      <c r="M1473" s="2" t="str"/>
      <c r="N1473" s="2" t="str">
        <v>KHAC</v>
      </c>
    </row>
    <row r="1474" ht="25" customHeight="1">
      <c r="A1474" s="2" t="str">
        <v>Q1795</v>
      </c>
      <c r="B1474" s="2" t="str">
        <v>KH001</v>
      </c>
      <c r="C1474" s="2" t="str">
        <v>KH001</v>
      </c>
      <c r="D1474" s="2" t="str">
        <v>S2-01794-BH</v>
      </c>
      <c r="E1474" s="2" t="str">
        <v>BAN_HANG</v>
      </c>
      <c r="F1474" s="2" t="str">
        <v>INP6102</v>
      </c>
      <c r="G1474" s="2" t="str">
        <v>2026-09-14</v>
      </c>
      <c r="H1474" s="2" t="str">
        <v>6077999.9808</v>
      </c>
      <c r="I1474" s="28" t="n">
        <v>6077999.9808</v>
      </c>
      <c r="J1474" s="7" t="n">
        <v>6078000</v>
      </c>
      <c r="K1474" s="28" t="n">
        <f>J1474-I1474</f>
        <v>0.01919999998062849</v>
      </c>
      <c r="L1474" s="2" t="str">
        <v>NHẬP</v>
      </c>
      <c r="M1474" s="2" t="str"/>
      <c r="N1474" s="2" t="str">
        <v>KHAC</v>
      </c>
    </row>
    <row r="1475" ht="25" customHeight="1">
      <c r="A1475" s="2" t="str">
        <v>Q1796</v>
      </c>
      <c r="B1475" s="2" t="str">
        <v>KH001</v>
      </c>
      <c r="C1475" s="2" t="str">
        <v>KH001</v>
      </c>
      <c r="D1475" s="2" t="str">
        <v>S2-01794-BH</v>
      </c>
      <c r="E1475" s="2" t="str">
        <v>BAN_HANG</v>
      </c>
      <c r="F1475" s="2" t="str">
        <v>INP6103</v>
      </c>
      <c r="G1475" s="2" t="str">
        <v>2026-09-14</v>
      </c>
      <c r="H1475" s="2" t="str">
        <v>5177999.9736</v>
      </c>
      <c r="I1475" s="28" t="n">
        <v>5177999.9736</v>
      </c>
      <c r="J1475" s="7" t="n">
        <v>5178000</v>
      </c>
      <c r="K1475" s="28" t="n">
        <f>J1475-I1475</f>
        <v>0.026399999856948853</v>
      </c>
      <c r="L1475" s="2" t="str">
        <v>NHẬP</v>
      </c>
      <c r="M1475" s="2" t="str"/>
      <c r="N1475" s="2" t="str">
        <v>KHAC</v>
      </c>
    </row>
    <row r="1476" ht="25" customHeight="1">
      <c r="A1476" s="2" t="str">
        <v>Q1797</v>
      </c>
      <c r="B1476" s="2" t="str">
        <v>KH001</v>
      </c>
      <c r="C1476" s="2" t="str">
        <v>KH001</v>
      </c>
      <c r="D1476" s="2" t="str">
        <v>S2-01794-BH</v>
      </c>
      <c r="E1476" s="2" t="str">
        <v>BAN_HANG</v>
      </c>
      <c r="F1476" s="2" t="str">
        <v>INP6104</v>
      </c>
      <c r="G1476" s="2" t="str">
        <v>2026-09-14</v>
      </c>
      <c r="H1476" s="2" t="str">
        <v>13056000.0336</v>
      </c>
      <c r="I1476" s="28" t="n">
        <v>13056000.0336</v>
      </c>
      <c r="J1476" s="7" t="n">
        <v>13056000</v>
      </c>
      <c r="K1476" s="28" t="n">
        <f>J1476-I1476</f>
        <v>-0.03360000066459179</v>
      </c>
      <c r="L1476" s="2" t="str">
        <v>NHẬP</v>
      </c>
      <c r="M1476" s="2" t="str"/>
      <c r="N1476" s="2" t="str">
        <v>KHAC</v>
      </c>
    </row>
    <row r="1477" ht="25" customHeight="1">
      <c r="A1477" s="2" t="str">
        <v>Q1798</v>
      </c>
      <c r="B1477" s="2" t="str">
        <v>KH001</v>
      </c>
      <c r="C1477" s="2" t="str">
        <v>KH001</v>
      </c>
      <c r="D1477" s="2" t="str">
        <v>S2-01794-BH</v>
      </c>
      <c r="E1477" s="2" t="str">
        <v>BAN_HANG</v>
      </c>
      <c r="F1477" s="2" t="str">
        <v>INP6105</v>
      </c>
      <c r="G1477" s="2" t="str">
        <v>2026-09-14</v>
      </c>
      <c r="H1477" s="2" t="str">
        <v>8760000.0528</v>
      </c>
      <c r="I1477" s="28" t="n">
        <v>8760000.0528</v>
      </c>
      <c r="J1477" s="7" t="n">
        <v>8760000</v>
      </c>
      <c r="K1477" s="28" t="n">
        <f>J1477-I1477</f>
        <v>-0.052799999713897705</v>
      </c>
      <c r="L1477" s="2" t="str">
        <v>NHẬP</v>
      </c>
      <c r="M1477" s="2" t="str"/>
      <c r="N1477" s="2" t="str">
        <v>KHAC</v>
      </c>
    </row>
    <row r="1478" ht="25" customHeight="1">
      <c r="A1478" s="2" t="str">
        <v>Q1799</v>
      </c>
      <c r="B1478" s="2" t="str">
        <v>KH001</v>
      </c>
      <c r="C1478" s="2" t="str">
        <v>KH001</v>
      </c>
      <c r="D1478" s="2" t="str">
        <v>S2-01794-BH</v>
      </c>
      <c r="E1478" s="2" t="str">
        <v>BAN_HANG</v>
      </c>
      <c r="F1478" s="2" t="str">
        <v>INP7951</v>
      </c>
      <c r="G1478" s="2" t="str">
        <v>2026-09-14</v>
      </c>
      <c r="H1478" s="2" t="str">
        <v>12600000.036</v>
      </c>
      <c r="I1478" s="28" t="n">
        <v>12600000.036</v>
      </c>
      <c r="J1478" s="7" t="n">
        <v>12600000</v>
      </c>
      <c r="K1478" s="28" t="n">
        <f>J1478-I1478</f>
        <v>-0.036000000312924385</v>
      </c>
      <c r="L1478" s="2" t="str">
        <v>NHẬP</v>
      </c>
      <c r="M1478" s="2" t="str"/>
      <c r="N1478" s="2" t="str">
        <v>KHAC</v>
      </c>
    </row>
    <row r="1479" ht="25" customHeight="1">
      <c r="A1479" s="2" t="str">
        <v>Q1800</v>
      </c>
      <c r="B1479" s="2" t="str">
        <v>KH001</v>
      </c>
      <c r="C1479" s="2" t="str">
        <v>KH001</v>
      </c>
      <c r="D1479" s="2" t="str">
        <v>S2-01794-BH</v>
      </c>
      <c r="E1479" s="2" t="str">
        <v>BAN_HANG</v>
      </c>
      <c r="F1479" s="2" t="str">
        <v>INP7952</v>
      </c>
      <c r="G1479" s="2" t="str">
        <v>2026-09-14</v>
      </c>
      <c r="H1479" s="2" t="str">
        <v>9480000.24</v>
      </c>
      <c r="I1479" s="28" t="n">
        <v>9480000.24</v>
      </c>
      <c r="J1479" s="7" t="n">
        <v>9480000</v>
      </c>
      <c r="K1479" s="28" t="n">
        <f>J1479-I1479</f>
        <v>-0.24000000022351742</v>
      </c>
      <c r="L1479" s="2" t="str">
        <v>NHẬP</v>
      </c>
      <c r="M1479" s="2" t="str"/>
      <c r="N1479" s="2" t="str">
        <v>KHAC</v>
      </c>
    </row>
    <row r="1480" ht="25" customHeight="1">
      <c r="A1480" s="2" t="str">
        <v>Q1801</v>
      </c>
      <c r="B1480" s="2" t="str">
        <v>KH001</v>
      </c>
      <c r="C1480" s="2" t="str">
        <v>KH001</v>
      </c>
      <c r="D1480" s="2" t="str">
        <v>S2-01794-BH</v>
      </c>
      <c r="E1480" s="2" t="str">
        <v>BAN_HANG</v>
      </c>
      <c r="F1480" s="2" t="str">
        <v>INP7953</v>
      </c>
      <c r="G1480" s="2" t="str">
        <v>2026-09-14</v>
      </c>
      <c r="H1480" s="2" t="str">
        <v>7499999.952</v>
      </c>
      <c r="I1480" s="28" t="n">
        <v>7499999.952</v>
      </c>
      <c r="J1480" s="7" t="n">
        <v>7500000</v>
      </c>
      <c r="K1480" s="28" t="n">
        <f>J1480-I1480</f>
        <v>0.04800000041723251</v>
      </c>
      <c r="L1480" s="2" t="str">
        <v>NHẬP</v>
      </c>
      <c r="M1480" s="2" t="str"/>
      <c r="N1480" s="2" t="str">
        <v>KHAC</v>
      </c>
    </row>
    <row r="1481" ht="25" customHeight="1">
      <c r="A1481" s="2" t="str">
        <v>Q1804</v>
      </c>
      <c r="B1481" s="2" t="str">
        <v>KH024</v>
      </c>
      <c r="C1481" s="2" t="str">
        <v>KH024</v>
      </c>
      <c r="D1481" s="2" t="str">
        <v>S2-01804-BH</v>
      </c>
      <c r="E1481" s="2" t="str">
        <v>BAN_HANG</v>
      </c>
      <c r="F1481" s="2" t="str">
        <v>INP6006</v>
      </c>
      <c r="G1481" s="2" t="str">
        <v>2026-09-17</v>
      </c>
      <c r="H1481" s="2" t="str">
        <v>8550000.036</v>
      </c>
      <c r="I1481" s="28" t="n">
        <v>8550000.036</v>
      </c>
      <c r="J1481" s="7" t="n">
        <v>8550000</v>
      </c>
      <c r="K1481" s="28" t="n">
        <f>J1481-I1481</f>
        <v>-0.036000000312924385</v>
      </c>
      <c r="L1481" s="2" t="str">
        <v>NHẬP</v>
      </c>
      <c r="M1481" s="2" t="str"/>
      <c r="N1481" s="2" t="str">
        <v>KHAC</v>
      </c>
    </row>
    <row r="1482" ht="25" customHeight="1">
      <c r="A1482" s="2" t="str">
        <v>Q1805</v>
      </c>
      <c r="B1482" s="2" t="str">
        <v>KH024</v>
      </c>
      <c r="C1482" s="2" t="str">
        <v>KH024</v>
      </c>
      <c r="D1482" s="2" t="str">
        <v>S2-01804-BH</v>
      </c>
      <c r="E1482" s="2" t="str">
        <v>BAN_HANG</v>
      </c>
      <c r="F1482" s="2" t="str">
        <v>INP6007</v>
      </c>
      <c r="G1482" s="2" t="str">
        <v>2026-09-17</v>
      </c>
      <c r="H1482" s="2" t="str">
        <v>20400000.012</v>
      </c>
      <c r="I1482" s="28" t="n">
        <v>20400000.012</v>
      </c>
      <c r="J1482" s="7" t="n">
        <v>20400000</v>
      </c>
      <c r="K1482" s="28" t="n">
        <f>J1482-I1482</f>
        <v>-0.011999998241662979</v>
      </c>
      <c r="L1482" s="2" t="str">
        <v>NHẬP</v>
      </c>
      <c r="M1482" s="2" t="str"/>
      <c r="N1482" s="2" t="str">
        <v>KHAC</v>
      </c>
    </row>
    <row r="1483" ht="25" customHeight="1">
      <c r="A1483" s="2" t="str">
        <v>Q1806</v>
      </c>
      <c r="B1483" s="2" t="str">
        <v>KH024</v>
      </c>
      <c r="C1483" s="2" t="str">
        <v>KH024</v>
      </c>
      <c r="D1483" s="2" t="str">
        <v>S2-01804-BH</v>
      </c>
      <c r="E1483" s="2" t="str">
        <v>BAN_HANG</v>
      </c>
      <c r="F1483" s="2" t="str">
        <v>INP6902</v>
      </c>
      <c r="G1483" s="2" t="str">
        <v>2026-09-17</v>
      </c>
      <c r="H1483" s="2" t="str">
        <v>8799999.948</v>
      </c>
      <c r="I1483" s="28" t="n">
        <v>8799999.948</v>
      </c>
      <c r="J1483" s="7" t="n">
        <v>8800000</v>
      </c>
      <c r="K1483" s="28" t="n">
        <f>J1483-I1483</f>
        <v>0.05199999921023846</v>
      </c>
      <c r="L1483" s="2" t="str">
        <v>NHẬP</v>
      </c>
      <c r="M1483" s="2" t="str"/>
      <c r="N1483" s="2" t="str">
        <v>KHAC</v>
      </c>
    </row>
    <row r="1484" ht="25" customHeight="1">
      <c r="A1484" s="2" t="str">
        <v>R1809</v>
      </c>
      <c r="B1484" s="2" t="str">
        <v>KH084</v>
      </c>
      <c r="C1484" s="2" t="str">
        <v>KH084</v>
      </c>
      <c r="D1484" s="2" t="str">
        <v>S2-01809-TT</v>
      </c>
      <c r="E1484" s="2" t="str">
        <v>THU_TIEN</v>
      </c>
      <c r="F1484" s="2" t="str"/>
      <c r="G1484" s="2" t="str">
        <v>2026-09-10</v>
      </c>
      <c r="H1484" s="2" t="str">
        <v>7164000</v>
      </c>
      <c r="I1484" s="28" t="n">
        <v>7164000</v>
      </c>
      <c r="J1484" s="7" t="n">
        <v>7164000</v>
      </c>
      <c r="K1484" s="28" t="n">
        <f>J1484-I1484</f>
        <v>0</v>
      </c>
      <c r="L1484" s="2" t="str">
        <v>NHẬP</v>
      </c>
      <c r="M1484" s="2" t="str"/>
      <c r="N1484" s="2" t="str">
        <v>KHAC</v>
      </c>
    </row>
    <row r="1485" ht="25" customHeight="1">
      <c r="A1485" s="2" t="str">
        <v>Q1810</v>
      </c>
      <c r="B1485" s="2" t="str">
        <v>KH084</v>
      </c>
      <c r="C1485" s="2" t="str">
        <v>KH084</v>
      </c>
      <c r="D1485" s="2" t="str">
        <v>S2-01810-BH</v>
      </c>
      <c r="E1485" s="2" t="str">
        <v>BAN_HANG</v>
      </c>
      <c r="F1485" s="2" t="str">
        <v>INP6003</v>
      </c>
      <c r="G1485" s="2" t="str">
        <v>2026-09-18</v>
      </c>
      <c r="H1485" s="2" t="str">
        <v>3679999.992</v>
      </c>
      <c r="I1485" s="28" t="n">
        <v>3679999.992</v>
      </c>
      <c r="J1485" s="7" t="n">
        <v>3680000</v>
      </c>
      <c r="K1485" s="28" t="n">
        <f>J1485-I1485</f>
        <v>0.007999999914318323</v>
      </c>
      <c r="L1485" s="2" t="str">
        <v>NHẬP</v>
      </c>
      <c r="M1485" s="2" t="str"/>
      <c r="N1485" s="2" t="str">
        <v>KHAC</v>
      </c>
    </row>
    <row r="1486" ht="25" customHeight="1">
      <c r="A1486" s="2" t="str">
        <v>Q1811</v>
      </c>
      <c r="B1486" s="2" t="str">
        <v>KH084</v>
      </c>
      <c r="C1486" s="2" t="str">
        <v>KH084</v>
      </c>
      <c r="D1486" s="2" t="str">
        <v>S2-01810-BH</v>
      </c>
      <c r="E1486" s="2" t="str">
        <v>BAN_HANG</v>
      </c>
      <c r="F1486" s="2" t="str">
        <v>INP6007</v>
      </c>
      <c r="G1486" s="2" t="str">
        <v>2026-09-18</v>
      </c>
      <c r="H1486" s="2" t="str">
        <v>10200000.006</v>
      </c>
      <c r="I1486" s="28" t="n">
        <v>10200000.006</v>
      </c>
      <c r="J1486" s="7" t="n">
        <v>10200000</v>
      </c>
      <c r="K1486" s="28" t="n">
        <f>J1486-I1486</f>
        <v>-0.0059999991208314896</v>
      </c>
      <c r="L1486" s="2" t="str">
        <v>NHẬP</v>
      </c>
      <c r="M1486" s="2" t="str"/>
      <c r="N1486" s="2" t="str">
        <v>KHAC</v>
      </c>
    </row>
    <row r="1487" ht="25" customHeight="1">
      <c r="A1487" s="2" t="str">
        <v>Q1812</v>
      </c>
      <c r="B1487" s="2" t="str">
        <v>KH084</v>
      </c>
      <c r="C1487" s="2" t="str">
        <v>KH084</v>
      </c>
      <c r="D1487" s="2" t="str">
        <v>S2-01810-BH</v>
      </c>
      <c r="E1487" s="2" t="str">
        <v>BAN_HANG</v>
      </c>
      <c r="F1487" s="2" t="str">
        <v>INP6009</v>
      </c>
      <c r="G1487" s="2" t="str">
        <v>2026-09-18</v>
      </c>
      <c r="H1487" s="2" t="str">
        <v>11249999.928</v>
      </c>
      <c r="I1487" s="28" t="n">
        <v>11249999.928</v>
      </c>
      <c r="J1487" s="7" t="n">
        <v>11250000</v>
      </c>
      <c r="K1487" s="28" t="n">
        <f>J1487-I1487</f>
        <v>0.07200000062584877</v>
      </c>
      <c r="L1487" s="2" t="str">
        <v>NHẬP</v>
      </c>
      <c r="M1487" s="2" t="str"/>
      <c r="N1487" s="2" t="str">
        <v>KHAC</v>
      </c>
    </row>
    <row r="1488" ht="25" customHeight="1">
      <c r="A1488" s="2" t="str">
        <v>Q1813</v>
      </c>
      <c r="B1488" s="2" t="str">
        <v>KH084</v>
      </c>
      <c r="C1488" s="2" t="str">
        <v>KH084</v>
      </c>
      <c r="D1488" s="2" t="str">
        <v>S2-01810-BH</v>
      </c>
      <c r="E1488" s="2" t="str">
        <v>BAN_HANG</v>
      </c>
      <c r="F1488" s="2" t="str">
        <v>INP6105</v>
      </c>
      <c r="G1488" s="2" t="str">
        <v>2026-09-18</v>
      </c>
      <c r="H1488" s="2" t="str">
        <v>13140000.0792</v>
      </c>
      <c r="I1488" s="28" t="n">
        <v>13140000.0792</v>
      </c>
      <c r="J1488" s="7" t="n">
        <v>13140000</v>
      </c>
      <c r="K1488" s="28" t="n">
        <f>J1488-I1488</f>
        <v>-0.07919999957084656</v>
      </c>
      <c r="L1488" s="2" t="str">
        <v>NHẬP</v>
      </c>
      <c r="M1488" s="2" t="str"/>
      <c r="N1488" s="2" t="str">
        <v>KHAC</v>
      </c>
    </row>
    <row r="1489" ht="25" customHeight="1">
      <c r="A1489" s="2" t="str">
        <v>Q1814</v>
      </c>
      <c r="B1489" s="2" t="str">
        <v>KH084</v>
      </c>
      <c r="C1489" s="2" t="str">
        <v>KH084</v>
      </c>
      <c r="D1489" s="2" t="str">
        <v>S2-01810-BH</v>
      </c>
      <c r="E1489" s="2" t="str">
        <v>BAN_HANG</v>
      </c>
      <c r="F1489" s="2" t="str">
        <v>INP6202</v>
      </c>
      <c r="G1489" s="2" t="str">
        <v>2026-09-18</v>
      </c>
      <c r="H1489" s="2" t="str">
        <v>7040000.088</v>
      </c>
      <c r="I1489" s="28" t="n">
        <v>7040000.088</v>
      </c>
      <c r="J1489" s="7" t="n">
        <v>7040000</v>
      </c>
      <c r="K1489" s="28" t="n">
        <f>J1489-I1489</f>
        <v>-0.08800000045448542</v>
      </c>
      <c r="L1489" s="2" t="str">
        <v>NHẬP</v>
      </c>
      <c r="M1489" s="2" t="str"/>
      <c r="N1489" s="2" t="str">
        <v>KHAC</v>
      </c>
    </row>
    <row r="1490" ht="25" customHeight="1">
      <c r="A1490" s="2" t="str">
        <v>Q1815</v>
      </c>
      <c r="B1490" s="2" t="str">
        <v>KH084</v>
      </c>
      <c r="C1490" s="2" t="str">
        <v>KH084</v>
      </c>
      <c r="D1490" s="2" t="str">
        <v>S2-01810-BH</v>
      </c>
      <c r="E1490" s="2" t="str">
        <v>BAN_HANG</v>
      </c>
      <c r="F1490" s="2" t="str">
        <v>INP6701</v>
      </c>
      <c r="G1490" s="2" t="str">
        <v>2026-09-18</v>
      </c>
      <c r="H1490" s="2" t="str">
        <v>3304000.0224</v>
      </c>
      <c r="I1490" s="28" t="n">
        <v>3304000.0224</v>
      </c>
      <c r="J1490" s="7" t="n">
        <v>3304000</v>
      </c>
      <c r="K1490" s="28" t="n">
        <f>J1490-I1490</f>
        <v>-0.022400000132620335</v>
      </c>
      <c r="L1490" s="2" t="str">
        <v>NHẬP</v>
      </c>
      <c r="M1490" s="2" t="str"/>
      <c r="N1490" s="2" t="str">
        <v>KHAC</v>
      </c>
    </row>
    <row r="1491" ht="25" customHeight="1">
      <c r="A1491" s="2" t="str">
        <v>Q1816</v>
      </c>
      <c r="B1491" s="2" t="str">
        <v>KH084</v>
      </c>
      <c r="C1491" s="2" t="str">
        <v>KH084</v>
      </c>
      <c r="D1491" s="2" t="str">
        <v>S2-01810-BH</v>
      </c>
      <c r="E1491" s="2" t="str">
        <v>BAN_HANG</v>
      </c>
      <c r="F1491" s="2" t="str">
        <v>INP6902</v>
      </c>
      <c r="G1491" s="2" t="str">
        <v>2026-09-18</v>
      </c>
      <c r="H1491" s="2" t="str">
        <v>8799999.948</v>
      </c>
      <c r="I1491" s="28" t="n">
        <v>8799999.948</v>
      </c>
      <c r="J1491" s="7" t="n">
        <v>8800000</v>
      </c>
      <c r="K1491" s="28" t="n">
        <f>J1491-I1491</f>
        <v>0.05199999921023846</v>
      </c>
      <c r="L1491" s="2" t="str">
        <v>NHẬP</v>
      </c>
      <c r="M1491" s="2" t="str"/>
      <c r="N1491" s="2" t="str">
        <v>KHAC</v>
      </c>
    </row>
    <row r="1492" ht="25" customHeight="1">
      <c r="A1492" s="2" t="str">
        <v>R1823</v>
      </c>
      <c r="B1492" s="2" t="str">
        <v>KH024</v>
      </c>
      <c r="C1492" s="2" t="str">
        <v>KH024</v>
      </c>
      <c r="D1492" s="2" t="str">
        <v>S2-01823-TT</v>
      </c>
      <c r="E1492" s="2" t="str">
        <v>THU_TIEN</v>
      </c>
      <c r="F1492" s="2" t="str"/>
      <c r="G1492" s="2" t="str">
        <v>2026-09-21</v>
      </c>
      <c r="H1492" s="2" t="str">
        <v>50000000</v>
      </c>
      <c r="I1492" s="28" t="n">
        <v>50000000</v>
      </c>
      <c r="J1492" s="7" t="n">
        <v>50000000</v>
      </c>
      <c r="K1492" s="28" t="n">
        <f>J1492-I1492</f>
        <v>0</v>
      </c>
      <c r="L1492" s="2" t="str">
        <v>NHẬP</v>
      </c>
      <c r="M1492" s="2" t="str"/>
      <c r="N1492" s="2" t="str">
        <v>KHAC</v>
      </c>
    </row>
    <row r="1493" ht="25" customHeight="1">
      <c r="A1493" s="2" t="str">
        <v>S1824</v>
      </c>
      <c r="B1493" s="2" t="str">
        <v>KH024</v>
      </c>
      <c r="C1493" s="2" t="str">
        <v>KH024</v>
      </c>
      <c r="D1493" s="2" t="str">
        <v>S2-01824-VC</v>
      </c>
      <c r="E1493" s="2" t="str">
        <v>PHI_VAN_CHUYEN</v>
      </c>
      <c r="F1493" s="2" t="str"/>
      <c r="G1493" s="2" t="str">
        <v>2026-09-21</v>
      </c>
      <c r="H1493" s="2" t="str">
        <v>500000</v>
      </c>
      <c r="I1493" s="28" t="n">
        <v>500000</v>
      </c>
      <c r="J1493" s="7" t="n">
        <v>500000</v>
      </c>
      <c r="K1493" s="28" t="n">
        <f>J1493-I1493</f>
        <v>0</v>
      </c>
      <c r="L1493" s="2" t="str">
        <v>NHẬP</v>
      </c>
      <c r="M1493" s="2" t="str"/>
      <c r="N1493" s="2" t="str">
        <v>KHAC</v>
      </c>
    </row>
    <row r="1494" ht="25" customHeight="1">
      <c r="A1494" s="2" t="str">
        <v>Q1826</v>
      </c>
      <c r="B1494" s="2" t="str">
        <v>KH049</v>
      </c>
      <c r="C1494" s="2" t="str">
        <v>KH049</v>
      </c>
      <c r="D1494" s="2" t="str">
        <v>S2-01826-BH</v>
      </c>
      <c r="E1494" s="2" t="str">
        <v>BAN_HANG</v>
      </c>
      <c r="F1494" s="2" t="str">
        <v>INP3003</v>
      </c>
      <c r="G1494" s="2" t="str">
        <v>2026-09-21</v>
      </c>
      <c r="H1494" s="2" t="str">
        <v>6499999.98</v>
      </c>
      <c r="I1494" s="28" t="n">
        <v>6499999.98</v>
      </c>
      <c r="J1494" s="7" t="n">
        <v>6500000</v>
      </c>
      <c r="K1494" s="28" t="n">
        <f>J1494-I1494</f>
        <v>0.019999999552965164</v>
      </c>
      <c r="L1494" s="2" t="str">
        <v>NHẬP</v>
      </c>
      <c r="M1494" s="2" t="str"/>
      <c r="N1494" s="2" t="str">
        <v>KHAC</v>
      </c>
    </row>
    <row r="1495" ht="25" customHeight="1">
      <c r="A1495" s="2" t="str">
        <v>S1827</v>
      </c>
      <c r="B1495" s="2" t="str">
        <v>KH091</v>
      </c>
      <c r="C1495" s="2" t="str">
        <v>KH091</v>
      </c>
      <c r="D1495" s="2" t="str">
        <v>S2-01827-VC</v>
      </c>
      <c r="E1495" s="2" t="str">
        <v>PHI_VAN_CHUYEN</v>
      </c>
      <c r="F1495" s="2" t="str"/>
      <c r="G1495" s="2" t="str">
        <v>2026-09-21</v>
      </c>
      <c r="H1495" s="2" t="str">
        <v>150000</v>
      </c>
      <c r="I1495" s="28" t="n">
        <v>150000</v>
      </c>
      <c r="J1495" s="7" t="n">
        <v>150000</v>
      </c>
      <c r="K1495" s="28" t="n">
        <f>J1495-I1495</f>
        <v>0</v>
      </c>
      <c r="L1495" s="2" t="str">
        <v>NHẬP</v>
      </c>
      <c r="M1495" s="2" t="str"/>
      <c r="N1495" s="2" t="str">
        <v>KHAC</v>
      </c>
    </row>
    <row r="1496" ht="25" customHeight="1">
      <c r="A1496" s="2" t="str">
        <v>Q1828</v>
      </c>
      <c r="B1496" s="2" t="str">
        <v>KH007</v>
      </c>
      <c r="C1496" s="2" t="str">
        <v>KH007</v>
      </c>
      <c r="D1496" s="2" t="str">
        <v>S2-01828-BH</v>
      </c>
      <c r="E1496" s="2" t="str">
        <v>BAN_HANG</v>
      </c>
      <c r="F1496" s="2" t="str">
        <v>INP2202</v>
      </c>
      <c r="G1496" s="2" t="str">
        <v>2026-09-22</v>
      </c>
      <c r="H1496" s="2" t="str">
        <v>919999.998</v>
      </c>
      <c r="I1496" s="28" t="n">
        <v>919999.998</v>
      </c>
      <c r="J1496" s="7" t="n">
        <v>920000</v>
      </c>
      <c r="K1496" s="28" t="n">
        <f>J1496-I1496</f>
        <v>0.001999999978579581</v>
      </c>
      <c r="L1496" s="2" t="str">
        <v>NHẬP</v>
      </c>
      <c r="M1496" s="2" t="str"/>
      <c r="N1496" s="2" t="str">
        <v>KHAC</v>
      </c>
    </row>
    <row r="1497" ht="25" customHeight="1">
      <c r="A1497" s="2" t="str">
        <v>Q1829</v>
      </c>
      <c r="B1497" s="2" t="str">
        <v>KH007</v>
      </c>
      <c r="C1497" s="2" t="str">
        <v>KH007</v>
      </c>
      <c r="D1497" s="2" t="str">
        <v>S2-01828-BH</v>
      </c>
      <c r="E1497" s="2" t="str">
        <v>BAN_HANG</v>
      </c>
      <c r="F1497" s="2" t="str">
        <v>INP6104</v>
      </c>
      <c r="G1497" s="2" t="str">
        <v>2026-09-22</v>
      </c>
      <c r="H1497" s="2" t="str">
        <v>1088000.0028</v>
      </c>
      <c r="I1497" s="28" t="n">
        <v>1088000.0028</v>
      </c>
      <c r="J1497" s="7" t="n">
        <v>1088000</v>
      </c>
      <c r="K1497" s="28" t="n">
        <f>J1497-I1497</f>
        <v>-0.00279999990016222</v>
      </c>
      <c r="L1497" s="2" t="str">
        <v>NHẬP</v>
      </c>
      <c r="M1497" s="2" t="str"/>
      <c r="N1497" s="2" t="str">
        <v>KHAC</v>
      </c>
    </row>
    <row r="1498" ht="25" customHeight="1">
      <c r="A1498" s="2" t="str">
        <v>Q1837</v>
      </c>
      <c r="B1498" s="2" t="str">
        <v>KH021</v>
      </c>
      <c r="C1498" s="2" t="str">
        <v>KH021</v>
      </c>
      <c r="D1498" s="2" t="str">
        <v>S2-01837-BH</v>
      </c>
      <c r="E1498" s="2" t="str">
        <v>BAN_HANG</v>
      </c>
      <c r="F1498" s="2" t="str">
        <v>INP1502</v>
      </c>
      <c r="G1498" s="2" t="str">
        <v>2026-09-22</v>
      </c>
      <c r="H1498" s="2" t="str">
        <v>1800000.0144</v>
      </c>
      <c r="I1498" s="28" t="n">
        <v>1800000.0144</v>
      </c>
      <c r="J1498" s="7" t="n">
        <v>1800000</v>
      </c>
      <c r="K1498" s="28" t="n">
        <f>J1498-I1498</f>
        <v>-0.014399999985471368</v>
      </c>
      <c r="L1498" s="2" t="str">
        <v>NHẬP</v>
      </c>
      <c r="M1498" s="2" t="str"/>
      <c r="N1498" s="2" t="str">
        <v>KHAC</v>
      </c>
    </row>
    <row r="1499" ht="25" customHeight="1">
      <c r="A1499" s="2" t="str">
        <v>Q1838</v>
      </c>
      <c r="B1499" s="2" t="str">
        <v>KH021</v>
      </c>
      <c r="C1499" s="2" t="str">
        <v>KH021</v>
      </c>
      <c r="D1499" s="2" t="str">
        <v>S2-01837-BH</v>
      </c>
      <c r="E1499" s="2" t="str">
        <v>BAN_HANG</v>
      </c>
      <c r="F1499" s="2" t="str">
        <v>INP1503</v>
      </c>
      <c r="G1499" s="2" t="str">
        <v>2026-09-22</v>
      </c>
      <c r="H1499" s="2" t="str">
        <v>1920000.024</v>
      </c>
      <c r="I1499" s="28" t="n">
        <v>1920000.024</v>
      </c>
      <c r="J1499" s="7" t="n">
        <v>1920000</v>
      </c>
      <c r="K1499" s="28" t="n">
        <f>J1499-I1499</f>
        <v>-0.023999999975785613</v>
      </c>
      <c r="L1499" s="2" t="str">
        <v>NHẬP</v>
      </c>
      <c r="M1499" s="2" t="str"/>
      <c r="N1499" s="2" t="str">
        <v>KHAC</v>
      </c>
    </row>
    <row r="1500" ht="25" customHeight="1">
      <c r="A1500" s="2" t="str">
        <v>R1839</v>
      </c>
      <c r="B1500" s="2" t="str">
        <v>KH021</v>
      </c>
      <c r="C1500" s="2" t="str">
        <v>KH021</v>
      </c>
      <c r="D1500" s="2" t="str">
        <v>S2-01839-TT</v>
      </c>
      <c r="E1500" s="2" t="str">
        <v>THU_TIEN</v>
      </c>
      <c r="F1500" s="2" t="str"/>
      <c r="G1500" s="2" t="str">
        <v>2026-09-22</v>
      </c>
      <c r="H1500" s="2" t="str">
        <v>3720000</v>
      </c>
      <c r="I1500" s="28" t="n">
        <v>3720000</v>
      </c>
      <c r="J1500" s="7" t="n">
        <v>3720000</v>
      </c>
      <c r="K1500" s="28" t="n">
        <f>J1500-I1500</f>
        <v>0</v>
      </c>
      <c r="L1500" s="2" t="str">
        <v>NHẬP</v>
      </c>
      <c r="M1500" s="2" t="str"/>
      <c r="N1500" s="2" t="str">
        <v>KHAC</v>
      </c>
    </row>
    <row r="1501" ht="25" customHeight="1">
      <c r="A1501" s="2" t="str">
        <v>Q1840</v>
      </c>
      <c r="B1501" s="2" t="str">
        <v>KH068</v>
      </c>
      <c r="C1501" s="2" t="str">
        <v>KH068</v>
      </c>
      <c r="D1501" s="2" t="str">
        <v>S2-01840-BH</v>
      </c>
      <c r="E1501" s="2" t="str">
        <v>BAN_HANG</v>
      </c>
      <c r="F1501" s="2" t="str">
        <v>INP6004</v>
      </c>
      <c r="G1501" s="2" t="str">
        <v>2026-09-22</v>
      </c>
      <c r="H1501" s="2" t="str">
        <v>17400000.096</v>
      </c>
      <c r="I1501" s="28" t="n">
        <v>17400000.096</v>
      </c>
      <c r="J1501" s="7" t="n">
        <v>17400000</v>
      </c>
      <c r="K1501" s="28" t="n">
        <f>J1501-I1501</f>
        <v>-0.09600000083446503</v>
      </c>
      <c r="L1501" s="2" t="str">
        <v>NHẬP</v>
      </c>
      <c r="M1501" s="2" t="str"/>
      <c r="N1501" s="2" t="str">
        <v>KHAC</v>
      </c>
    </row>
    <row r="1502" ht="25" customHeight="1">
      <c r="A1502" s="2" t="str">
        <v>Q1841</v>
      </c>
      <c r="B1502" s="2" t="str">
        <v>KH068</v>
      </c>
      <c r="C1502" s="2" t="str">
        <v>KH068</v>
      </c>
      <c r="D1502" s="2" t="str">
        <v>S2-01840-BH</v>
      </c>
      <c r="E1502" s="2" t="str">
        <v>BAN_HANG</v>
      </c>
      <c r="F1502" s="2" t="str">
        <v>INP6005</v>
      </c>
      <c r="G1502" s="2" t="str">
        <v>2026-09-22</v>
      </c>
      <c r="H1502" s="2" t="str">
        <v>10350000.018</v>
      </c>
      <c r="I1502" s="28" t="n">
        <v>10350000.018</v>
      </c>
      <c r="J1502" s="7" t="n">
        <v>10350000</v>
      </c>
      <c r="K1502" s="28" t="n">
        <f>J1502-I1502</f>
        <v>-0.017999999225139618</v>
      </c>
      <c r="L1502" s="2" t="str">
        <v>NHẬP</v>
      </c>
      <c r="M1502" s="2" t="str"/>
      <c r="N1502" s="2" t="str">
        <v>KHAC</v>
      </c>
    </row>
    <row r="1503" ht="25" customHeight="1">
      <c r="A1503" s="2" t="str">
        <v>Q1842</v>
      </c>
      <c r="B1503" s="2" t="str">
        <v>KH068</v>
      </c>
      <c r="C1503" s="2" t="str">
        <v>KH068</v>
      </c>
      <c r="D1503" s="2" t="str">
        <v>S2-01840-BH</v>
      </c>
      <c r="E1503" s="2" t="str">
        <v>BAN_HANG</v>
      </c>
      <c r="F1503" s="2" t="str">
        <v>INP6006</v>
      </c>
      <c r="G1503" s="2" t="str">
        <v>2026-09-22</v>
      </c>
      <c r="H1503" s="2" t="str">
        <v>17100000.072</v>
      </c>
      <c r="I1503" s="28" t="n">
        <v>17100000.072</v>
      </c>
      <c r="J1503" s="7" t="n">
        <v>17100000</v>
      </c>
      <c r="K1503" s="28" t="n">
        <f>J1503-I1503</f>
        <v>-0.07200000062584877</v>
      </c>
      <c r="L1503" s="2" t="str">
        <v>NHẬP</v>
      </c>
      <c r="M1503" s="2" t="str"/>
      <c r="N1503" s="2" t="str">
        <v>KHAC</v>
      </c>
    </row>
    <row r="1504" ht="25" customHeight="1">
      <c r="A1504" s="2" t="str">
        <v>Q1843</v>
      </c>
      <c r="B1504" s="2" t="str">
        <v>KH068</v>
      </c>
      <c r="C1504" s="2" t="str">
        <v>KH068</v>
      </c>
      <c r="D1504" s="2" t="str">
        <v>S2-01840-BH</v>
      </c>
      <c r="E1504" s="2" t="str">
        <v>BAN_HANG</v>
      </c>
      <c r="F1504" s="2" t="str">
        <v>INP6007</v>
      </c>
      <c r="G1504" s="2" t="str">
        <v>2026-09-22</v>
      </c>
      <c r="H1504" s="2" t="str">
        <v>10200000.006</v>
      </c>
      <c r="I1504" s="28" t="n">
        <v>10200000.006</v>
      </c>
      <c r="J1504" s="7" t="n">
        <v>10200000</v>
      </c>
      <c r="K1504" s="28" t="n">
        <f>J1504-I1504</f>
        <v>-0.0059999991208314896</v>
      </c>
      <c r="L1504" s="2" t="str">
        <v>NHẬP</v>
      </c>
      <c r="M1504" s="2" t="str"/>
      <c r="N1504" s="2" t="str">
        <v>KHAC</v>
      </c>
    </row>
    <row r="1505" ht="25" customHeight="1">
      <c r="A1505" s="2" t="str">
        <v>Q1844</v>
      </c>
      <c r="B1505" s="2" t="str">
        <v>KH068</v>
      </c>
      <c r="C1505" s="2" t="str">
        <v>KH068</v>
      </c>
      <c r="D1505" s="2" t="str">
        <v>S2-01840-BH</v>
      </c>
      <c r="E1505" s="2" t="str">
        <v>BAN_HANG</v>
      </c>
      <c r="F1505" s="2" t="str">
        <v>INP6010</v>
      </c>
      <c r="G1505" s="2" t="str">
        <v>2026-09-22</v>
      </c>
      <c r="H1505" s="2" t="str">
        <v>31199999.904</v>
      </c>
      <c r="I1505" s="28" t="n">
        <v>31199999.904</v>
      </c>
      <c r="J1505" s="7" t="n">
        <v>31200000</v>
      </c>
      <c r="K1505" s="28" t="n">
        <f>J1505-I1505</f>
        <v>0.09600000083446503</v>
      </c>
      <c r="L1505" s="2" t="str">
        <v>NHẬP</v>
      </c>
      <c r="M1505" s="2" t="str"/>
      <c r="N1505" s="2" t="str">
        <v>KHAC</v>
      </c>
    </row>
    <row r="1506" ht="25" customHeight="1">
      <c r="A1506" s="2" t="str">
        <v>Q1845</v>
      </c>
      <c r="B1506" s="2" t="str">
        <v>KH068</v>
      </c>
      <c r="C1506" s="2" t="str">
        <v>KH068</v>
      </c>
      <c r="D1506" s="2" t="str">
        <v>S2-01840-BH</v>
      </c>
      <c r="E1506" s="2" t="str">
        <v>BAN_HANG</v>
      </c>
      <c r="F1506" s="2" t="str">
        <v>INP6011</v>
      </c>
      <c r="G1506" s="2" t="str">
        <v>2026-09-22</v>
      </c>
      <c r="H1506" s="2" t="str">
        <v>18599999.868</v>
      </c>
      <c r="I1506" s="28" t="n">
        <v>18599999.868</v>
      </c>
      <c r="J1506" s="7" t="n">
        <v>18600000</v>
      </c>
      <c r="K1506" s="28" t="n">
        <f>J1506-I1506</f>
        <v>0.13199999928474426</v>
      </c>
      <c r="L1506" s="2" t="str">
        <v>NHẬP</v>
      </c>
      <c r="M1506" s="2" t="str"/>
      <c r="N1506" s="2" t="str">
        <v>KHAC</v>
      </c>
    </row>
    <row r="1507" ht="25" customHeight="1">
      <c r="A1507" s="2" t="str">
        <v>Q1846</v>
      </c>
      <c r="B1507" s="2" t="str">
        <v>KH068</v>
      </c>
      <c r="C1507" s="2" t="str">
        <v>KH068</v>
      </c>
      <c r="D1507" s="2" t="str">
        <v>S2-01840-BH</v>
      </c>
      <c r="E1507" s="2" t="str">
        <v>BAN_HANG</v>
      </c>
      <c r="F1507" s="2" t="str">
        <v>INP7951</v>
      </c>
      <c r="G1507" s="2" t="str">
        <v>2026-09-22</v>
      </c>
      <c r="H1507" s="2" t="str">
        <v>12600000.036</v>
      </c>
      <c r="I1507" s="28" t="n">
        <v>12600000.036</v>
      </c>
      <c r="J1507" s="7" t="n">
        <v>12600000</v>
      </c>
      <c r="K1507" s="28" t="n">
        <f>J1507-I1507</f>
        <v>-0.036000000312924385</v>
      </c>
      <c r="L1507" s="2" t="str">
        <v>NHẬP</v>
      </c>
      <c r="M1507" s="2" t="str"/>
      <c r="N1507" s="2" t="str">
        <v>KHAC</v>
      </c>
    </row>
    <row r="1508" ht="25" customHeight="1">
      <c r="A1508" s="2" t="str">
        <v>Q1847</v>
      </c>
      <c r="B1508" s="2" t="str">
        <v>KH068</v>
      </c>
      <c r="C1508" s="2" t="str">
        <v>KH068</v>
      </c>
      <c r="D1508" s="2" t="str">
        <v>S2-01840-BH</v>
      </c>
      <c r="E1508" s="2" t="str">
        <v>BAN_HANG</v>
      </c>
      <c r="F1508" s="2" t="str">
        <v>INP7952</v>
      </c>
      <c r="G1508" s="2" t="str">
        <v>2026-09-22</v>
      </c>
      <c r="H1508" s="2" t="str">
        <v>15799999.86</v>
      </c>
      <c r="I1508" s="28" t="n">
        <v>15799999.86</v>
      </c>
      <c r="J1508" s="7" t="n">
        <v>15800000</v>
      </c>
      <c r="K1508" s="28" t="n">
        <f>J1508-I1508</f>
        <v>0.14000000059604645</v>
      </c>
      <c r="L1508" s="2" t="str">
        <v>NHẬP</v>
      </c>
      <c r="M1508" s="2" t="str"/>
      <c r="N1508" s="2" t="str">
        <v>KHAC</v>
      </c>
    </row>
    <row r="1509" ht="25" customHeight="1">
      <c r="A1509" s="2" t="str">
        <v>Q1848</v>
      </c>
      <c r="B1509" s="2" t="str">
        <v>KH068</v>
      </c>
      <c r="C1509" s="2" t="str">
        <v>KH068</v>
      </c>
      <c r="D1509" s="2" t="str">
        <v>S2-01840-BH</v>
      </c>
      <c r="E1509" s="2" t="str">
        <v>BAN_HANG</v>
      </c>
      <c r="F1509" s="2" t="str">
        <v>INP7953</v>
      </c>
      <c r="G1509" s="2" t="str">
        <v>2026-09-22</v>
      </c>
      <c r="H1509" s="2" t="str">
        <v>12499999.92</v>
      </c>
      <c r="I1509" s="28" t="n">
        <v>12499999.92</v>
      </c>
      <c r="J1509" s="7" t="n">
        <v>12500000</v>
      </c>
      <c r="K1509" s="28" t="n">
        <f>J1509-I1509</f>
        <v>0.0800000000745058</v>
      </c>
      <c r="L1509" s="2" t="str">
        <v>NHẬP</v>
      </c>
      <c r="M1509" s="2" t="str"/>
      <c r="N1509" s="2" t="str">
        <v>KHAC</v>
      </c>
    </row>
    <row r="1510" ht="25" customHeight="1">
      <c r="A1510" s="2" t="str">
        <v>Q1856</v>
      </c>
      <c r="B1510" s="2" t="str">
        <v>KH042</v>
      </c>
      <c r="C1510" s="2" t="str">
        <v>KH042</v>
      </c>
      <c r="D1510" s="2" t="str">
        <v>S2-01856-BH</v>
      </c>
      <c r="E1510" s="2" t="str">
        <v>BAN_HANG</v>
      </c>
      <c r="F1510" s="2" t="str">
        <v>INP6006</v>
      </c>
      <c r="G1510" s="2" t="str">
        <v>2026-09-21</v>
      </c>
      <c r="H1510" s="2" t="str">
        <v>17100000.072</v>
      </c>
      <c r="I1510" s="28" t="n">
        <v>17100000.072</v>
      </c>
      <c r="J1510" s="7" t="n">
        <v>17100000</v>
      </c>
      <c r="K1510" s="28" t="n">
        <f>J1510-I1510</f>
        <v>-0.07200000062584877</v>
      </c>
      <c r="L1510" s="2" t="str">
        <v>NHẬP</v>
      </c>
      <c r="M1510" s="2" t="str"/>
      <c r="N1510" s="2" t="str">
        <v>KHAC</v>
      </c>
    </row>
    <row r="1511" ht="25" customHeight="1">
      <c r="A1511" s="2" t="str">
        <v>Q1857</v>
      </c>
      <c r="B1511" s="2" t="str">
        <v>KH042</v>
      </c>
      <c r="C1511" s="2" t="str">
        <v>KH042</v>
      </c>
      <c r="D1511" s="2" t="str">
        <v>S2-01856-BH</v>
      </c>
      <c r="E1511" s="2" t="str">
        <v>BAN_HANG</v>
      </c>
      <c r="F1511" s="2" t="str">
        <v>INP6010</v>
      </c>
      <c r="G1511" s="2" t="str">
        <v>2026-09-21</v>
      </c>
      <c r="H1511" s="2" t="str">
        <v>15599999.952</v>
      </c>
      <c r="I1511" s="28" t="n">
        <v>15599999.952</v>
      </c>
      <c r="J1511" s="7" t="n">
        <v>15600000</v>
      </c>
      <c r="K1511" s="28" t="n">
        <f>J1511-I1511</f>
        <v>0.04800000041723251</v>
      </c>
      <c r="L1511" s="2" t="str">
        <v>NHẬP</v>
      </c>
      <c r="M1511" s="2" t="str"/>
      <c r="N1511" s="2" t="str">
        <v>KHAC</v>
      </c>
    </row>
    <row r="1512" ht="25" customHeight="1">
      <c r="A1512" s="2" t="str">
        <v>Q1858</v>
      </c>
      <c r="B1512" s="2" t="str">
        <v>KH042</v>
      </c>
      <c r="C1512" s="2" t="str">
        <v>KH042</v>
      </c>
      <c r="D1512" s="2" t="str">
        <v>S2-01856-BH</v>
      </c>
      <c r="E1512" s="2" t="str">
        <v>BAN_HANG</v>
      </c>
      <c r="F1512" s="2" t="str">
        <v>INP6011</v>
      </c>
      <c r="G1512" s="2" t="str">
        <v>2026-09-21</v>
      </c>
      <c r="H1512" s="2" t="str">
        <v>18599999.868</v>
      </c>
      <c r="I1512" s="28" t="n">
        <v>18599999.868</v>
      </c>
      <c r="J1512" s="7" t="n">
        <v>18600000</v>
      </c>
      <c r="K1512" s="28" t="n">
        <f>J1512-I1512</f>
        <v>0.13199999928474426</v>
      </c>
      <c r="L1512" s="2" t="str">
        <v>NHẬP</v>
      </c>
      <c r="M1512" s="2" t="str"/>
      <c r="N1512" s="2" t="str">
        <v>KHAC</v>
      </c>
    </row>
    <row r="1513" ht="25" customHeight="1">
      <c r="A1513" s="2" t="str">
        <v>Q1859</v>
      </c>
      <c r="B1513" s="2" t="str">
        <v>KH042</v>
      </c>
      <c r="C1513" s="2" t="str">
        <v>KH042</v>
      </c>
      <c r="D1513" s="2" t="str">
        <v>S2-01856-BH</v>
      </c>
      <c r="E1513" s="2" t="str">
        <v>BAN_HANG</v>
      </c>
      <c r="F1513" s="2" t="str">
        <v>INP1401</v>
      </c>
      <c r="G1513" s="2" t="str">
        <v>2026-09-21</v>
      </c>
      <c r="H1513" s="2" t="str">
        <v>8899999.956</v>
      </c>
      <c r="I1513" s="28" t="n">
        <v>8899999.956</v>
      </c>
      <c r="J1513" s="7" t="n">
        <v>8900000</v>
      </c>
      <c r="K1513" s="28" t="n">
        <f>J1513-I1513</f>
        <v>0.04399999976158142</v>
      </c>
      <c r="L1513" s="2" t="str">
        <v>NHẬP</v>
      </c>
      <c r="M1513" s="2" t="str"/>
      <c r="N1513" s="2" t="str">
        <v>KHAC</v>
      </c>
    </row>
    <row r="1514" ht="25" customHeight="1">
      <c r="A1514" s="2" t="str">
        <v>Q1860</v>
      </c>
      <c r="B1514" s="2" t="str">
        <v>KH042</v>
      </c>
      <c r="C1514" s="2" t="str">
        <v>KH042</v>
      </c>
      <c r="D1514" s="2" t="str">
        <v>S2-01856-BH</v>
      </c>
      <c r="E1514" s="2" t="str">
        <v>BAN_HANG</v>
      </c>
      <c r="F1514" s="2" t="str">
        <v>INP1402</v>
      </c>
      <c r="G1514" s="2" t="str">
        <v>2026-09-21</v>
      </c>
      <c r="H1514" s="2" t="str">
        <v>16207999.9488</v>
      </c>
      <c r="I1514" s="28" t="n">
        <v>16207999.9488</v>
      </c>
      <c r="J1514" s="7" t="n">
        <v>16208000</v>
      </c>
      <c r="K1514" s="28" t="n">
        <f>J1514-I1514</f>
        <v>0.05120000056922436</v>
      </c>
      <c r="L1514" s="2" t="str">
        <v>NHẬP</v>
      </c>
      <c r="M1514" s="2" t="str"/>
      <c r="N1514" s="2" t="str">
        <v>KHAC</v>
      </c>
    </row>
    <row r="1515" ht="25" customHeight="1">
      <c r="A1515" s="2" t="str">
        <v>Q1861</v>
      </c>
      <c r="B1515" s="2" t="str">
        <v>KH042</v>
      </c>
      <c r="C1515" s="2" t="str">
        <v>KH042</v>
      </c>
      <c r="D1515" s="2" t="str">
        <v>S2-01856-BH</v>
      </c>
      <c r="E1515" s="2" t="str">
        <v>BAN_HANG</v>
      </c>
      <c r="F1515" s="2" t="str">
        <v>INP2002</v>
      </c>
      <c r="G1515" s="2" t="str">
        <v>2026-09-21</v>
      </c>
      <c r="H1515" s="2" t="str">
        <v>9199999.98</v>
      </c>
      <c r="I1515" s="28" t="n">
        <v>9199999.98</v>
      </c>
      <c r="J1515" s="7" t="n">
        <v>9200000</v>
      </c>
      <c r="K1515" s="28" t="n">
        <f>J1515-I1515</f>
        <v>0.019999999552965164</v>
      </c>
      <c r="L1515" s="2" t="str">
        <v>NHẬP</v>
      </c>
      <c r="M1515" s="2" t="str"/>
      <c r="N1515" s="2" t="str">
        <v>KHAC</v>
      </c>
    </row>
    <row r="1516" ht="25" customHeight="1">
      <c r="A1516" s="2" t="str">
        <v>Q1862</v>
      </c>
      <c r="B1516" s="2" t="str">
        <v>KH042</v>
      </c>
      <c r="C1516" s="2" t="str">
        <v>KH042</v>
      </c>
      <c r="D1516" s="2" t="str">
        <v>S2-01856-BH</v>
      </c>
      <c r="E1516" s="2" t="str">
        <v>BAN_HANG</v>
      </c>
      <c r="F1516" s="2" t="str">
        <v>INP2003</v>
      </c>
      <c r="G1516" s="2" t="str">
        <v>2026-09-21</v>
      </c>
      <c r="H1516" s="2" t="str">
        <v>5120000.0208</v>
      </c>
      <c r="I1516" s="28" t="n">
        <v>5120000.0208</v>
      </c>
      <c r="J1516" s="7" t="n">
        <v>5120000</v>
      </c>
      <c r="K1516" s="28" t="n">
        <f>J1516-I1516</f>
        <v>-0.020800000056624413</v>
      </c>
      <c r="L1516" s="2" t="str">
        <v>NHẬP</v>
      </c>
      <c r="M1516" s="2" t="str"/>
      <c r="N1516" s="2" t="str">
        <v>KHAC</v>
      </c>
    </row>
    <row r="1517" ht="25" customHeight="1">
      <c r="A1517" s="2" t="str">
        <v>Q1863</v>
      </c>
      <c r="B1517" s="2" t="str">
        <v>KH042</v>
      </c>
      <c r="C1517" s="2" t="str">
        <v>KH042</v>
      </c>
      <c r="D1517" s="2" t="str">
        <v>S2-01856-BH</v>
      </c>
      <c r="E1517" s="2" t="str">
        <v>BAN_HANG</v>
      </c>
      <c r="F1517" s="2" t="str">
        <v>INP7952</v>
      </c>
      <c r="G1517" s="2" t="str">
        <v>2026-09-21</v>
      </c>
      <c r="H1517" s="2" t="str">
        <v>15799999.86</v>
      </c>
      <c r="I1517" s="28" t="n">
        <v>15799999.86</v>
      </c>
      <c r="J1517" s="7" t="n">
        <v>15800000</v>
      </c>
      <c r="K1517" s="28" t="n">
        <f>J1517-I1517</f>
        <v>0.14000000059604645</v>
      </c>
      <c r="L1517" s="2" t="str">
        <v>NHẬP</v>
      </c>
      <c r="M1517" s="2" t="str"/>
      <c r="N1517" s="2" t="str">
        <v>KHAC</v>
      </c>
    </row>
    <row r="1518" ht="25" customHeight="1">
      <c r="A1518" s="2" t="str">
        <v>Q1864</v>
      </c>
      <c r="B1518" s="2" t="str">
        <v>KH042</v>
      </c>
      <c r="C1518" s="2" t="str">
        <v>KH042</v>
      </c>
      <c r="D1518" s="2" t="str">
        <v>S2-01856-BH</v>
      </c>
      <c r="E1518" s="2" t="str">
        <v>BAN_HANG</v>
      </c>
      <c r="F1518" s="2" t="str">
        <v>INP7953</v>
      </c>
      <c r="G1518" s="2" t="str">
        <v>2026-09-21</v>
      </c>
      <c r="H1518" s="2" t="str">
        <v>12499999.92</v>
      </c>
      <c r="I1518" s="28" t="n">
        <v>12499999.92</v>
      </c>
      <c r="J1518" s="7" t="n">
        <v>12500000</v>
      </c>
      <c r="K1518" s="28" t="n">
        <f>J1518-I1518</f>
        <v>0.0800000000745058</v>
      </c>
      <c r="L1518" s="2" t="str">
        <v>NHẬP</v>
      </c>
      <c r="M1518" s="2" t="str"/>
      <c r="N1518" s="2" t="str">
        <v>KHAC</v>
      </c>
    </row>
    <row r="1519" ht="25" customHeight="1">
      <c r="A1519" s="2" t="str">
        <v>Q1865</v>
      </c>
      <c r="B1519" s="2" t="str">
        <v>KH042</v>
      </c>
      <c r="C1519" s="2" t="str">
        <v>KH042</v>
      </c>
      <c r="D1519" s="2" t="str">
        <v>S2-01856-BH</v>
      </c>
      <c r="E1519" s="2" t="str">
        <v>BAN_HANG</v>
      </c>
      <c r="F1519" s="2" t="str">
        <v>INP6701</v>
      </c>
      <c r="G1519" s="2" t="str">
        <v>2026-09-21</v>
      </c>
      <c r="H1519" s="2" t="str">
        <v>3304000.0224</v>
      </c>
      <c r="I1519" s="28" t="n">
        <v>3304000.0224</v>
      </c>
      <c r="J1519" s="7" t="n">
        <v>3304000</v>
      </c>
      <c r="K1519" s="28" t="n">
        <f>J1519-I1519</f>
        <v>-0.022400000132620335</v>
      </c>
      <c r="L1519" s="2" t="str">
        <v>NHẬP</v>
      </c>
      <c r="M1519" s="2" t="str"/>
      <c r="N1519" s="2" t="str">
        <v>KHAC</v>
      </c>
    </row>
    <row r="1520" ht="25" customHeight="1">
      <c r="A1520" s="2" t="str">
        <v>Q1866</v>
      </c>
      <c r="B1520" s="2" t="str">
        <v>KH042</v>
      </c>
      <c r="C1520" s="2" t="str">
        <v>KH042</v>
      </c>
      <c r="D1520" s="2" t="str">
        <v>S2-01856-BH</v>
      </c>
      <c r="E1520" s="2" t="str">
        <v>BAN_HANG</v>
      </c>
      <c r="F1520" s="2" t="str">
        <v>INP6202</v>
      </c>
      <c r="G1520" s="2" t="str">
        <v>2026-09-21</v>
      </c>
      <c r="H1520" s="2" t="str">
        <v>14080000.176</v>
      </c>
      <c r="I1520" s="28" t="n">
        <v>14080000.176</v>
      </c>
      <c r="J1520" s="7" t="n">
        <v>14080000</v>
      </c>
      <c r="K1520" s="28" t="n">
        <f>J1520-I1520</f>
        <v>-0.17600000090897083</v>
      </c>
      <c r="L1520" s="2" t="str">
        <v>NHẬP</v>
      </c>
      <c r="M1520" s="2" t="str"/>
      <c r="N1520" s="2" t="str">
        <v>KHAC</v>
      </c>
    </row>
    <row r="1521" ht="25" customHeight="1">
      <c r="A1521" s="2" t="str">
        <v>Q1867</v>
      </c>
      <c r="B1521" s="2" t="str">
        <v>KH042</v>
      </c>
      <c r="C1521" s="2" t="str">
        <v>KH042</v>
      </c>
      <c r="D1521" s="2" t="str">
        <v>S2-01856-BH</v>
      </c>
      <c r="E1521" s="2" t="str">
        <v>BAN_HANG</v>
      </c>
      <c r="F1521" s="2" t="str">
        <v>INP6105</v>
      </c>
      <c r="G1521" s="2" t="str">
        <v>2026-09-21</v>
      </c>
      <c r="H1521" s="2" t="str">
        <v>8760000.0528</v>
      </c>
      <c r="I1521" s="28" t="n">
        <v>8760000.0528</v>
      </c>
      <c r="J1521" s="7" t="n">
        <v>8760000</v>
      </c>
      <c r="K1521" s="28" t="n">
        <f>J1521-I1521</f>
        <v>-0.052799999713897705</v>
      </c>
      <c r="L1521" s="2" t="str">
        <v>NHẬP</v>
      </c>
      <c r="M1521" s="2" t="str"/>
      <c r="N1521" s="2" t="str">
        <v>KHAC</v>
      </c>
    </row>
    <row r="1522" ht="25" customHeight="1">
      <c r="A1522" s="2" t="str">
        <v>Q1873</v>
      </c>
      <c r="B1522" s="2" t="str">
        <v>KH092</v>
      </c>
      <c r="C1522" s="2" t="str">
        <v>KH092</v>
      </c>
      <c r="D1522" s="2" t="str">
        <v>S2-01873-BH</v>
      </c>
      <c r="E1522" s="2" t="str">
        <v>BAN_HANG</v>
      </c>
      <c r="F1522" s="2" t="str">
        <v>INP2202</v>
      </c>
      <c r="G1522" s="2" t="str">
        <v>2026-09-25</v>
      </c>
      <c r="H1522" s="2" t="str">
        <v>1002999.996</v>
      </c>
      <c r="I1522" s="28" t="n">
        <v>1002999.996</v>
      </c>
      <c r="J1522" s="7" t="n">
        <v>1003000</v>
      </c>
      <c r="K1522" s="28" t="n">
        <f>J1522-I1522</f>
        <v>0.003999999957159162</v>
      </c>
      <c r="L1522" s="2" t="str">
        <v>NHẬP</v>
      </c>
      <c r="M1522" s="2" t="str"/>
      <c r="N1522" s="2" t="str">
        <v>KHAC</v>
      </c>
    </row>
    <row r="1523" ht="25" customHeight="1">
      <c r="A1523" s="2" t="str">
        <v>Q1874</v>
      </c>
      <c r="B1523" s="2" t="str">
        <v>KH092</v>
      </c>
      <c r="C1523" s="2" t="str">
        <v>KH092</v>
      </c>
      <c r="D1523" s="2" t="str">
        <v>S2-01873-BH</v>
      </c>
      <c r="E1523" s="2" t="str">
        <v>BAN_HANG</v>
      </c>
      <c r="F1523" s="2" t="str">
        <v>INP2103</v>
      </c>
      <c r="G1523" s="2" t="str">
        <v>2026-09-25</v>
      </c>
      <c r="H1523" s="2" t="str">
        <v>668000.0016</v>
      </c>
      <c r="I1523" s="28" t="n">
        <v>668000.0016</v>
      </c>
      <c r="J1523" s="7" t="n">
        <v>668000</v>
      </c>
      <c r="K1523" s="28" t="n">
        <f>J1523-I1523</f>
        <v>-0.0015999999595806003</v>
      </c>
      <c r="L1523" s="2" t="str">
        <v>NHẬP</v>
      </c>
      <c r="M1523" s="2" t="str"/>
      <c r="N1523" s="2" t="str">
        <v>KHAC</v>
      </c>
    </row>
    <row r="1524" ht="25" customHeight="1">
      <c r="A1524" s="2" t="str">
        <v>Q1875</v>
      </c>
      <c r="B1524" s="2" t="str">
        <v>KH092</v>
      </c>
      <c r="C1524" s="2" t="str">
        <v>KH092</v>
      </c>
      <c r="D1524" s="2" t="str">
        <v>S2-01873-BH</v>
      </c>
      <c r="E1524" s="2" t="str">
        <v>BAN_HANG</v>
      </c>
      <c r="F1524" s="2" t="str">
        <v>INP3201</v>
      </c>
      <c r="G1524" s="2" t="str">
        <v>2026-09-25</v>
      </c>
      <c r="H1524" s="2" t="str">
        <v>285999.9948</v>
      </c>
      <c r="I1524" s="28" t="n">
        <v>285999.9948</v>
      </c>
      <c r="J1524" s="7" t="n">
        <v>286000</v>
      </c>
      <c r="K1524" s="28" t="n">
        <f>J1524-I1524</f>
        <v>0.005200000014156103</v>
      </c>
      <c r="L1524" s="2" t="str">
        <v>NHẬP</v>
      </c>
      <c r="M1524" s="2" t="str"/>
      <c r="N1524" s="2" t="str">
        <v>KHAC</v>
      </c>
    </row>
    <row r="1525" ht="25" customHeight="1">
      <c r="A1525" s="2" t="str">
        <v>Q1876</v>
      </c>
      <c r="B1525" s="2" t="str">
        <v>KH092</v>
      </c>
      <c r="C1525" s="2" t="str">
        <v>KH092</v>
      </c>
      <c r="D1525" s="2" t="str">
        <v>S2-01873-BH</v>
      </c>
      <c r="E1525" s="2" t="str">
        <v>BAN_HANG</v>
      </c>
      <c r="F1525" s="2" t="str">
        <v>INP6103</v>
      </c>
      <c r="G1525" s="2" t="str">
        <v>2026-09-25</v>
      </c>
      <c r="H1525" s="2" t="str">
        <v>1897999.992</v>
      </c>
      <c r="I1525" s="28" t="n">
        <v>1897999.992</v>
      </c>
      <c r="J1525" s="7" t="n">
        <v>1898000</v>
      </c>
      <c r="K1525" s="28" t="n">
        <f>J1525-I1525</f>
        <v>0.007999999914318323</v>
      </c>
      <c r="L1525" s="2" t="str">
        <v>NHẬP</v>
      </c>
      <c r="M1525" s="2" t="str"/>
      <c r="N1525" s="2" t="str">
        <v>KHAC</v>
      </c>
    </row>
    <row r="1526" ht="25" customHeight="1">
      <c r="A1526" s="2" t="str">
        <v>Q1878</v>
      </c>
      <c r="B1526" s="2" t="str">
        <v>KH011</v>
      </c>
      <c r="C1526" s="2" t="str">
        <v>KH011</v>
      </c>
      <c r="D1526" s="2" t="str">
        <v>S2-01878-BH</v>
      </c>
      <c r="E1526" s="2" t="str">
        <v>BAN_HANG</v>
      </c>
      <c r="F1526" s="2" t="str">
        <v>INP1401</v>
      </c>
      <c r="G1526" s="2" t="str">
        <v>2026-09-24</v>
      </c>
      <c r="H1526" s="2" t="str">
        <v>3559999.9824</v>
      </c>
      <c r="I1526" s="28" t="n">
        <v>3559999.9824</v>
      </c>
      <c r="J1526" s="7" t="n">
        <v>3560000</v>
      </c>
      <c r="K1526" s="28" t="n">
        <f>J1526-I1526</f>
        <v>0.01759999990463257</v>
      </c>
      <c r="L1526" s="2" t="str">
        <v>NHẬP</v>
      </c>
      <c r="M1526" s="2" t="str"/>
      <c r="N1526" s="2" t="str">
        <v>KHAC</v>
      </c>
    </row>
    <row r="1527" ht="25" customHeight="1">
      <c r="A1527" s="2" t="str">
        <v>Q1879</v>
      </c>
      <c r="B1527" s="2" t="str">
        <v>KH011</v>
      </c>
      <c r="C1527" s="2" t="str">
        <v>KH011</v>
      </c>
      <c r="D1527" s="2" t="str">
        <v>S2-01878-BH</v>
      </c>
      <c r="E1527" s="2" t="str">
        <v>BAN_HANG</v>
      </c>
      <c r="F1527" s="2" t="str">
        <v>INP1402</v>
      </c>
      <c r="G1527" s="2" t="str">
        <v>2026-09-24</v>
      </c>
      <c r="H1527" s="2" t="str">
        <v>4051999.9872</v>
      </c>
      <c r="I1527" s="28" t="n">
        <v>4051999.9872</v>
      </c>
      <c r="J1527" s="7" t="n">
        <v>4052000</v>
      </c>
      <c r="K1527" s="28" t="n">
        <f>J1527-I1527</f>
        <v>0.01280000014230609</v>
      </c>
      <c r="L1527" s="2" t="str">
        <v>NHẬP</v>
      </c>
      <c r="M1527" s="2" t="str"/>
      <c r="N1527" s="2" t="str">
        <v>KHAC</v>
      </c>
    </row>
    <row r="1528" ht="25" customHeight="1">
      <c r="A1528" s="2" t="str">
        <v>Q1880</v>
      </c>
      <c r="B1528" s="2" t="str">
        <v>KH011</v>
      </c>
      <c r="C1528" s="2" t="str">
        <v>KH011</v>
      </c>
      <c r="D1528" s="2" t="str">
        <v>S2-01878-BH</v>
      </c>
      <c r="E1528" s="2" t="str">
        <v>BAN_HANG</v>
      </c>
      <c r="F1528" s="2" t="str">
        <v>INP3005</v>
      </c>
      <c r="G1528" s="2" t="str">
        <v>2026-09-24</v>
      </c>
      <c r="H1528" s="2" t="str">
        <v>3440000.016</v>
      </c>
      <c r="I1528" s="28" t="n">
        <v>3440000.016</v>
      </c>
      <c r="J1528" s="7" t="n">
        <v>3440000</v>
      </c>
      <c r="K1528" s="28" t="n">
        <f>J1528-I1528</f>
        <v>-0.015999999828636646</v>
      </c>
      <c r="L1528" s="2" t="str">
        <v>NHẬP</v>
      </c>
      <c r="M1528" s="2" t="str"/>
      <c r="N1528" s="2" t="str">
        <v>KHAC</v>
      </c>
    </row>
    <row r="1529" ht="25" customHeight="1">
      <c r="A1529" s="2" t="str">
        <v>Q1881</v>
      </c>
      <c r="B1529" s="2" t="str">
        <v>KH011</v>
      </c>
      <c r="C1529" s="2" t="str">
        <v>KH011</v>
      </c>
      <c r="D1529" s="2" t="str">
        <v>S2-01878-BH</v>
      </c>
      <c r="E1529" s="2" t="str">
        <v>BAN_HANG</v>
      </c>
      <c r="F1529" s="2" t="str">
        <v>INP3201</v>
      </c>
      <c r="G1529" s="2" t="str">
        <v>2026-09-24</v>
      </c>
      <c r="H1529" s="2" t="str">
        <v>1559999.9952</v>
      </c>
      <c r="I1529" s="28" t="n">
        <v>1559999.9952</v>
      </c>
      <c r="J1529" s="7" t="n">
        <v>1560000</v>
      </c>
      <c r="K1529" s="28" t="n">
        <f>J1529-I1529</f>
        <v>0.004799999995157123</v>
      </c>
      <c r="L1529" s="2" t="str">
        <v>NHẬP</v>
      </c>
      <c r="M1529" s="2" t="str"/>
      <c r="N1529" s="2" t="str">
        <v>KHAC</v>
      </c>
    </row>
    <row r="1530" ht="25" customHeight="1">
      <c r="A1530" s="2" t="str">
        <v>Q1882</v>
      </c>
      <c r="B1530" s="2" t="str">
        <v>KH011</v>
      </c>
      <c r="C1530" s="2" t="str">
        <v>KH011</v>
      </c>
      <c r="D1530" s="2" t="str">
        <v>S2-01878-BH</v>
      </c>
      <c r="E1530" s="2" t="str">
        <v>BAN_HANG</v>
      </c>
      <c r="F1530" s="2" t="str">
        <v>INP3202</v>
      </c>
      <c r="G1530" s="2" t="str">
        <v>2026-09-24</v>
      </c>
      <c r="H1530" s="2" t="str">
        <v>2219999.9832</v>
      </c>
      <c r="I1530" s="28" t="n">
        <v>2219999.9832</v>
      </c>
      <c r="J1530" s="7" t="n">
        <v>2220000</v>
      </c>
      <c r="K1530" s="28" t="n">
        <f>J1530-I1530</f>
        <v>0.016799999866634607</v>
      </c>
      <c r="L1530" s="2" t="str">
        <v>NHẬP</v>
      </c>
      <c r="M1530" s="2" t="str"/>
      <c r="N1530" s="2" t="str">
        <v>KHAC</v>
      </c>
    </row>
    <row r="1531" ht="25" customHeight="1">
      <c r="A1531" s="2" t="str">
        <v>Q1883</v>
      </c>
      <c r="B1531" s="2" t="str">
        <v>KH011</v>
      </c>
      <c r="C1531" s="2" t="str">
        <v>KH011</v>
      </c>
      <c r="D1531" s="2" t="str">
        <v>S2-01878-BH</v>
      </c>
      <c r="E1531" s="2" t="str">
        <v>BAN_HANG</v>
      </c>
      <c r="F1531" s="2" t="str">
        <v>INP6003</v>
      </c>
      <c r="G1531" s="2" t="str">
        <v>2026-09-24</v>
      </c>
      <c r="H1531" s="2" t="str">
        <v>3679999.992</v>
      </c>
      <c r="I1531" s="28" t="n">
        <v>3679999.992</v>
      </c>
      <c r="J1531" s="7" t="n">
        <v>3680000</v>
      </c>
      <c r="K1531" s="28" t="n">
        <f>J1531-I1531</f>
        <v>0.007999999914318323</v>
      </c>
      <c r="L1531" s="2" t="str">
        <v>NHẬP</v>
      </c>
      <c r="M1531" s="2" t="str"/>
      <c r="N1531" s="2" t="str">
        <v>KHAC</v>
      </c>
    </row>
    <row r="1532" ht="25" customHeight="1">
      <c r="A1532" s="2" t="str">
        <v>Q1884</v>
      </c>
      <c r="B1532" s="2" t="str">
        <v>KH011</v>
      </c>
      <c r="C1532" s="2" t="str">
        <v>KH011</v>
      </c>
      <c r="D1532" s="2" t="str">
        <v>S2-01878-BH</v>
      </c>
      <c r="E1532" s="2" t="str">
        <v>BAN_HANG</v>
      </c>
      <c r="F1532" s="2" t="str">
        <v>INP6006</v>
      </c>
      <c r="G1532" s="2" t="str">
        <v>2026-09-24</v>
      </c>
      <c r="H1532" s="2" t="str">
        <v>8550000.036</v>
      </c>
      <c r="I1532" s="28" t="n">
        <v>8550000.036</v>
      </c>
      <c r="J1532" s="7" t="n">
        <v>8550000</v>
      </c>
      <c r="K1532" s="28" t="n">
        <f>J1532-I1532</f>
        <v>-0.036000000312924385</v>
      </c>
      <c r="L1532" s="2" t="str">
        <v>NHẬP</v>
      </c>
      <c r="M1532" s="2" t="str"/>
      <c r="N1532" s="2" t="str">
        <v>KHAC</v>
      </c>
    </row>
    <row r="1533" ht="25" customHeight="1">
      <c r="A1533" s="2" t="str">
        <v>Q1885</v>
      </c>
      <c r="B1533" s="2" t="str">
        <v>KH011</v>
      </c>
      <c r="C1533" s="2" t="str">
        <v>KH011</v>
      </c>
      <c r="D1533" s="2" t="str">
        <v>S2-01878-BH</v>
      </c>
      <c r="E1533" s="2" t="str">
        <v>BAN_HANG</v>
      </c>
      <c r="F1533" s="2" t="str">
        <v>INP6007</v>
      </c>
      <c r="G1533" s="2" t="str">
        <v>2026-09-24</v>
      </c>
      <c r="H1533" s="2" t="str">
        <v>10200000.006</v>
      </c>
      <c r="I1533" s="28" t="n">
        <v>10200000.006</v>
      </c>
      <c r="J1533" s="7" t="n">
        <v>10200000</v>
      </c>
      <c r="K1533" s="28" t="n">
        <f>J1533-I1533</f>
        <v>-0.0059999991208314896</v>
      </c>
      <c r="L1533" s="2" t="str">
        <v>NHẬP</v>
      </c>
      <c r="M1533" s="2" t="str"/>
      <c r="N1533" s="2" t="str">
        <v>KHAC</v>
      </c>
    </row>
    <row r="1534" ht="25" customHeight="1">
      <c r="A1534" s="2" t="str">
        <v>Q1886</v>
      </c>
      <c r="B1534" s="2" t="str">
        <v>KH011</v>
      </c>
      <c r="C1534" s="2" t="str">
        <v>KH011</v>
      </c>
      <c r="D1534" s="2" t="str">
        <v>S2-01878-BH</v>
      </c>
      <c r="E1534" s="2" t="str">
        <v>BAN_HANG</v>
      </c>
      <c r="F1534" s="2" t="str">
        <v>INP2102</v>
      </c>
      <c r="G1534" s="2" t="str">
        <v>2026-09-24</v>
      </c>
      <c r="H1534" s="2" t="str">
        <v>2769999.984</v>
      </c>
      <c r="I1534" s="28" t="n">
        <v>2769999.984</v>
      </c>
      <c r="J1534" s="7" t="n">
        <v>2770000</v>
      </c>
      <c r="K1534" s="28" t="n">
        <f>J1534-I1534</f>
        <v>0.015999999828636646</v>
      </c>
      <c r="L1534" s="2" t="str">
        <v>NHẬP</v>
      </c>
      <c r="M1534" s="2" t="str"/>
      <c r="N1534" s="2" t="str">
        <v>KHAC</v>
      </c>
    </row>
    <row r="1535" ht="25" customHeight="1">
      <c r="A1535" s="2" t="str">
        <v>Q1887</v>
      </c>
      <c r="B1535" s="2" t="str">
        <v>KH011</v>
      </c>
      <c r="C1535" s="2" t="str">
        <v>KH011</v>
      </c>
      <c r="D1535" s="2" t="str">
        <v>S2-01878-BH</v>
      </c>
      <c r="E1535" s="2" t="str">
        <v>BAN_HANG</v>
      </c>
      <c r="F1535" s="2" t="str">
        <v>INP2103</v>
      </c>
      <c r="G1535" s="2" t="str">
        <v>2026-09-24</v>
      </c>
      <c r="H1535" s="2" t="str">
        <v>3039999.984</v>
      </c>
      <c r="I1535" s="28" t="n">
        <v>3039999.984</v>
      </c>
      <c r="J1535" s="7" t="n">
        <v>3040000</v>
      </c>
      <c r="K1535" s="28" t="n">
        <f>J1535-I1535</f>
        <v>0.015999999828636646</v>
      </c>
      <c r="L1535" s="2" t="str">
        <v>NHẬP</v>
      </c>
      <c r="M1535" s="2" t="str"/>
      <c r="N1535" s="2" t="str">
        <v>KHAC</v>
      </c>
    </row>
    <row r="1536" ht="25" customHeight="1">
      <c r="A1536" s="2" t="str">
        <v>Q1888</v>
      </c>
      <c r="B1536" s="2" t="str">
        <v>KH011</v>
      </c>
      <c r="C1536" s="2" t="str">
        <v>KH011</v>
      </c>
      <c r="D1536" s="2" t="str">
        <v>S2-01878-BH</v>
      </c>
      <c r="E1536" s="2" t="str">
        <v>BAN_HANG</v>
      </c>
      <c r="F1536" s="2" t="str">
        <v>INP2101</v>
      </c>
      <c r="G1536" s="2" t="str">
        <v>2026-09-24</v>
      </c>
      <c r="H1536" s="2" t="str">
        <v>2530000.008</v>
      </c>
      <c r="I1536" s="28" t="n">
        <v>2530000.008</v>
      </c>
      <c r="J1536" s="7" t="n">
        <v>2530000</v>
      </c>
      <c r="K1536" s="28" t="n">
        <f>J1536-I1536</f>
        <v>-0.007999999914318323</v>
      </c>
      <c r="L1536" s="2" t="str">
        <v>NHẬP</v>
      </c>
      <c r="M1536" s="2" t="str"/>
      <c r="N1536" s="2" t="str">
        <v>KHAC</v>
      </c>
    </row>
    <row r="1537" ht="25" customHeight="1">
      <c r="A1537" s="2" t="str">
        <v>Q1889</v>
      </c>
      <c r="B1537" s="2" t="str">
        <v>KH011</v>
      </c>
      <c r="C1537" s="2" t="str">
        <v>KH011</v>
      </c>
      <c r="D1537" s="2" t="str">
        <v>S2-01878-BH</v>
      </c>
      <c r="E1537" s="2" t="str">
        <v>BAN_HANG</v>
      </c>
      <c r="F1537" s="2" t="str">
        <v>INP2105</v>
      </c>
      <c r="G1537" s="2" t="str">
        <v>2026-09-24</v>
      </c>
      <c r="H1537" s="2" t="str">
        <v>2599999.992</v>
      </c>
      <c r="I1537" s="28" t="n">
        <v>2599999.992</v>
      </c>
      <c r="J1537" s="7" t="n">
        <v>2600000</v>
      </c>
      <c r="K1537" s="28" t="n">
        <f>J1537-I1537</f>
        <v>0.007999999914318323</v>
      </c>
      <c r="L1537" s="2" t="str">
        <v>NHẬP</v>
      </c>
      <c r="M1537" s="2" t="str"/>
      <c r="N1537" s="2" t="str">
        <v>KHAC</v>
      </c>
    </row>
    <row r="1538" ht="25" customHeight="1">
      <c r="A1538" s="2" t="str">
        <v>Q1890</v>
      </c>
      <c r="B1538" s="2" t="str">
        <v>KH011</v>
      </c>
      <c r="C1538" s="2" t="str">
        <v>KH011</v>
      </c>
      <c r="D1538" s="2" t="str">
        <v>S2-01878-BH</v>
      </c>
      <c r="E1538" s="2" t="str">
        <v>BAN_HANG</v>
      </c>
      <c r="F1538" s="2" t="str">
        <v>INP2106</v>
      </c>
      <c r="G1538" s="2" t="str">
        <v>2026-09-24</v>
      </c>
      <c r="H1538" s="2" t="str">
        <v>2800000.008</v>
      </c>
      <c r="I1538" s="28" t="n">
        <v>2800000.008</v>
      </c>
      <c r="J1538" s="7" t="n">
        <v>2800000</v>
      </c>
      <c r="K1538" s="28" t="n">
        <f>J1538-I1538</f>
        <v>-0.007999999914318323</v>
      </c>
      <c r="L1538" s="2" t="str">
        <v>NHẬP</v>
      </c>
      <c r="M1538" s="2" t="str"/>
      <c r="N1538" s="2" t="str">
        <v>KHAC</v>
      </c>
    </row>
    <row r="1539" ht="25" customHeight="1">
      <c r="A1539" s="2" t="str">
        <v>Q1891</v>
      </c>
      <c r="B1539" s="2" t="str">
        <v>KH011</v>
      </c>
      <c r="C1539" s="2" t="str">
        <v>KH011</v>
      </c>
      <c r="D1539" s="2" t="str">
        <v>S2-01878-BH</v>
      </c>
      <c r="E1539" s="2" t="str">
        <v>BAN_HANG</v>
      </c>
      <c r="F1539" s="2" t="str">
        <v>INP2107</v>
      </c>
      <c r="G1539" s="2" t="str">
        <v>2026-09-24</v>
      </c>
      <c r="H1539" s="2" t="str">
        <v>3000000.024</v>
      </c>
      <c r="I1539" s="28" t="n">
        <v>3000000.024</v>
      </c>
      <c r="J1539" s="7" t="n">
        <v>3000000</v>
      </c>
      <c r="K1539" s="28" t="n">
        <f>J1539-I1539</f>
        <v>-0.024000000208616257</v>
      </c>
      <c r="L1539" s="2" t="str">
        <v>NHẬP</v>
      </c>
      <c r="M1539" s="2" t="str"/>
      <c r="N1539" s="2" t="str">
        <v>KHAC</v>
      </c>
    </row>
    <row r="1540" ht="25" customHeight="1">
      <c r="A1540" s="2" t="str">
        <v>Q1892</v>
      </c>
      <c r="B1540" s="2" t="str">
        <v>KH011</v>
      </c>
      <c r="C1540" s="2" t="str">
        <v>KH011</v>
      </c>
      <c r="D1540" s="2" t="str">
        <v>S2-01878-BH</v>
      </c>
      <c r="E1540" s="2" t="str">
        <v>BAN_HANG</v>
      </c>
      <c r="F1540" s="2" t="str">
        <v>INP2108</v>
      </c>
      <c r="G1540" s="2" t="str">
        <v>2026-09-24</v>
      </c>
      <c r="H1540" s="2" t="str">
        <v>2449999.98</v>
      </c>
      <c r="I1540" s="28" t="n">
        <v>2449999.98</v>
      </c>
      <c r="J1540" s="7" t="n">
        <v>2450000</v>
      </c>
      <c r="K1540" s="28" t="n">
        <f>J1540-I1540</f>
        <v>0.02000000001862645</v>
      </c>
      <c r="L1540" s="2" t="str">
        <v>NHẬP</v>
      </c>
      <c r="M1540" s="2" t="str"/>
      <c r="N1540" s="2" t="str">
        <v>KHAC</v>
      </c>
    </row>
    <row r="1541" ht="25" customHeight="1">
      <c r="A1541" s="2" t="str">
        <v>Q1893</v>
      </c>
      <c r="B1541" s="2" t="str">
        <v>KH011</v>
      </c>
      <c r="C1541" s="2" t="str">
        <v>KH011</v>
      </c>
      <c r="D1541" s="2" t="str">
        <v>S2-01878-BH</v>
      </c>
      <c r="E1541" s="2" t="str">
        <v>BAN_HANG</v>
      </c>
      <c r="F1541" s="2" t="str">
        <v>INP2109</v>
      </c>
      <c r="G1541" s="2" t="str">
        <v>2026-09-24</v>
      </c>
      <c r="H1541" s="2" t="str">
        <v>2599999.992</v>
      </c>
      <c r="I1541" s="28" t="n">
        <v>2599999.992</v>
      </c>
      <c r="J1541" s="7" t="n">
        <v>2600000</v>
      </c>
      <c r="K1541" s="28" t="n">
        <f>J1541-I1541</f>
        <v>0.007999999914318323</v>
      </c>
      <c r="L1541" s="2" t="str">
        <v>NHẬP</v>
      </c>
      <c r="M1541" s="2" t="str"/>
      <c r="N1541" s="2" t="str">
        <v>KHAC</v>
      </c>
    </row>
    <row r="1542" ht="25" customHeight="1">
      <c r="A1542" s="2" t="str">
        <v>Q1894</v>
      </c>
      <c r="B1542" s="2" t="str">
        <v>KH011</v>
      </c>
      <c r="C1542" s="2" t="str">
        <v>KH011</v>
      </c>
      <c r="D1542" s="2" t="str">
        <v>S2-01878-BH</v>
      </c>
      <c r="E1542" s="2" t="str">
        <v>BAN_HANG</v>
      </c>
      <c r="F1542" s="2" t="str">
        <v>INP2110</v>
      </c>
      <c r="G1542" s="2" t="str">
        <v>2026-09-24</v>
      </c>
      <c r="H1542" s="2" t="str">
        <v>2800000.008</v>
      </c>
      <c r="I1542" s="28" t="n">
        <v>2800000.008</v>
      </c>
      <c r="J1542" s="7" t="n">
        <v>2800000</v>
      </c>
      <c r="K1542" s="28" t="n">
        <f>J1542-I1542</f>
        <v>-0.007999999914318323</v>
      </c>
      <c r="L1542" s="2" t="str">
        <v>NHẬP</v>
      </c>
      <c r="M1542" s="2" t="str"/>
      <c r="N1542" s="2" t="str">
        <v>KHAC</v>
      </c>
    </row>
    <row r="1543" ht="25" customHeight="1">
      <c r="A1543" s="2" t="str">
        <v>Q1895</v>
      </c>
      <c r="B1543" s="2" t="str">
        <v>KH011</v>
      </c>
      <c r="C1543" s="2" t="str">
        <v>KH011</v>
      </c>
      <c r="D1543" s="2" t="str">
        <v>S2-01878-BH</v>
      </c>
      <c r="E1543" s="2" t="str">
        <v>BAN_HANG</v>
      </c>
      <c r="F1543" s="2" t="str">
        <v>INP2111</v>
      </c>
      <c r="G1543" s="2" t="str">
        <v>2026-09-24</v>
      </c>
      <c r="H1543" s="2" t="str">
        <v>3000000.024</v>
      </c>
      <c r="I1543" s="28" t="n">
        <v>3000000.024</v>
      </c>
      <c r="J1543" s="7" t="n">
        <v>3000000</v>
      </c>
      <c r="K1543" s="28" t="n">
        <f>J1543-I1543</f>
        <v>-0.024000000208616257</v>
      </c>
      <c r="L1543" s="2" t="str">
        <v>NHẬP</v>
      </c>
      <c r="M1543" s="2" t="str"/>
      <c r="N1543" s="2" t="str">
        <v>KHAC</v>
      </c>
    </row>
    <row r="1544" ht="25" customHeight="1">
      <c r="A1544" s="2" t="str">
        <v>Q1896</v>
      </c>
      <c r="B1544" s="2" t="str">
        <v>KH011</v>
      </c>
      <c r="C1544" s="2" t="str">
        <v>KH011</v>
      </c>
      <c r="D1544" s="2" t="str">
        <v>S2-01878-BH</v>
      </c>
      <c r="E1544" s="2" t="str">
        <v>BAN_HANG</v>
      </c>
      <c r="F1544" s="2" t="str">
        <v>INP6206</v>
      </c>
      <c r="G1544" s="2" t="str">
        <v>2026-09-24</v>
      </c>
      <c r="H1544" s="2" t="str">
        <v>2850000.012</v>
      </c>
      <c r="I1544" s="28" t="n">
        <v>2850000.012</v>
      </c>
      <c r="J1544" s="7" t="n">
        <v>2850000</v>
      </c>
      <c r="K1544" s="28" t="n">
        <f>J1544-I1544</f>
        <v>-0.012000000104308128</v>
      </c>
      <c r="L1544" s="2" t="str">
        <v>NHẬP</v>
      </c>
      <c r="M1544" s="2" t="str"/>
      <c r="N1544" s="2" t="str">
        <v>KHAC</v>
      </c>
    </row>
    <row r="1545" ht="25" customHeight="1">
      <c r="A1545" s="2" t="str">
        <v>Q1900</v>
      </c>
      <c r="B1545" s="2" t="str">
        <v>KH066</v>
      </c>
      <c r="C1545" s="2" t="str">
        <v>KH066</v>
      </c>
      <c r="D1545" s="2" t="str">
        <v>S2-01900-BH</v>
      </c>
      <c r="E1545" s="2" t="str">
        <v>BAN_HANG</v>
      </c>
      <c r="F1545" s="2" t="str">
        <v>INP2003</v>
      </c>
      <c r="G1545" s="2" t="str">
        <v>2026-09-25</v>
      </c>
      <c r="H1545" s="2" t="str">
        <v>7680000.0312</v>
      </c>
      <c r="I1545" s="28" t="n">
        <v>7680000.0312</v>
      </c>
      <c r="J1545" s="7" t="n">
        <v>7680000</v>
      </c>
      <c r="K1545" s="28" t="n">
        <f>J1545-I1545</f>
        <v>-0.03120000008493662</v>
      </c>
      <c r="L1545" s="2" t="str">
        <v>NHẬP</v>
      </c>
      <c r="M1545" s="2" t="str"/>
      <c r="N1545" s="2" t="str">
        <v>KHAC</v>
      </c>
    </row>
    <row r="1546" ht="25" customHeight="1">
      <c r="A1546" s="2" t="str">
        <v>Q1901</v>
      </c>
      <c r="B1546" s="2" t="str">
        <v>KH066</v>
      </c>
      <c r="C1546" s="2" t="str">
        <v>KH066</v>
      </c>
      <c r="D1546" s="2" t="str">
        <v>S2-01900-BH</v>
      </c>
      <c r="E1546" s="2" t="str">
        <v>BAN_HANG</v>
      </c>
      <c r="F1546" s="2" t="str">
        <v>INP2103</v>
      </c>
      <c r="G1546" s="2" t="str">
        <v>2026-09-25</v>
      </c>
      <c r="H1546" s="2" t="str">
        <v>12159999.936</v>
      </c>
      <c r="I1546" s="28" t="n">
        <v>12159999.936</v>
      </c>
      <c r="J1546" s="7" t="n">
        <v>12160000</v>
      </c>
      <c r="K1546" s="28" t="n">
        <f>J1546-I1546</f>
        <v>0.06399999931454659</v>
      </c>
      <c r="L1546" s="2" t="str">
        <v>NHẬP</v>
      </c>
      <c r="M1546" s="2" t="str"/>
      <c r="N1546" s="2" t="str">
        <v>KHAC</v>
      </c>
    </row>
    <row r="1547" ht="25" customHeight="1">
      <c r="A1547" s="2" t="str">
        <v>Q1902</v>
      </c>
      <c r="B1547" s="2" t="str">
        <v>KH066</v>
      </c>
      <c r="C1547" s="2" t="str">
        <v>KH066</v>
      </c>
      <c r="D1547" s="2" t="str">
        <v>S2-01900-BH</v>
      </c>
      <c r="E1547" s="2" t="str">
        <v>BAN_HANG</v>
      </c>
      <c r="F1547" s="2" t="str">
        <v>INP6007</v>
      </c>
      <c r="G1547" s="2" t="str">
        <v>2026-09-25</v>
      </c>
      <c r="H1547" s="2" t="str">
        <v>10200000.006</v>
      </c>
      <c r="I1547" s="28" t="n">
        <v>10200000.006</v>
      </c>
      <c r="J1547" s="7" t="n">
        <v>10200000</v>
      </c>
      <c r="K1547" s="28" t="n">
        <f>J1547-I1547</f>
        <v>-0.0059999991208314896</v>
      </c>
      <c r="L1547" s="2" t="str">
        <v>NHẬP</v>
      </c>
      <c r="M1547" s="2" t="str"/>
      <c r="N1547" s="2" t="str">
        <v>KHAC</v>
      </c>
    </row>
    <row r="1548" ht="25" customHeight="1">
      <c r="A1548" s="2" t="str">
        <v>R1904</v>
      </c>
      <c r="B1548" s="2" t="str">
        <v>KH053</v>
      </c>
      <c r="C1548" s="2" t="str">
        <v>KH053</v>
      </c>
      <c r="D1548" s="2" t="str">
        <v>S2-01904-TT</v>
      </c>
      <c r="E1548" s="2" t="str">
        <v>THU_TIEN</v>
      </c>
      <c r="F1548" s="2" t="str"/>
      <c r="G1548" s="2" t="str">
        <v>2026-09-24</v>
      </c>
      <c r="H1548" s="2" t="str">
        <v>3000000</v>
      </c>
      <c r="I1548" s="28" t="n">
        <v>3000000</v>
      </c>
      <c r="J1548" s="7" t="n">
        <v>3000000</v>
      </c>
      <c r="K1548" s="28" t="n">
        <f>J1548-I1548</f>
        <v>0</v>
      </c>
      <c r="L1548" s="2" t="str">
        <v>NHẬP</v>
      </c>
      <c r="M1548" s="2" t="str"/>
      <c r="N1548" s="2" t="str">
        <v>KHAC</v>
      </c>
    </row>
    <row r="1549" ht="25" customHeight="1">
      <c r="A1549" s="2" t="str">
        <v>Q1906</v>
      </c>
      <c r="B1549" s="2" t="str">
        <v>KH094</v>
      </c>
      <c r="C1549" s="2" t="str">
        <v>KH094</v>
      </c>
      <c r="D1549" s="2" t="str">
        <v>S2-01906-BH</v>
      </c>
      <c r="E1549" s="2" t="str">
        <v>BAN_HANG</v>
      </c>
      <c r="F1549" s="2" t="str">
        <v>INP2001</v>
      </c>
      <c r="G1549" s="2" t="str">
        <v>2026-09-25</v>
      </c>
      <c r="H1549" s="2" t="str">
        <v>1127000</v>
      </c>
      <c r="I1549" s="28" t="n">
        <v>1127000</v>
      </c>
      <c r="J1549" s="7" t="n">
        <v>1127000</v>
      </c>
      <c r="K1549" s="28" t="n">
        <f>J1549-I1549</f>
        <v>0</v>
      </c>
      <c r="L1549" s="2" t="str">
        <v>NHẬP</v>
      </c>
      <c r="M1549" s="2" t="str"/>
      <c r="N1549" s="2" t="str">
        <v>KHAC</v>
      </c>
    </row>
    <row r="1550" ht="25" customHeight="1">
      <c r="A1550" s="2" t="str">
        <v>Q1907</v>
      </c>
      <c r="B1550" s="2" t="str">
        <v>KH094</v>
      </c>
      <c r="C1550" s="2" t="str">
        <v>KH094</v>
      </c>
      <c r="D1550" s="2" t="str">
        <v>S2-01906-BH</v>
      </c>
      <c r="E1550" s="2" t="str">
        <v>BAN_HANG</v>
      </c>
      <c r="F1550" s="2" t="str">
        <v>INP2003</v>
      </c>
      <c r="G1550" s="2" t="str">
        <v>2026-09-25</v>
      </c>
      <c r="H1550" s="2" t="str">
        <v>1280000</v>
      </c>
      <c r="I1550" s="28" t="n">
        <v>1280000</v>
      </c>
      <c r="J1550" s="7" t="n">
        <v>1280000</v>
      </c>
      <c r="K1550" s="28" t="n">
        <f>J1550-I1550</f>
        <v>0</v>
      </c>
      <c r="L1550" s="2" t="str">
        <v>NHẬP</v>
      </c>
      <c r="M1550" s="2" t="str"/>
      <c r="N1550" s="2" t="str">
        <v>KHAC</v>
      </c>
    </row>
    <row r="1551" ht="25" customHeight="1">
      <c r="A1551" s="2" t="str">
        <v>Q1908</v>
      </c>
      <c r="B1551" s="2" t="str">
        <v>KH094</v>
      </c>
      <c r="C1551" s="2" t="str">
        <v>KH094</v>
      </c>
      <c r="D1551" s="2" t="str">
        <v>S2-01906-BH</v>
      </c>
      <c r="E1551" s="2" t="str">
        <v>BAN_HANG</v>
      </c>
      <c r="F1551" s="2" t="str">
        <v>INP7951</v>
      </c>
      <c r="G1551" s="2" t="str">
        <v>2026-09-25</v>
      </c>
      <c r="H1551" s="2" t="str">
        <v>420000</v>
      </c>
      <c r="I1551" s="28" t="n">
        <v>420000</v>
      </c>
      <c r="J1551" s="7" t="n">
        <v>420000</v>
      </c>
      <c r="K1551" s="28" t="n">
        <f>J1551-I1551</f>
        <v>0</v>
      </c>
      <c r="L1551" s="2" t="str">
        <v>NHẬP</v>
      </c>
      <c r="M1551" s="2" t="str"/>
      <c r="N1551" s="2" t="str">
        <v>KHAC</v>
      </c>
    </row>
    <row r="1552" ht="25" customHeight="1">
      <c r="A1552" s="2" t="str">
        <v>R1910</v>
      </c>
      <c r="B1552" s="2" t="str">
        <v>KH011</v>
      </c>
      <c r="C1552" s="2" t="str">
        <v>KH011</v>
      </c>
      <c r="D1552" s="2" t="str">
        <v>S2-01910-TT</v>
      </c>
      <c r="E1552" s="2" t="str">
        <v>THU_TIEN</v>
      </c>
      <c r="F1552" s="2" t="str"/>
      <c r="G1552" s="2" t="str">
        <v>2026-09-25</v>
      </c>
      <c r="H1552" s="2" t="str">
        <v>50000000</v>
      </c>
      <c r="I1552" s="28" t="n">
        <v>50000000</v>
      </c>
      <c r="J1552" s="7" t="n">
        <v>50000000</v>
      </c>
      <c r="K1552" s="28" t="n">
        <f>J1552-I1552</f>
        <v>0</v>
      </c>
      <c r="L1552" s="2" t="str">
        <v>NHẬP</v>
      </c>
      <c r="M1552" s="2" t="str"/>
      <c r="N1552" s="2" t="str">
        <v>KHAC</v>
      </c>
    </row>
    <row r="1553" ht="25" customHeight="1">
      <c r="A1553" s="2" t="str">
        <v>Q1911</v>
      </c>
      <c r="B1553" s="2" t="str">
        <v>KH007</v>
      </c>
      <c r="C1553" s="2" t="str">
        <v>KH007</v>
      </c>
      <c r="D1553" s="2" t="str">
        <v>S2-01911-BH</v>
      </c>
      <c r="E1553" s="2" t="str">
        <v>BAN_HANG</v>
      </c>
      <c r="F1553" s="2" t="str">
        <v>INP6403</v>
      </c>
      <c r="G1553" s="2" t="str">
        <v>2026-09-23</v>
      </c>
      <c r="H1553" s="2" t="str">
        <v>1388888.88</v>
      </c>
      <c r="I1553" s="28" t="n">
        <v>1388888.88</v>
      </c>
      <c r="J1553" s="7" t="n">
        <v>1388889</v>
      </c>
      <c r="K1553" s="28" t="n">
        <f>J1553-I1553</f>
        <v>0.12000000011175871</v>
      </c>
      <c r="L1553" s="2" t="str">
        <v>NHẬP</v>
      </c>
      <c r="M1553" s="2" t="str"/>
      <c r="N1553" s="2" t="str">
        <v>QUAT</v>
      </c>
    </row>
    <row r="1554" ht="25" customHeight="1">
      <c r="A1554" s="2" t="str">
        <v>Q1912</v>
      </c>
      <c r="B1554" s="2" t="str">
        <v>KH007</v>
      </c>
      <c r="C1554" s="2" t="str">
        <v>KH007</v>
      </c>
      <c r="D1554" s="2" t="str">
        <v>S2-01911-BH</v>
      </c>
      <c r="E1554" s="2" t="str">
        <v>BAN_HANG</v>
      </c>
      <c r="F1554" s="2" t="str">
        <v>INP6104</v>
      </c>
      <c r="G1554" s="2" t="str">
        <v>2026-09-23</v>
      </c>
      <c r="H1554" s="2" t="str">
        <v>1007407.41</v>
      </c>
      <c r="I1554" s="28" t="n">
        <v>1007407.41</v>
      </c>
      <c r="J1554" s="7" t="n">
        <v>1007407</v>
      </c>
      <c r="K1554" s="28" t="n">
        <f>J1554-I1554</f>
        <v>-0.4100000000325963</v>
      </c>
      <c r="L1554" s="2" t="str">
        <v>NHẬP</v>
      </c>
      <c r="M1554" s="2" t="str"/>
      <c r="N1554" s="2" t="str">
        <v>KHAC</v>
      </c>
    </row>
    <row r="1555" ht="25" customHeight="1">
      <c r="A1555" s="2" t="str">
        <v>R1914</v>
      </c>
      <c r="B1555" s="2" t="str">
        <v>KH007</v>
      </c>
      <c r="C1555" s="2" t="str">
        <v>KH007</v>
      </c>
      <c r="D1555" s="2" t="str">
        <v>S2-01914-TT</v>
      </c>
      <c r="E1555" s="2" t="str">
        <v>THU_TIEN</v>
      </c>
      <c r="F1555" s="2" t="str"/>
      <c r="G1555" s="2" t="str">
        <v>2026-09-28</v>
      </c>
      <c r="H1555" s="2" t="str">
        <v>2400000</v>
      </c>
      <c r="I1555" s="28" t="n">
        <v>2400000</v>
      </c>
      <c r="J1555" s="7" t="n">
        <v>2400000</v>
      </c>
      <c r="K1555" s="28" t="n">
        <f>J1555-I1555</f>
        <v>0</v>
      </c>
      <c r="L1555" s="2" t="str">
        <v>NHẬP</v>
      </c>
      <c r="M1555" s="2" t="str"/>
      <c r="N1555" s="2" t="str">
        <v>KHAC</v>
      </c>
    </row>
    <row r="1556" ht="25" customHeight="1">
      <c r="A1556" s="2" t="str">
        <v>R1915</v>
      </c>
      <c r="B1556" s="2" t="str">
        <v>KH021</v>
      </c>
      <c r="C1556" s="2" t="str">
        <v>KH021</v>
      </c>
      <c r="D1556" s="2" t="str">
        <v>S2-01915-TT</v>
      </c>
      <c r="E1556" s="2" t="str">
        <v>THU_TIEN</v>
      </c>
      <c r="F1556" s="2" t="str"/>
      <c r="G1556" s="2" t="str">
        <v>2026-09-28</v>
      </c>
      <c r="H1556" s="2" t="str">
        <v>3720001</v>
      </c>
      <c r="I1556" s="28" t="n">
        <v>3720001</v>
      </c>
      <c r="J1556" s="7" t="n">
        <v>3720001</v>
      </c>
      <c r="K1556" s="28" t="n">
        <f>J1556-I1556</f>
        <v>0</v>
      </c>
      <c r="L1556" s="2" t="str">
        <v>NHẬP</v>
      </c>
      <c r="M1556" s="2" t="str"/>
      <c r="N1556" s="2" t="str">
        <v>KHAC</v>
      </c>
    </row>
    <row r="1557" ht="25" customHeight="1">
      <c r="A1557" s="2" t="str">
        <v>R1916</v>
      </c>
      <c r="B1557" s="2" t="str">
        <v>KH021</v>
      </c>
      <c r="C1557" s="2" t="str">
        <v>KH021</v>
      </c>
      <c r="D1557" s="2" t="str">
        <v>S2-01916-HT</v>
      </c>
      <c r="E1557" s="2" t="str">
        <v>HOAN_TIEN</v>
      </c>
      <c r="F1557" s="2" t="str"/>
      <c r="G1557" s="2" t="str">
        <v>2026-09-28</v>
      </c>
      <c r="H1557" s="2" t="str">
        <v>3720000</v>
      </c>
      <c r="I1557" s="28" t="n">
        <v>3720000</v>
      </c>
      <c r="J1557" s="7" t="n">
        <v>3720000</v>
      </c>
      <c r="K1557" s="28" t="n">
        <f>J1557-I1557</f>
        <v>0</v>
      </c>
      <c r="L1557" s="2" t="str">
        <v>NHẬP</v>
      </c>
      <c r="M1557" s="2" t="str"/>
      <c r="N1557" s="2" t="str">
        <v>KHAC</v>
      </c>
    </row>
    <row r="1558" ht="25" customHeight="1">
      <c r="A1558" s="2" t="str">
        <v>Q1917</v>
      </c>
      <c r="B1558" s="2" t="str">
        <v>KH007</v>
      </c>
      <c r="C1558" s="2" t="str">
        <v>KH007</v>
      </c>
      <c r="D1558" s="2" t="str">
        <v>S2-01917-TH</v>
      </c>
      <c r="E1558" s="2" t="str">
        <v>TRA_HANG</v>
      </c>
      <c r="F1558" s="2" t="str">
        <v>INP6601</v>
      </c>
      <c r="G1558" s="2" t="str">
        <v>2026-09-28</v>
      </c>
      <c r="H1558" s="2" t="str">
        <v>12999999.96</v>
      </c>
      <c r="I1558" s="28" t="n">
        <v>12999999.96</v>
      </c>
      <c r="J1558" s="7" t="n">
        <v>13000000</v>
      </c>
      <c r="K1558" s="28" t="n">
        <f>J1558-I1558</f>
        <v>0.03999999910593033</v>
      </c>
      <c r="L1558" s="2" t="str">
        <v>NHẬP</v>
      </c>
      <c r="M1558" s="2" t="str"/>
      <c r="N1558" s="2" t="str">
        <v>KHAC</v>
      </c>
    </row>
    <row r="1559" ht="25" customHeight="1">
      <c r="A1559" s="2" t="str">
        <v>Q1919</v>
      </c>
      <c r="B1559" s="2" t="str">
        <v>KH067</v>
      </c>
      <c r="C1559" s="2" t="str">
        <v>KH067</v>
      </c>
      <c r="D1559" s="2" t="str">
        <v>S2-01919-BH</v>
      </c>
      <c r="E1559" s="2" t="str">
        <v>BAN_HANG</v>
      </c>
      <c r="F1559" s="2" t="str">
        <v>INP6701</v>
      </c>
      <c r="G1559" s="2" t="str">
        <v>2026-09-24</v>
      </c>
      <c r="H1559" s="2" t="str">
        <v>1799999.9712</v>
      </c>
      <c r="I1559" s="28" t="n">
        <v>1799999.9712</v>
      </c>
      <c r="J1559" s="7" t="n">
        <v>1800000</v>
      </c>
      <c r="K1559" s="28" t="n">
        <f>J1559-I1559</f>
        <v>0.028799999970942736</v>
      </c>
      <c r="L1559" s="2" t="str">
        <v>NHẬP</v>
      </c>
      <c r="M1559" s="2" t="str"/>
      <c r="N1559" s="2" t="str">
        <v>KHAC</v>
      </c>
    </row>
    <row r="1560" ht="25" customHeight="1">
      <c r="A1560" s="2" t="str">
        <v>Q1920</v>
      </c>
      <c r="B1560" s="2" t="str">
        <v>KH002</v>
      </c>
      <c r="C1560" s="2" t="str">
        <v>KH002</v>
      </c>
      <c r="D1560" s="2" t="str">
        <v>S2-01920-BH</v>
      </c>
      <c r="E1560" s="2" t="str">
        <v>BAN_HANG</v>
      </c>
      <c r="F1560" s="2" t="str">
        <v>INP1003</v>
      </c>
      <c r="G1560" s="2" t="str">
        <v>2026-09-25</v>
      </c>
      <c r="H1560" s="2" t="str">
        <v>13999999.824</v>
      </c>
      <c r="I1560" s="28" t="n">
        <v>13999999.824</v>
      </c>
      <c r="J1560" s="7" t="n">
        <v>14000000</v>
      </c>
      <c r="K1560" s="28" t="n">
        <f>J1560-I1560</f>
        <v>0.17600000090897083</v>
      </c>
      <c r="L1560" s="2" t="str">
        <v>NHẬP</v>
      </c>
      <c r="M1560" s="2" t="str"/>
      <c r="N1560" s="2" t="str">
        <v>KHAC</v>
      </c>
    </row>
    <row r="1561" ht="25" customHeight="1">
      <c r="A1561" s="2" t="str">
        <v>Q1921</v>
      </c>
      <c r="B1561" s="2" t="str">
        <v>KH002</v>
      </c>
      <c r="C1561" s="2" t="str">
        <v>KH002</v>
      </c>
      <c r="D1561" s="2" t="str">
        <v>S2-01920-BH</v>
      </c>
      <c r="E1561" s="2" t="str">
        <v>BAN_HANG</v>
      </c>
      <c r="F1561" s="2" t="str">
        <v>INP1101</v>
      </c>
      <c r="G1561" s="2" t="str">
        <v>2026-09-25</v>
      </c>
      <c r="H1561" s="2" t="str">
        <v>5219999.964</v>
      </c>
      <c r="I1561" s="28" t="n">
        <v>5219999.964</v>
      </c>
      <c r="J1561" s="7" t="n">
        <v>5220000</v>
      </c>
      <c r="K1561" s="28" t="n">
        <f>J1561-I1561</f>
        <v>0.036000000312924385</v>
      </c>
      <c r="L1561" s="2" t="str">
        <v>NHẬP</v>
      </c>
      <c r="M1561" s="2" t="str"/>
      <c r="N1561" s="2" t="str">
        <v>KHAC</v>
      </c>
    </row>
    <row r="1562" ht="25" customHeight="1">
      <c r="A1562" s="2" t="str">
        <v>Q1922</v>
      </c>
      <c r="B1562" s="2" t="str">
        <v>KH002</v>
      </c>
      <c r="C1562" s="2" t="str">
        <v>KH002</v>
      </c>
      <c r="D1562" s="2" t="str">
        <v>S2-01920-BH</v>
      </c>
      <c r="E1562" s="2" t="str">
        <v>BAN_HANG</v>
      </c>
      <c r="F1562" s="2" t="str">
        <v>INP2003</v>
      </c>
      <c r="G1562" s="2" t="str">
        <v>2026-09-25</v>
      </c>
      <c r="H1562" s="2" t="str">
        <v>12800000.052</v>
      </c>
      <c r="I1562" s="28" t="n">
        <v>12800000.052</v>
      </c>
      <c r="J1562" s="7" t="n">
        <v>12800000</v>
      </c>
      <c r="K1562" s="28" t="n">
        <f>J1562-I1562</f>
        <v>-0.05199999921023846</v>
      </c>
      <c r="L1562" s="2" t="str">
        <v>NHẬP</v>
      </c>
      <c r="M1562" s="2" t="str"/>
      <c r="N1562" s="2" t="str">
        <v>KHAC</v>
      </c>
    </row>
    <row r="1563" ht="25" customHeight="1">
      <c r="A1563" s="2" t="str">
        <v>Q1923</v>
      </c>
      <c r="B1563" s="2" t="str">
        <v>KH002</v>
      </c>
      <c r="C1563" s="2" t="str">
        <v>KH002</v>
      </c>
      <c r="D1563" s="2" t="str">
        <v>S2-01920-BH</v>
      </c>
      <c r="E1563" s="2" t="str">
        <v>BAN_HANG</v>
      </c>
      <c r="F1563" s="2" t="str">
        <v>INP6701</v>
      </c>
      <c r="G1563" s="2" t="str">
        <v>2026-09-25</v>
      </c>
      <c r="H1563" s="2" t="str">
        <v>6608000.0448</v>
      </c>
      <c r="I1563" s="28" t="n">
        <v>6608000.0448</v>
      </c>
      <c r="J1563" s="7" t="n">
        <v>6608000</v>
      </c>
      <c r="K1563" s="28" t="n">
        <f>J1563-I1563</f>
        <v>-0.04480000026524067</v>
      </c>
      <c r="L1563" s="2" t="str">
        <v>NHẬP</v>
      </c>
      <c r="M1563" s="2" t="str"/>
      <c r="N1563" s="2" t="str">
        <v>KHAC</v>
      </c>
    </row>
    <row r="1564" ht="25" customHeight="1">
      <c r="A1564" s="2" t="str">
        <v>Q1924</v>
      </c>
      <c r="B1564" s="2" t="str">
        <v>KH002</v>
      </c>
      <c r="C1564" s="2" t="str">
        <v>KH002</v>
      </c>
      <c r="D1564" s="2" t="str">
        <v>S2-01920-BH</v>
      </c>
      <c r="E1564" s="2" t="str">
        <v>BAN_HANG</v>
      </c>
      <c r="F1564" s="2" t="str">
        <v>INP6001</v>
      </c>
      <c r="G1564" s="2" t="str">
        <v>2026-09-25</v>
      </c>
      <c r="H1564" s="2" t="str">
        <v>24600000.024</v>
      </c>
      <c r="I1564" s="28" t="n">
        <v>24600000.024</v>
      </c>
      <c r="J1564" s="7" t="n">
        <v>24600000</v>
      </c>
      <c r="K1564" s="28" t="n">
        <f>J1564-I1564</f>
        <v>-0.024000000208616257</v>
      </c>
      <c r="L1564" s="2" t="str">
        <v>NHẬP</v>
      </c>
      <c r="M1564" s="2" t="str"/>
      <c r="N1564" s="2" t="str">
        <v>KHAC</v>
      </c>
    </row>
    <row r="1565" ht="25" customHeight="1">
      <c r="A1565" s="2" t="str">
        <v>Q1925</v>
      </c>
      <c r="B1565" s="2" t="str">
        <v>KH002</v>
      </c>
      <c r="C1565" s="2" t="str">
        <v>KH002</v>
      </c>
      <c r="D1565" s="2" t="str">
        <v>S2-01920-BH</v>
      </c>
      <c r="E1565" s="2" t="str">
        <v>BAN_HANG</v>
      </c>
      <c r="F1565" s="2" t="str">
        <v>INP6002</v>
      </c>
      <c r="G1565" s="2" t="str">
        <v>2026-09-25</v>
      </c>
      <c r="H1565" s="2" t="str">
        <v>23699999.952</v>
      </c>
      <c r="I1565" s="28" t="n">
        <v>23699999.952</v>
      </c>
      <c r="J1565" s="7" t="n">
        <v>23700000</v>
      </c>
      <c r="K1565" s="28" t="n">
        <f>J1565-I1565</f>
        <v>0.04800000041723251</v>
      </c>
      <c r="L1565" s="2" t="str">
        <v>NHẬP</v>
      </c>
      <c r="M1565" s="2" t="str"/>
      <c r="N1565" s="2" t="str">
        <v>KHAC</v>
      </c>
    </row>
    <row r="1566" ht="25" customHeight="1">
      <c r="A1566" s="2" t="str">
        <v>Q1926</v>
      </c>
      <c r="B1566" s="2" t="str">
        <v>KH002</v>
      </c>
      <c r="C1566" s="2" t="str">
        <v>KH002</v>
      </c>
      <c r="D1566" s="2" t="str">
        <v>S2-01920-BH</v>
      </c>
      <c r="E1566" s="2" t="str">
        <v>BAN_HANG</v>
      </c>
      <c r="F1566" s="2" t="str">
        <v>INP6003</v>
      </c>
      <c r="G1566" s="2" t="str">
        <v>2026-09-25</v>
      </c>
      <c r="H1566" s="2" t="str">
        <v>11039999.976</v>
      </c>
      <c r="I1566" s="28" t="n">
        <v>11039999.976</v>
      </c>
      <c r="J1566" s="7" t="n">
        <v>11040000</v>
      </c>
      <c r="K1566" s="28" t="n">
        <f>J1566-I1566</f>
        <v>0.024000000208616257</v>
      </c>
      <c r="L1566" s="2" t="str">
        <v>NHẬP</v>
      </c>
      <c r="M1566" s="2" t="str"/>
      <c r="N1566" s="2" t="str">
        <v>KHAC</v>
      </c>
    </row>
    <row r="1567" ht="25" customHeight="1">
      <c r="A1567" s="2" t="str">
        <v>Q1927</v>
      </c>
      <c r="B1567" s="2" t="str">
        <v>KH002</v>
      </c>
      <c r="C1567" s="2" t="str">
        <v>KH002</v>
      </c>
      <c r="D1567" s="2" t="str">
        <v>S2-01920-BH</v>
      </c>
      <c r="E1567" s="2" t="str">
        <v>BAN_HANG</v>
      </c>
      <c r="F1567" s="2" t="str">
        <v>INP6007</v>
      </c>
      <c r="G1567" s="2" t="str">
        <v>2026-09-25</v>
      </c>
      <c r="H1567" s="2" t="str">
        <v>10200000.006</v>
      </c>
      <c r="I1567" s="28" t="n">
        <v>10200000.006</v>
      </c>
      <c r="J1567" s="7" t="n">
        <v>10200000</v>
      </c>
      <c r="K1567" s="28" t="n">
        <f>J1567-I1567</f>
        <v>-0.0059999991208314896</v>
      </c>
      <c r="L1567" s="2" t="str">
        <v>NHẬP</v>
      </c>
      <c r="M1567" s="2" t="str"/>
      <c r="N1567" s="2" t="str">
        <v>KHAC</v>
      </c>
    </row>
    <row r="1568" ht="25" customHeight="1">
      <c r="A1568" s="2" t="str">
        <v>Q1928</v>
      </c>
      <c r="B1568" s="2" t="str">
        <v>KH002</v>
      </c>
      <c r="C1568" s="2" t="str">
        <v>KH002</v>
      </c>
      <c r="D1568" s="2" t="str">
        <v>S2-01920-BH</v>
      </c>
      <c r="E1568" s="2" t="str">
        <v>BAN_HANG</v>
      </c>
      <c r="F1568" s="2" t="str">
        <v>INP6009</v>
      </c>
      <c r="G1568" s="2" t="str">
        <v>2026-09-25</v>
      </c>
      <c r="H1568" s="2" t="str">
        <v>11249999.928</v>
      </c>
      <c r="I1568" s="28" t="n">
        <v>11249999.928</v>
      </c>
      <c r="J1568" s="7" t="n">
        <v>11250000</v>
      </c>
      <c r="K1568" s="28" t="n">
        <f>J1568-I1568</f>
        <v>0.07200000062584877</v>
      </c>
      <c r="L1568" s="2" t="str">
        <v>NHẬP</v>
      </c>
      <c r="M1568" s="2" t="str"/>
      <c r="N1568" s="2" t="str">
        <v>KHAC</v>
      </c>
    </row>
    <row r="1569" ht="25" customHeight="1">
      <c r="A1569" s="2" t="str">
        <v>Q1929</v>
      </c>
      <c r="B1569" s="2" t="str">
        <v>KH002</v>
      </c>
      <c r="C1569" s="2" t="str">
        <v>KH002</v>
      </c>
      <c r="D1569" s="2" t="str">
        <v>S2-01920-BH</v>
      </c>
      <c r="E1569" s="2" t="str">
        <v>BAN_HANG</v>
      </c>
      <c r="F1569" s="2" t="str">
        <v>INP6105</v>
      </c>
      <c r="G1569" s="2" t="str">
        <v>2026-09-25</v>
      </c>
      <c r="H1569" s="2" t="str">
        <v>4380000.0264</v>
      </c>
      <c r="I1569" s="28" t="n">
        <v>4380000.0264</v>
      </c>
      <c r="J1569" s="7" t="n">
        <v>4380000</v>
      </c>
      <c r="K1569" s="28" t="n">
        <f>J1569-I1569</f>
        <v>-0.026399999856948853</v>
      </c>
      <c r="L1569" s="2" t="str">
        <v>NHẬP</v>
      </c>
      <c r="M1569" s="2" t="str"/>
      <c r="N1569" s="2" t="str">
        <v>KHAC</v>
      </c>
    </row>
    <row r="1570" ht="25" customHeight="1">
      <c r="A1570" s="2" t="str">
        <v>Q1930</v>
      </c>
      <c r="B1570" s="2" t="str">
        <v>KH002</v>
      </c>
      <c r="C1570" s="2" t="str">
        <v>KH002</v>
      </c>
      <c r="D1570" s="2" t="str">
        <v>S2-01920-BH</v>
      </c>
      <c r="E1570" s="2" t="str">
        <v>BAN_HANG</v>
      </c>
      <c r="F1570" s="2" t="str">
        <v>INP6201</v>
      </c>
      <c r="G1570" s="2" t="str">
        <v>2026-09-25</v>
      </c>
      <c r="H1570" s="2" t="str">
        <v>12599999.8416</v>
      </c>
      <c r="I1570" s="28" t="n">
        <v>12599999.8416</v>
      </c>
      <c r="J1570" s="7" t="n">
        <v>12600000</v>
      </c>
      <c r="K1570" s="28" t="n">
        <f>J1570-I1570</f>
        <v>0.15839999914169312</v>
      </c>
      <c r="L1570" s="2" t="str">
        <v>NHẬP</v>
      </c>
      <c r="M1570" s="2" t="str"/>
      <c r="N1570" s="2" t="str">
        <v>KHAC</v>
      </c>
    </row>
    <row r="1571" ht="25" customHeight="1">
      <c r="A1571" s="2" t="str">
        <v>Q1931</v>
      </c>
      <c r="B1571" s="2" t="str">
        <v>KH002</v>
      </c>
      <c r="C1571" s="2" t="str">
        <v>KH002</v>
      </c>
      <c r="D1571" s="2" t="str">
        <v>S2-01920-BH</v>
      </c>
      <c r="E1571" s="2" t="str">
        <v>BAN_HANG</v>
      </c>
      <c r="F1571" s="2" t="str">
        <v>INP6202</v>
      </c>
      <c r="G1571" s="2" t="str">
        <v>2026-09-25</v>
      </c>
      <c r="H1571" s="2" t="str">
        <v>12672000.1584</v>
      </c>
      <c r="I1571" s="28" t="n">
        <v>12672000.1584</v>
      </c>
      <c r="J1571" s="7" t="n">
        <v>12672000</v>
      </c>
      <c r="K1571" s="28" t="n">
        <f>J1571-I1571</f>
        <v>-0.15839999914169312</v>
      </c>
      <c r="L1571" s="2" t="str">
        <v>NHẬP</v>
      </c>
      <c r="M1571" s="2" t="str"/>
      <c r="N1571" s="2" t="str">
        <v>KHAC</v>
      </c>
    </row>
    <row r="1572" ht="25" customHeight="1">
      <c r="A1572" s="2" t="str">
        <v>Q1932</v>
      </c>
      <c r="B1572" s="2" t="str">
        <v>KH002</v>
      </c>
      <c r="C1572" s="2" t="str">
        <v>KH002</v>
      </c>
      <c r="D1572" s="2" t="str">
        <v>S2-01920-BH</v>
      </c>
      <c r="E1572" s="2" t="str">
        <v>BAN_HANG</v>
      </c>
      <c r="F1572" s="2" t="str">
        <v>INP6204</v>
      </c>
      <c r="G1572" s="2" t="str">
        <v>2026-09-25</v>
      </c>
      <c r="H1572" s="2" t="str">
        <v>7368000.0192</v>
      </c>
      <c r="I1572" s="28" t="n">
        <v>7368000.0192</v>
      </c>
      <c r="J1572" s="7" t="n">
        <v>7368000</v>
      </c>
      <c r="K1572" s="28" t="n">
        <f>J1572-I1572</f>
        <v>-0.01919999998062849</v>
      </c>
      <c r="L1572" s="2" t="str">
        <v>NHẬP</v>
      </c>
      <c r="M1572" s="2" t="str"/>
      <c r="N1572" s="2" t="str">
        <v>KHAC</v>
      </c>
    </row>
    <row r="1573" ht="25" customHeight="1">
      <c r="A1573" s="2" t="str">
        <v>Q1933</v>
      </c>
      <c r="B1573" s="2" t="str">
        <v>KH002</v>
      </c>
      <c r="C1573" s="2" t="str">
        <v>KH002</v>
      </c>
      <c r="D1573" s="2" t="str">
        <v>S2-01920-BH</v>
      </c>
      <c r="E1573" s="2" t="str">
        <v>BAN_HANG</v>
      </c>
      <c r="F1573" s="2" t="str">
        <v>INP6901</v>
      </c>
      <c r="G1573" s="2" t="str">
        <v>2026-09-25</v>
      </c>
      <c r="H1573" s="2" t="str">
        <v>18599999.976</v>
      </c>
      <c r="I1573" s="28" t="n">
        <v>18599999.976</v>
      </c>
      <c r="J1573" s="7" t="n">
        <v>18600000</v>
      </c>
      <c r="K1573" s="28" t="n">
        <f>J1573-I1573</f>
        <v>0.024000000208616257</v>
      </c>
      <c r="L1573" s="2" t="str">
        <v>NHẬP</v>
      </c>
      <c r="M1573" s="2" t="str"/>
      <c r="N1573" s="2" t="str">
        <v>KHAC</v>
      </c>
    </row>
    <row r="1574" ht="25" customHeight="1">
      <c r="A1574" s="2" t="str">
        <v>Q1934</v>
      </c>
      <c r="B1574" s="2" t="str">
        <v>KH002</v>
      </c>
      <c r="C1574" s="2" t="str">
        <v>KH002</v>
      </c>
      <c r="D1574" s="2" t="str">
        <v>S2-01920-BH</v>
      </c>
      <c r="E1574" s="2" t="str">
        <v>BAN_HANG</v>
      </c>
      <c r="F1574" s="2" t="str">
        <v>INP6903</v>
      </c>
      <c r="G1574" s="2" t="str">
        <v>2026-09-25</v>
      </c>
      <c r="H1574" s="2" t="str">
        <v>5880000.0168</v>
      </c>
      <c r="I1574" s="28" t="n">
        <v>5880000.0168</v>
      </c>
      <c r="J1574" s="7" t="n">
        <v>5880000</v>
      </c>
      <c r="K1574" s="28" t="n">
        <f>J1574-I1574</f>
        <v>-0.016800000332295895</v>
      </c>
      <c r="L1574" s="2" t="str">
        <v>NHẬP</v>
      </c>
      <c r="M1574" s="2" t="str"/>
      <c r="N1574" s="2" t="str">
        <v>KHAC</v>
      </c>
    </row>
    <row r="1575" ht="25" customHeight="1">
      <c r="A1575" s="2" t="str">
        <v>Q1941</v>
      </c>
      <c r="B1575" s="2" t="str">
        <v>KH012</v>
      </c>
      <c r="C1575" s="2" t="str">
        <v>KH012</v>
      </c>
      <c r="D1575" s="2" t="str">
        <v>S2-01941-BH</v>
      </c>
      <c r="E1575" s="2" t="str">
        <v>BAN_HANG</v>
      </c>
      <c r="F1575" s="2" t="str">
        <v>INP6007</v>
      </c>
      <c r="G1575" s="2" t="str">
        <v>2026-09-28</v>
      </c>
      <c r="H1575" s="2" t="str">
        <v>20400000.012</v>
      </c>
      <c r="I1575" s="28" t="n">
        <v>20400000.012</v>
      </c>
      <c r="J1575" s="7" t="n">
        <v>20400000</v>
      </c>
      <c r="K1575" s="28" t="n">
        <f>J1575-I1575</f>
        <v>-0.011999998241662979</v>
      </c>
      <c r="L1575" s="2" t="str">
        <v>NHẬP</v>
      </c>
      <c r="M1575" s="2" t="str"/>
      <c r="N1575" s="2" t="str">
        <v>KHAC</v>
      </c>
    </row>
    <row r="1576" ht="25" customHeight="1">
      <c r="A1576" s="2" t="str">
        <v>Q1942</v>
      </c>
      <c r="B1576" s="2" t="str">
        <v>KH012</v>
      </c>
      <c r="C1576" s="2" t="str">
        <v>KH012</v>
      </c>
      <c r="D1576" s="2" t="str">
        <v>S2-01941-BH</v>
      </c>
      <c r="E1576" s="2" t="str">
        <v>BAN_HANG</v>
      </c>
      <c r="F1576" s="2" t="str">
        <v>INP2114</v>
      </c>
      <c r="G1576" s="2" t="str">
        <v>2026-09-28</v>
      </c>
      <c r="H1576" s="2" t="str">
        <v>2800000.008</v>
      </c>
      <c r="I1576" s="28" t="n">
        <v>2800000.008</v>
      </c>
      <c r="J1576" s="7" t="n">
        <v>2800000</v>
      </c>
      <c r="K1576" s="28" t="n">
        <f>J1576-I1576</f>
        <v>-0.007999999914318323</v>
      </c>
      <c r="L1576" s="2" t="str">
        <v>NHẬP</v>
      </c>
      <c r="M1576" s="2" t="str"/>
      <c r="N1576" s="2" t="str">
        <v>KHAC</v>
      </c>
    </row>
    <row r="1577" ht="25" customHeight="1">
      <c r="A1577" s="2" t="str">
        <v>Q1943</v>
      </c>
      <c r="B1577" s="2" t="str">
        <v>KH012</v>
      </c>
      <c r="C1577" s="2" t="str">
        <v>KH012</v>
      </c>
      <c r="D1577" s="2" t="str">
        <v>S2-01941-BH</v>
      </c>
      <c r="E1577" s="2" t="str">
        <v>BAN_HANG</v>
      </c>
      <c r="F1577" s="2" t="str">
        <v>INP2115</v>
      </c>
      <c r="G1577" s="2" t="str">
        <v>2026-09-28</v>
      </c>
      <c r="H1577" s="2" t="str">
        <v>3000000.024</v>
      </c>
      <c r="I1577" s="28" t="n">
        <v>3000000.024</v>
      </c>
      <c r="J1577" s="7" t="n">
        <v>3000000</v>
      </c>
      <c r="K1577" s="28" t="n">
        <f>J1577-I1577</f>
        <v>-0.024000000208616257</v>
      </c>
      <c r="L1577" s="2" t="str">
        <v>NHẬP</v>
      </c>
      <c r="M1577" s="2" t="str"/>
      <c r="N1577" s="2" t="str">
        <v>KHAC</v>
      </c>
    </row>
    <row r="1578" ht="25" customHeight="1">
      <c r="A1578" s="2" t="str">
        <v>Q1944</v>
      </c>
      <c r="B1578" s="2" t="str">
        <v>KH012</v>
      </c>
      <c r="C1578" s="2" t="str">
        <v>KH012</v>
      </c>
      <c r="D1578" s="2" t="str">
        <v>S2-01941-BH</v>
      </c>
      <c r="E1578" s="2" t="str">
        <v>BAN_HANG</v>
      </c>
      <c r="F1578" s="2" t="str">
        <v>INP2116</v>
      </c>
      <c r="G1578" s="2" t="str">
        <v>2026-09-28</v>
      </c>
      <c r="H1578" s="2" t="str">
        <v>3300000.048</v>
      </c>
      <c r="I1578" s="28" t="n">
        <v>3300000.048</v>
      </c>
      <c r="J1578" s="7" t="n">
        <v>3300000</v>
      </c>
      <c r="K1578" s="28" t="n">
        <f>J1578-I1578</f>
        <v>-0.047999999951571226</v>
      </c>
      <c r="L1578" s="2" t="str">
        <v>NHẬP</v>
      </c>
      <c r="M1578" s="2" t="str"/>
      <c r="N1578" s="2" t="str">
        <v>KHAC</v>
      </c>
    </row>
    <row r="1579" ht="25" customHeight="1">
      <c r="A1579" s="2" t="str">
        <v>Q1945</v>
      </c>
      <c r="B1579" s="2" t="str">
        <v>KH012</v>
      </c>
      <c r="C1579" s="2" t="str">
        <v>KH012</v>
      </c>
      <c r="D1579" s="2" t="str">
        <v>S2-01941-BH</v>
      </c>
      <c r="E1579" s="2" t="str">
        <v>BAN_HANG</v>
      </c>
      <c r="F1579" s="2" t="str">
        <v>INP2117</v>
      </c>
      <c r="G1579" s="2" t="str">
        <v>2026-09-28</v>
      </c>
      <c r="H1579" s="2" t="str">
        <v>3599999.964</v>
      </c>
      <c r="I1579" s="28" t="n">
        <v>3599999.964</v>
      </c>
      <c r="J1579" s="7" t="n">
        <v>3600000</v>
      </c>
      <c r="K1579" s="28" t="n">
        <f>J1579-I1579</f>
        <v>0.0359999998472631</v>
      </c>
      <c r="L1579" s="2" t="str">
        <v>NHẬP</v>
      </c>
      <c r="M1579" s="2" t="str"/>
      <c r="N1579" s="2" t="str">
        <v>KHAC</v>
      </c>
    </row>
    <row r="1580" ht="25" customHeight="1">
      <c r="A1580" s="2" t="str">
        <v>Q1947</v>
      </c>
      <c r="B1580" s="2" t="str">
        <v>KH066</v>
      </c>
      <c r="C1580" s="2" t="str">
        <v>KH066</v>
      </c>
      <c r="D1580" s="2" t="str">
        <v>S2-01947-BH</v>
      </c>
      <c r="E1580" s="2" t="str">
        <v>BAN_HANG</v>
      </c>
      <c r="F1580" s="2" t="str">
        <v>INP6403</v>
      </c>
      <c r="G1580" s="2" t="str">
        <v>2026-09-28</v>
      </c>
      <c r="H1580" s="2" t="str">
        <v>14999999.904</v>
      </c>
      <c r="I1580" s="28" t="n">
        <v>14999999.904</v>
      </c>
      <c r="J1580" s="7" t="n">
        <v>15000000</v>
      </c>
      <c r="K1580" s="28" t="n">
        <f>J1580-I1580</f>
        <v>0.09600000083446503</v>
      </c>
      <c r="L1580" s="2" t="str">
        <v>NHẬP</v>
      </c>
      <c r="M1580" s="2" t="str"/>
      <c r="N1580" s="2" t="str">
        <v>QUAT</v>
      </c>
    </row>
    <row r="1581" ht="25" customHeight="1">
      <c r="A1581" s="2" t="str">
        <v>R1948</v>
      </c>
      <c r="B1581" s="2" t="str">
        <v>KH067</v>
      </c>
      <c r="C1581" s="2" t="str">
        <v>KH067</v>
      </c>
      <c r="D1581" s="2" t="str">
        <v>S2-01948-TT</v>
      </c>
      <c r="E1581" s="2" t="str">
        <v>THU_TIEN</v>
      </c>
      <c r="F1581" s="2" t="str"/>
      <c r="G1581" s="2" t="str">
        <v>2026-09-28</v>
      </c>
      <c r="H1581" s="2" t="str">
        <v>1800000</v>
      </c>
      <c r="I1581" s="28" t="n">
        <v>1800000</v>
      </c>
      <c r="J1581" s="7" t="n">
        <v>1800000</v>
      </c>
      <c r="K1581" s="28" t="n">
        <f>J1581-I1581</f>
        <v>0</v>
      </c>
      <c r="L1581" s="2" t="str">
        <v>NHẬP</v>
      </c>
      <c r="M1581" s="2" t="str"/>
      <c r="N1581" s="2" t="str">
        <v>KHAC</v>
      </c>
    </row>
    <row r="1582" ht="25" customHeight="1">
      <c r="A1582" s="2" t="str">
        <v>Q1949</v>
      </c>
      <c r="B1582" s="2" t="str">
        <v>KH001</v>
      </c>
      <c r="C1582" s="2" t="str">
        <v>KH001</v>
      </c>
      <c r="D1582" s="2" t="str">
        <v>S2-01949-BH</v>
      </c>
      <c r="E1582" s="2" t="str">
        <v>BAN_HANG</v>
      </c>
      <c r="F1582" s="2" t="str">
        <v>INP6209</v>
      </c>
      <c r="G1582" s="2" t="str">
        <v>2026-09-28</v>
      </c>
      <c r="H1582" s="2" t="str">
        <v>13799999.808</v>
      </c>
      <c r="I1582" s="28" t="n">
        <v>13799999.808</v>
      </c>
      <c r="J1582" s="7" t="n">
        <v>13800000</v>
      </c>
      <c r="K1582" s="28" t="n">
        <f>J1582-I1582</f>
        <v>0.1919999998062849</v>
      </c>
      <c r="L1582" s="2" t="str">
        <v>NHẬP</v>
      </c>
      <c r="M1582" s="2" t="str"/>
      <c r="N1582" s="2" t="str">
        <v>KHAC</v>
      </c>
    </row>
    <row r="1583" ht="25" customHeight="1">
      <c r="A1583" s="2" t="str">
        <v>Q1950</v>
      </c>
      <c r="B1583" s="2" t="str">
        <v>KH001</v>
      </c>
      <c r="C1583" s="2" t="str">
        <v>KH001</v>
      </c>
      <c r="D1583" s="2" t="str">
        <v>S2-01949-BH</v>
      </c>
      <c r="E1583" s="2" t="str">
        <v>BAN_HANG</v>
      </c>
      <c r="F1583" s="2" t="str">
        <v>INP1401</v>
      </c>
      <c r="G1583" s="2" t="str">
        <v>2026-09-28</v>
      </c>
      <c r="H1583" s="2" t="str">
        <v>8899999.956</v>
      </c>
      <c r="I1583" s="28" t="n">
        <v>8899999.956</v>
      </c>
      <c r="J1583" s="7" t="n">
        <v>8900000</v>
      </c>
      <c r="K1583" s="28" t="n">
        <f>J1583-I1583</f>
        <v>0.04399999976158142</v>
      </c>
      <c r="L1583" s="2" t="str">
        <v>NHẬP</v>
      </c>
      <c r="M1583" s="2" t="str"/>
      <c r="N1583" s="2" t="str">
        <v>KHAC</v>
      </c>
    </row>
    <row r="1584" ht="25" customHeight="1">
      <c r="A1584" s="2" t="str">
        <v>Q1951</v>
      </c>
      <c r="B1584" s="2" t="str">
        <v>KH001</v>
      </c>
      <c r="C1584" s="2" t="str">
        <v>KH001</v>
      </c>
      <c r="D1584" s="2" t="str">
        <v>S2-01949-BH</v>
      </c>
      <c r="E1584" s="2" t="str">
        <v>BAN_HANG</v>
      </c>
      <c r="F1584" s="2" t="str">
        <v>INP1402</v>
      </c>
      <c r="G1584" s="2" t="str">
        <v>2026-09-28</v>
      </c>
      <c r="H1584" s="2" t="str">
        <v>10129999.968</v>
      </c>
      <c r="I1584" s="28" t="n">
        <v>10129999.968</v>
      </c>
      <c r="J1584" s="7" t="n">
        <v>10130000</v>
      </c>
      <c r="K1584" s="28" t="n">
        <f>J1584-I1584</f>
        <v>0.03199999965727329</v>
      </c>
      <c r="L1584" s="2" t="str">
        <v>NHẬP</v>
      </c>
      <c r="M1584" s="2" t="str"/>
      <c r="N1584" s="2" t="str">
        <v>KHAC</v>
      </c>
    </row>
    <row r="1585" ht="25" customHeight="1">
      <c r="A1585" s="2" t="str">
        <v>Q1952</v>
      </c>
      <c r="B1585" s="2" t="str">
        <v>KH066</v>
      </c>
      <c r="C1585" s="2" t="str">
        <v>KH066</v>
      </c>
      <c r="D1585" s="2" t="str">
        <v>S2-01952-BH</v>
      </c>
      <c r="E1585" s="2" t="str">
        <v>BAN_HANG</v>
      </c>
      <c r="F1585" s="2" t="str">
        <v>INP6403</v>
      </c>
      <c r="G1585" s="2" t="str">
        <v>2026-09-28</v>
      </c>
      <c r="H1585" s="2" t="str">
        <v>7499999.952</v>
      </c>
      <c r="I1585" s="28" t="n">
        <v>7499999.952</v>
      </c>
      <c r="J1585" s="7" t="n">
        <v>7500000</v>
      </c>
      <c r="K1585" s="28" t="n">
        <f>J1585-I1585</f>
        <v>0.04800000041723251</v>
      </c>
      <c r="L1585" s="2" t="str">
        <v>NHẬP</v>
      </c>
      <c r="M1585" s="2" t="str"/>
      <c r="N1585" s="2" t="str">
        <v>QUAT</v>
      </c>
    </row>
    <row r="1586" ht="25" customHeight="1">
      <c r="A1586" s="2" t="str">
        <v>R1953</v>
      </c>
      <c r="B1586" s="2" t="str">
        <v>KH049</v>
      </c>
      <c r="C1586" s="2" t="str">
        <v>KH049</v>
      </c>
      <c r="D1586" s="2" t="str">
        <v>S2-01953-TT</v>
      </c>
      <c r="E1586" s="2" t="str">
        <v>THU_TIEN</v>
      </c>
      <c r="F1586" s="2" t="str"/>
      <c r="G1586" s="2" t="str">
        <v>2026-09-25</v>
      </c>
      <c r="H1586" s="2" t="str">
        <v>6500000</v>
      </c>
      <c r="I1586" s="28" t="n">
        <v>6500000</v>
      </c>
      <c r="J1586" s="7" t="n">
        <v>6500000</v>
      </c>
      <c r="K1586" s="28" t="n">
        <f>J1586-I1586</f>
        <v>0</v>
      </c>
      <c r="L1586" s="2" t="str">
        <v>NHẬP</v>
      </c>
      <c r="M1586" s="2" t="str"/>
      <c r="N1586" s="2" t="str">
        <v>KHAC</v>
      </c>
    </row>
    <row r="1587" ht="25" customHeight="1">
      <c r="A1587" s="2" t="str">
        <v>Q1954</v>
      </c>
      <c r="B1587" s="2" t="str">
        <v>KH021</v>
      </c>
      <c r="C1587" s="2" t="str">
        <v>KH021</v>
      </c>
      <c r="D1587" s="2" t="str">
        <v>S2-01954-BH</v>
      </c>
      <c r="E1587" s="2" t="str">
        <v>BAN_HANG</v>
      </c>
      <c r="F1587" s="2" t="str">
        <v>INP1503</v>
      </c>
      <c r="G1587" s="2" t="str">
        <v>2026-09-29</v>
      </c>
      <c r="H1587" s="2" t="str">
        <v>1920000.024</v>
      </c>
      <c r="I1587" s="28" t="n">
        <v>1920000.024</v>
      </c>
      <c r="J1587" s="7" t="n">
        <v>1920000</v>
      </c>
      <c r="K1587" s="28" t="n">
        <f>J1587-I1587</f>
        <v>-0.023999999975785613</v>
      </c>
      <c r="L1587" s="2" t="str">
        <v>NHẬP</v>
      </c>
      <c r="M1587" s="2" t="str"/>
      <c r="N1587" s="2" t="str">
        <v>KHAC</v>
      </c>
    </row>
    <row r="1588" ht="25" customHeight="1">
      <c r="A1588" s="2" t="str">
        <v>Q1955</v>
      </c>
      <c r="B1588" s="2" t="str">
        <v>KH074</v>
      </c>
      <c r="C1588" s="2" t="str">
        <v>KH074</v>
      </c>
      <c r="D1588" s="2" t="str">
        <v>S2-01955-BH</v>
      </c>
      <c r="E1588" s="2" t="str">
        <v>BAN_HANG</v>
      </c>
      <c r="F1588" s="2" t="str">
        <v>INP6105</v>
      </c>
      <c r="G1588" s="2" t="str">
        <v>2026-09-28</v>
      </c>
      <c r="H1588" s="2" t="str">
        <v>8760000.0528</v>
      </c>
      <c r="I1588" s="28" t="n">
        <v>8760000.0528</v>
      </c>
      <c r="J1588" s="7" t="n">
        <v>8760000</v>
      </c>
      <c r="K1588" s="28" t="n">
        <f>J1588-I1588</f>
        <v>-0.052799999713897705</v>
      </c>
      <c r="L1588" s="2" t="str">
        <v>NHẬP</v>
      </c>
      <c r="M1588" s="2" t="str"/>
      <c r="N1588" s="2" t="str">
        <v>KHAC</v>
      </c>
    </row>
    <row r="1589" ht="25" customHeight="1">
      <c r="A1589" s="2" t="str">
        <v>Q1956</v>
      </c>
      <c r="B1589" s="2" t="str">
        <v>KH074</v>
      </c>
      <c r="C1589" s="2" t="str">
        <v>KH074</v>
      </c>
      <c r="D1589" s="2" t="str">
        <v>S2-01955-BH</v>
      </c>
      <c r="E1589" s="2" t="str">
        <v>BAN_HANG</v>
      </c>
      <c r="F1589" s="2" t="str">
        <v>INP6011</v>
      </c>
      <c r="G1589" s="2" t="str">
        <v>2026-09-28</v>
      </c>
      <c r="H1589" s="2" t="str">
        <v>9299999.934</v>
      </c>
      <c r="I1589" s="28" t="n">
        <v>9299999.934</v>
      </c>
      <c r="J1589" s="7" t="n">
        <v>9300000</v>
      </c>
      <c r="K1589" s="28" t="n">
        <f>J1589-I1589</f>
        <v>0.06599999964237213</v>
      </c>
      <c r="L1589" s="2" t="str">
        <v>NHẬP</v>
      </c>
      <c r="M1589" s="2" t="str"/>
      <c r="N1589" s="2" t="str">
        <v>KHAC</v>
      </c>
    </row>
    <row r="1590" ht="25" customHeight="1">
      <c r="A1590" s="2" t="str">
        <v>Q1957</v>
      </c>
      <c r="B1590" s="2" t="str">
        <v>KH074</v>
      </c>
      <c r="C1590" s="2" t="str">
        <v>KH074</v>
      </c>
      <c r="D1590" s="2" t="str">
        <v>S2-01955-BH</v>
      </c>
      <c r="E1590" s="2" t="str">
        <v>BAN_HANG</v>
      </c>
      <c r="F1590" s="2" t="str">
        <v>INP6902</v>
      </c>
      <c r="G1590" s="2" t="str">
        <v>2026-09-28</v>
      </c>
      <c r="H1590" s="2" t="str">
        <v>13199999.922</v>
      </c>
      <c r="I1590" s="28" t="n">
        <v>13199999.922</v>
      </c>
      <c r="J1590" s="7" t="n">
        <v>13200000</v>
      </c>
      <c r="K1590" s="28" t="n">
        <f>J1590-I1590</f>
        <v>0.07799999974668026</v>
      </c>
      <c r="L1590" s="2" t="str">
        <v>NHẬP</v>
      </c>
      <c r="M1590" s="2" t="str"/>
      <c r="N1590" s="2" t="str">
        <v>KHAC</v>
      </c>
    </row>
    <row r="1591" ht="25" customHeight="1">
      <c r="A1591" s="2" t="str">
        <v>Q1958</v>
      </c>
      <c r="B1591" s="2" t="str">
        <v>KH074</v>
      </c>
      <c r="C1591" s="2" t="str">
        <v>KH074</v>
      </c>
      <c r="D1591" s="2" t="str">
        <v>S2-01955-BH</v>
      </c>
      <c r="E1591" s="2" t="str">
        <v>BAN_HANG</v>
      </c>
      <c r="F1591" s="2" t="str">
        <v>INP6206</v>
      </c>
      <c r="G1591" s="2" t="str">
        <v>2026-09-28</v>
      </c>
      <c r="H1591" s="2" t="str">
        <v>5700000.024</v>
      </c>
      <c r="I1591" s="28" t="n">
        <v>5700000.024</v>
      </c>
      <c r="J1591" s="7" t="n">
        <v>5700000</v>
      </c>
      <c r="K1591" s="28" t="n">
        <f>J1591-I1591</f>
        <v>-0.024000000208616257</v>
      </c>
      <c r="L1591" s="2" t="str">
        <v>NHẬP</v>
      </c>
      <c r="M1591" s="2" t="str"/>
      <c r="N1591" s="2" t="str">
        <v>KHAC</v>
      </c>
    </row>
    <row r="1592" ht="25" customHeight="1">
      <c r="A1592" s="2" t="str">
        <v>Q1962</v>
      </c>
      <c r="B1592" s="2" t="str">
        <v>KH070</v>
      </c>
      <c r="C1592" s="2" t="str">
        <v>KH070</v>
      </c>
      <c r="D1592" s="2" t="str">
        <v>S2-01962-BH</v>
      </c>
      <c r="E1592" s="2" t="str">
        <v>BAN_HANG</v>
      </c>
      <c r="F1592" s="2" t="str">
        <v>INP6001</v>
      </c>
      <c r="G1592" s="2" t="str">
        <v>2026-09-28</v>
      </c>
      <c r="H1592" s="2" t="str">
        <v>14760000.0144</v>
      </c>
      <c r="I1592" s="28" t="n">
        <v>14760000.0144</v>
      </c>
      <c r="J1592" s="7" t="n">
        <v>14760000</v>
      </c>
      <c r="K1592" s="28" t="n">
        <f>J1592-I1592</f>
        <v>-0.014399999752640724</v>
      </c>
      <c r="L1592" s="2" t="str">
        <v>NHẬP</v>
      </c>
      <c r="M1592" s="2" t="str"/>
      <c r="N1592" s="2" t="str">
        <v>KHAC</v>
      </c>
    </row>
    <row r="1593" ht="25" customHeight="1">
      <c r="A1593" s="2" t="str">
        <v>Q1963</v>
      </c>
      <c r="B1593" s="2" t="str">
        <v>KH070</v>
      </c>
      <c r="C1593" s="2" t="str">
        <v>KH070</v>
      </c>
      <c r="D1593" s="2" t="str">
        <v>S2-01962-BH</v>
      </c>
      <c r="E1593" s="2" t="str">
        <v>BAN_HANG</v>
      </c>
      <c r="F1593" s="2" t="str">
        <v>INP1501</v>
      </c>
      <c r="G1593" s="2" t="str">
        <v>2026-09-28</v>
      </c>
      <c r="H1593" s="2" t="str">
        <v>3360000.0096</v>
      </c>
      <c r="I1593" s="28" t="n">
        <v>3360000.0096</v>
      </c>
      <c r="J1593" s="7" t="n">
        <v>3360000</v>
      </c>
      <c r="K1593" s="28" t="n">
        <f>J1593-I1593</f>
        <v>-0.009599999990314245</v>
      </c>
      <c r="L1593" s="2" t="str">
        <v>NHẬP</v>
      </c>
      <c r="M1593" s="2" t="str"/>
      <c r="N1593" s="2" t="str">
        <v>KHAC</v>
      </c>
    </row>
    <row r="1594" ht="25" customHeight="1">
      <c r="A1594" s="2" t="str">
        <v>Q1964</v>
      </c>
      <c r="B1594" s="2" t="str">
        <v>KH070</v>
      </c>
      <c r="C1594" s="2" t="str">
        <v>KH070</v>
      </c>
      <c r="D1594" s="2" t="str">
        <v>S2-01962-BH</v>
      </c>
      <c r="E1594" s="2" t="str">
        <v>BAN_HANG</v>
      </c>
      <c r="F1594" s="2" t="str">
        <v>INP1502</v>
      </c>
      <c r="G1594" s="2" t="str">
        <v>2026-09-28</v>
      </c>
      <c r="H1594" s="2" t="str">
        <v>3600000.0288</v>
      </c>
      <c r="I1594" s="28" t="n">
        <v>3600000.0288</v>
      </c>
      <c r="J1594" s="7" t="n">
        <v>3600000</v>
      </c>
      <c r="K1594" s="28" t="n">
        <f>J1594-I1594</f>
        <v>-0.028799999970942736</v>
      </c>
      <c r="L1594" s="2" t="str">
        <v>NHẬP</v>
      </c>
      <c r="M1594" s="2" t="str"/>
      <c r="N1594" s="2" t="str">
        <v>KHAC</v>
      </c>
    </row>
    <row r="1595" ht="25" customHeight="1">
      <c r="A1595" s="2" t="str">
        <v>Q1965</v>
      </c>
      <c r="B1595" s="2" t="str">
        <v>KH070</v>
      </c>
      <c r="C1595" s="2" t="str">
        <v>KH070</v>
      </c>
      <c r="D1595" s="2" t="str">
        <v>S2-01962-BH</v>
      </c>
      <c r="E1595" s="2" t="str">
        <v>BAN_HANG</v>
      </c>
      <c r="F1595" s="2" t="str">
        <v>INP1503</v>
      </c>
      <c r="G1595" s="2" t="str">
        <v>2026-09-28</v>
      </c>
      <c r="H1595" s="2" t="str">
        <v>5760000.072</v>
      </c>
      <c r="I1595" s="28" t="n">
        <v>5760000.072</v>
      </c>
      <c r="J1595" s="7" t="n">
        <v>5760001</v>
      </c>
      <c r="K1595" s="28" t="n">
        <f>J1595-I1595</f>
        <v>0.9280000003054738</v>
      </c>
      <c r="L1595" s="2" t="str">
        <v>NHẬP</v>
      </c>
      <c r="M1595" s="2" t="str"/>
      <c r="N1595" s="2" t="str">
        <v>KHAC</v>
      </c>
    </row>
    <row r="1596" ht="25" customHeight="1">
      <c r="A1596" s="2" t="str">
        <v>S1966</v>
      </c>
      <c r="B1596" s="2" t="str">
        <v>KH074</v>
      </c>
      <c r="C1596" s="2" t="str">
        <v>KH074</v>
      </c>
      <c r="D1596" s="2" t="str">
        <v>S2-01966-VC</v>
      </c>
      <c r="E1596" s="2" t="str">
        <v>PHI_VAN_CHUYEN</v>
      </c>
      <c r="F1596" s="2" t="str"/>
      <c r="G1596" s="2" t="str">
        <v>2026-09-29</v>
      </c>
      <c r="H1596" s="2" t="str">
        <v>550000</v>
      </c>
      <c r="I1596" s="28" t="n">
        <v>550000</v>
      </c>
      <c r="J1596" s="7" t="n">
        <v>550000</v>
      </c>
      <c r="K1596" s="28" t="n">
        <f>J1596-I1596</f>
        <v>0</v>
      </c>
      <c r="L1596" s="2" t="str">
        <v>NHẬP</v>
      </c>
      <c r="M1596" s="2" t="str"/>
      <c r="N1596" s="2" t="str">
        <v>KHAC</v>
      </c>
    </row>
    <row r="1597" ht="25" customHeight="1">
      <c r="A1597" s="2" t="str">
        <v>R1967</v>
      </c>
      <c r="B1597" s="2" t="str">
        <v>KH088</v>
      </c>
      <c r="C1597" s="2" t="str">
        <v>KH088</v>
      </c>
      <c r="D1597" s="2" t="str">
        <v>S2-01967-TT</v>
      </c>
      <c r="E1597" s="2" t="str">
        <v>THU_TIEN</v>
      </c>
      <c r="F1597" s="2" t="str"/>
      <c r="G1597" s="2" t="str">
        <v>2026-09-10</v>
      </c>
      <c r="H1597" s="2" t="str">
        <v>38778000</v>
      </c>
      <c r="I1597" s="28" t="n">
        <v>38778000</v>
      </c>
      <c r="J1597" s="7" t="n">
        <v>38778000</v>
      </c>
      <c r="K1597" s="28" t="n">
        <f>J1597-I1597</f>
        <v>0</v>
      </c>
      <c r="L1597" s="2" t="str">
        <v>NHẬP</v>
      </c>
      <c r="M1597" s="2" t="str"/>
      <c r="N1597" s="2" t="str">
        <v>KHAC</v>
      </c>
    </row>
    <row r="1598" ht="25" customHeight="1">
      <c r="A1598" s="2" t="str">
        <v>R1968</v>
      </c>
      <c r="B1598" s="2" t="str">
        <v>KH091</v>
      </c>
      <c r="C1598" s="2" t="str">
        <v>KH091</v>
      </c>
      <c r="D1598" s="2" t="str">
        <v>S2-01968-TT</v>
      </c>
      <c r="E1598" s="2" t="str">
        <v>THU_TIEN</v>
      </c>
      <c r="F1598" s="2" t="str"/>
      <c r="G1598" s="2" t="str"/>
      <c r="H1598" s="2" t="str">
        <v>50000000</v>
      </c>
      <c r="I1598" s="28" t="n">
        <v>50000000</v>
      </c>
      <c r="J1598" s="7" t="n">
        <v>50000000</v>
      </c>
      <c r="K1598" s="28" t="n">
        <f>J1598-I1598</f>
        <v>0</v>
      </c>
      <c r="L1598" s="2" t="str">
        <v>NHẬP</v>
      </c>
      <c r="M1598" s="2" t="str"/>
      <c r="N1598" s="2" t="str">
        <v>KHAC</v>
      </c>
    </row>
    <row r="1599" ht="25" customHeight="1">
      <c r="A1599" s="2" t="str">
        <v>R1969</v>
      </c>
      <c r="B1599" s="2" t="str">
        <v>KH012</v>
      </c>
      <c r="C1599" s="2" t="str">
        <v>KH012</v>
      </c>
      <c r="D1599" s="2" t="str">
        <v>S2-01969-TT</v>
      </c>
      <c r="E1599" s="2" t="str">
        <v>THU_TIEN</v>
      </c>
      <c r="F1599" s="2" t="str"/>
      <c r="G1599" s="2" t="str">
        <v>2026-09-30</v>
      </c>
      <c r="H1599" s="2" t="str">
        <v>50000000</v>
      </c>
      <c r="I1599" s="28" t="n">
        <v>50000000</v>
      </c>
      <c r="J1599" s="7" t="n">
        <v>50000000</v>
      </c>
      <c r="K1599" s="28" t="n">
        <f>J1599-I1599</f>
        <v>0</v>
      </c>
      <c r="L1599" s="2" t="str">
        <v>NHẬP</v>
      </c>
      <c r="M1599" s="2" t="str"/>
      <c r="N1599" s="2" t="str">
        <v>KHAC</v>
      </c>
    </row>
    <row r="1600" ht="25" customHeight="1">
      <c r="A1600" s="2" t="str">
        <v>R1970</v>
      </c>
      <c r="B1600" s="2" t="str">
        <v>KH053</v>
      </c>
      <c r="C1600" s="2" t="str">
        <v>KH053</v>
      </c>
      <c r="D1600" s="2" t="str">
        <v>S2-01970-TT</v>
      </c>
      <c r="E1600" s="2" t="str">
        <v>THU_TIEN</v>
      </c>
      <c r="F1600" s="2" t="str"/>
      <c r="G1600" s="2" t="str">
        <v>2026-10-01</v>
      </c>
      <c r="H1600" s="2" t="str">
        <v>1800000</v>
      </c>
      <c r="I1600" s="28" t="n">
        <v>1800000</v>
      </c>
      <c r="J1600" s="7" t="n">
        <v>1800000</v>
      </c>
      <c r="K1600" s="28" t="n">
        <f>J1600-I1600</f>
        <v>0</v>
      </c>
      <c r="L1600" s="2" t="str">
        <v>NHẬP</v>
      </c>
      <c r="M1600" s="2" t="str"/>
      <c r="N1600" s="2" t="str">
        <v>KHAC</v>
      </c>
    </row>
    <row r="1601" ht="25" customHeight="1">
      <c r="A1601" s="2" t="str">
        <v>R1971</v>
      </c>
      <c r="B1601" s="2" t="str">
        <v>KH068</v>
      </c>
      <c r="C1601" s="2" t="str">
        <v>KH068</v>
      </c>
      <c r="D1601" s="2" t="str">
        <v>S2-01971-TT</v>
      </c>
      <c r="E1601" s="2" t="str">
        <v>THU_TIEN</v>
      </c>
      <c r="F1601" s="2" t="str"/>
      <c r="G1601" s="2" t="str">
        <v>2026-10-01</v>
      </c>
      <c r="H1601" s="2" t="str">
        <v>91000000</v>
      </c>
      <c r="I1601" s="28" t="n">
        <v>91000000</v>
      </c>
      <c r="J1601" s="7" t="n">
        <v>91000000</v>
      </c>
      <c r="K1601" s="28" t="n">
        <f>J1601-I1601</f>
        <v>0</v>
      </c>
      <c r="L1601" s="2" t="str">
        <v>NHẬP</v>
      </c>
      <c r="M1601" s="2" t="str"/>
      <c r="N1601" s="2" t="str">
        <v>KHAC</v>
      </c>
    </row>
    <row r="1602" ht="25" customHeight="1">
      <c r="A1602" s="2" t="str">
        <v>Q1972</v>
      </c>
      <c r="B1602" s="2" t="str">
        <v>KH001</v>
      </c>
      <c r="C1602" s="2" t="str">
        <v>KH001</v>
      </c>
      <c r="D1602" s="2" t="str">
        <v>S2-01972-BH</v>
      </c>
      <c r="E1602" s="2" t="str">
        <v>BAN_HANG</v>
      </c>
      <c r="F1602" s="2" t="str">
        <v>INP6004</v>
      </c>
      <c r="G1602" s="2" t="str">
        <v>2026-09-30</v>
      </c>
      <c r="H1602" s="2" t="str">
        <v>8700000.048</v>
      </c>
      <c r="I1602" s="28" t="n">
        <v>8700000.048</v>
      </c>
      <c r="J1602" s="7"/>
      <c r="K1602" s="28"/>
      <c r="L1602" s="2" t="str">
        <v>GIỮ PHIẾU BH ERP</v>
      </c>
      <c r="M1602" s="2" t="str">
        <v>BH2026100104</v>
      </c>
      <c r="N1602" s="2" t="str">
        <v>Đã có ERP</v>
      </c>
    </row>
    <row r="1603" ht="25" customHeight="1">
      <c r="A1603" s="2" t="str">
        <v>Q1973</v>
      </c>
      <c r="B1603" s="2" t="str">
        <v>KH001</v>
      </c>
      <c r="C1603" s="2" t="str">
        <v>KH001</v>
      </c>
      <c r="D1603" s="2" t="str">
        <v>S2-01972-BH</v>
      </c>
      <c r="E1603" s="2" t="str">
        <v>BAN_HANG</v>
      </c>
      <c r="F1603" s="2" t="str">
        <v>INP6005</v>
      </c>
      <c r="G1603" s="2" t="str">
        <v>2026-09-30</v>
      </c>
      <c r="H1603" s="2" t="str">
        <v>10350000.018</v>
      </c>
      <c r="I1603" s="28" t="n">
        <v>10350000.018</v>
      </c>
      <c r="J1603" s="7"/>
      <c r="K1603" s="28"/>
      <c r="L1603" s="2" t="str">
        <v>GIỮ PHIẾU BH ERP</v>
      </c>
      <c r="M1603" s="2" t="str">
        <v>BH2026100104</v>
      </c>
      <c r="N1603" s="2" t="str">
        <v>Đã có ERP</v>
      </c>
    </row>
    <row r="1604" ht="25" customHeight="1">
      <c r="A1604" s="2" t="str">
        <v>Q1974</v>
      </c>
      <c r="B1604" s="2" t="str">
        <v>KH001</v>
      </c>
      <c r="C1604" s="2" t="str">
        <v>KH001</v>
      </c>
      <c r="D1604" s="2" t="str">
        <v>S2-01972-BH</v>
      </c>
      <c r="E1604" s="2" t="str">
        <v>BAN_HANG</v>
      </c>
      <c r="F1604" s="2" t="str">
        <v>INP6006</v>
      </c>
      <c r="G1604" s="2" t="str">
        <v>2026-09-30</v>
      </c>
      <c r="H1604" s="2" t="str">
        <v>8550000.036</v>
      </c>
      <c r="I1604" s="28" t="n">
        <v>8550000.036</v>
      </c>
      <c r="J1604" s="7"/>
      <c r="K1604" s="28"/>
      <c r="L1604" s="2" t="str">
        <v>GIỮ PHIẾU BH ERP</v>
      </c>
      <c r="M1604" s="2" t="str">
        <v>BH2026100104</v>
      </c>
      <c r="N1604" s="2" t="str">
        <v>Đã có ERP</v>
      </c>
    </row>
    <row r="1605" ht="25" customHeight="1">
      <c r="A1605" s="2" t="str">
        <v>Q1975</v>
      </c>
      <c r="B1605" s="2" t="str">
        <v>KH001</v>
      </c>
      <c r="C1605" s="2" t="str">
        <v>KH001</v>
      </c>
      <c r="D1605" s="2" t="str">
        <v>S2-01972-BH</v>
      </c>
      <c r="E1605" s="2" t="str">
        <v>BAN_HANG</v>
      </c>
      <c r="F1605" s="2" t="str">
        <v>INP6007</v>
      </c>
      <c r="G1605" s="2" t="str">
        <v>2026-09-30</v>
      </c>
      <c r="H1605" s="2" t="str">
        <v>10200000.006</v>
      </c>
      <c r="I1605" s="28" t="n">
        <v>10200000.006</v>
      </c>
      <c r="J1605" s="7"/>
      <c r="K1605" s="28"/>
      <c r="L1605" s="2" t="str">
        <v>GIỮ PHIẾU BH ERP</v>
      </c>
      <c r="M1605" s="2" t="str">
        <v>BH2026100104</v>
      </c>
      <c r="N1605" s="2" t="str">
        <v>Đã có ERP</v>
      </c>
    </row>
    <row r="1606" ht="25" customHeight="1">
      <c r="A1606" s="2" t="str">
        <v>Q1976</v>
      </c>
      <c r="B1606" s="2" t="str">
        <v>KH001</v>
      </c>
      <c r="C1606" s="2" t="str">
        <v>KH001</v>
      </c>
      <c r="D1606" s="2" t="str">
        <v>S2-01972-BH</v>
      </c>
      <c r="E1606" s="2" t="str">
        <v>BAN_HANG</v>
      </c>
      <c r="F1606" s="2" t="str">
        <v>INP6008</v>
      </c>
      <c r="G1606" s="2" t="str">
        <v>2026-09-30</v>
      </c>
      <c r="H1606" s="2" t="str">
        <v>9299999.934</v>
      </c>
      <c r="I1606" s="28" t="n">
        <v>9299999.934</v>
      </c>
      <c r="J1606" s="7"/>
      <c r="K1606" s="28"/>
      <c r="L1606" s="2" t="str">
        <v>GIỮ PHIẾU BH ERP</v>
      </c>
      <c r="M1606" s="2" t="str">
        <v>BH2026100104</v>
      </c>
      <c r="N1606" s="2" t="str">
        <v>Đã có ERP</v>
      </c>
    </row>
    <row r="1607" ht="25" customHeight="1">
      <c r="A1607" s="2" t="str">
        <v>Q1977</v>
      </c>
      <c r="B1607" s="2" t="str">
        <v>KH001</v>
      </c>
      <c r="C1607" s="2" t="str">
        <v>KH001</v>
      </c>
      <c r="D1607" s="2" t="str">
        <v>S2-01972-BH</v>
      </c>
      <c r="E1607" s="2" t="str">
        <v>BAN_HANG</v>
      </c>
      <c r="F1607" s="2" t="str">
        <v>INP6009</v>
      </c>
      <c r="G1607" s="2" t="str">
        <v>2026-09-30</v>
      </c>
      <c r="H1607" s="2" t="str">
        <v>11249999.928</v>
      </c>
      <c r="I1607" s="28" t="n">
        <v>11249999.928</v>
      </c>
      <c r="J1607" s="7"/>
      <c r="K1607" s="28"/>
      <c r="L1607" s="2" t="str">
        <v>GIỮ PHIẾU BH ERP</v>
      </c>
      <c r="M1607" s="2" t="str">
        <v>BH2026100104</v>
      </c>
      <c r="N1607" s="2" t="str">
        <v>Đã có ERP</v>
      </c>
    </row>
    <row r="1608" ht="25" customHeight="1">
      <c r="A1608" s="2" t="str">
        <v>Q1978</v>
      </c>
      <c r="B1608" s="2" t="str">
        <v>KH001</v>
      </c>
      <c r="C1608" s="2" t="str">
        <v>KH001</v>
      </c>
      <c r="D1608" s="2" t="str">
        <v>S2-01972-BH</v>
      </c>
      <c r="E1608" s="2" t="str">
        <v>BAN_HANG</v>
      </c>
      <c r="F1608" s="2" t="str">
        <v>INP6010</v>
      </c>
      <c r="G1608" s="2" t="str">
        <v>2026-09-30</v>
      </c>
      <c r="H1608" s="2" t="str">
        <v>7799999.976</v>
      </c>
      <c r="I1608" s="28" t="n">
        <v>7799999.976</v>
      </c>
      <c r="J1608" s="7"/>
      <c r="K1608" s="28"/>
      <c r="L1608" s="2" t="str">
        <v>GIỮ PHIẾU BH ERP</v>
      </c>
      <c r="M1608" s="2" t="str">
        <v>BH2026100104</v>
      </c>
      <c r="N1608" s="2" t="str">
        <v>Đã có ERP</v>
      </c>
    </row>
    <row r="1609" ht="25" customHeight="1">
      <c r="A1609" s="2" t="str">
        <v>R1987</v>
      </c>
      <c r="B1609" s="2" t="str">
        <v>KH001</v>
      </c>
      <c r="C1609" s="2" t="str">
        <v>KH001</v>
      </c>
      <c r="D1609" s="2" t="str">
        <v>S2-01987-TT</v>
      </c>
      <c r="E1609" s="2" t="str">
        <v>THU_TIEN</v>
      </c>
      <c r="F1609" s="2" t="str"/>
      <c r="G1609" s="2" t="str">
        <v>2026-10-01</v>
      </c>
      <c r="H1609" s="2" t="str">
        <v>50000000</v>
      </c>
      <c r="I1609" s="28" t="n">
        <v>50000000</v>
      </c>
      <c r="J1609" s="7" t="n">
        <v>50000000</v>
      </c>
      <c r="K1609" s="28" t="n">
        <f>J1609-I1609</f>
        <v>0</v>
      </c>
      <c r="L1609" s="2" t="str">
        <v>NHẬP</v>
      </c>
      <c r="M1609" s="2" t="str"/>
      <c r="N1609" s="2" t="str">
        <v>KHAC</v>
      </c>
    </row>
    <row r="1610" ht="25" customHeight="1">
      <c r="A1610" s="2" t="str">
        <v>R1999</v>
      </c>
      <c r="B1610" s="2" t="str">
        <v>KH021</v>
      </c>
      <c r="C1610" s="2" t="str">
        <v>KH021</v>
      </c>
      <c r="D1610" s="2" t="str">
        <v>S2-01999-TT</v>
      </c>
      <c r="E1610" s="2" t="str">
        <v>THU_TIEN</v>
      </c>
      <c r="F1610" s="2" t="str"/>
      <c r="G1610" s="2" t="str"/>
      <c r="H1610" s="2" t="str">
        <v>1920000</v>
      </c>
      <c r="I1610" s="28" t="n">
        <v>1920000</v>
      </c>
      <c r="J1610" s="7" t="n">
        <v>1920000</v>
      </c>
      <c r="K1610" s="28" t="n">
        <f>J1610-I1610</f>
        <v>0</v>
      </c>
      <c r="L1610" s="2" t="str">
        <v>NHẬP</v>
      </c>
      <c r="M1610" s="2" t="str"/>
      <c r="N1610" s="2" t="str">
        <v>KHAC</v>
      </c>
    </row>
    <row r="1611" ht="25" customHeight="1">
      <c r="A1611" s="2" t="str">
        <v>R2000</v>
      </c>
      <c r="B1611" s="2" t="str">
        <v>KH084</v>
      </c>
      <c r="C1611" s="2" t="str">
        <v>KH084</v>
      </c>
      <c r="D1611" s="2" t="str">
        <v>S2-02000-TT</v>
      </c>
      <c r="E1611" s="2" t="str">
        <v>THU_TIEN</v>
      </c>
      <c r="F1611" s="2" t="str"/>
      <c r="G1611" s="2" t="str">
        <v>2026-10-02</v>
      </c>
      <c r="H1611" s="2" t="str">
        <v>64350000</v>
      </c>
      <c r="I1611" s="28" t="n">
        <v>64350000</v>
      </c>
      <c r="J1611" s="7" t="n">
        <v>64350000</v>
      </c>
      <c r="K1611" s="28" t="n">
        <f>J1611-I1611</f>
        <v>0</v>
      </c>
      <c r="L1611" s="2" t="str">
        <v>NHẬP</v>
      </c>
      <c r="M1611" s="2" t="str"/>
      <c r="N1611" s="2" t="str">
        <v>KHAC</v>
      </c>
    </row>
    <row r="1612" ht="25" customHeight="1">
      <c r="A1612" s="2" t="str">
        <v>R2001</v>
      </c>
      <c r="B1612" s="2" t="str">
        <v>KH015</v>
      </c>
      <c r="C1612" s="2" t="str">
        <v>KH015</v>
      </c>
      <c r="D1612" s="2" t="str">
        <v>S2-02001-TT</v>
      </c>
      <c r="E1612" s="2" t="str">
        <v>THU_TIEN</v>
      </c>
      <c r="F1612" s="2" t="str"/>
      <c r="G1612" s="2" t="str">
        <v>2026-10-03</v>
      </c>
      <c r="H1612" s="2" t="str">
        <v>59300000</v>
      </c>
      <c r="I1612" s="28" t="n">
        <v>59300000</v>
      </c>
      <c r="J1612" s="7" t="n">
        <v>59300000</v>
      </c>
      <c r="K1612" s="28" t="n">
        <f>J1612-I1612</f>
        <v>0</v>
      </c>
      <c r="L1612" s="2" t="str">
        <v>NHẬP</v>
      </c>
      <c r="M1612" s="2" t="str"/>
      <c r="N1612" s="2" t="str">
        <v>KHAC</v>
      </c>
    </row>
    <row r="1613" ht="25" customHeight="1">
      <c r="A1613" s="2" t="str">
        <v>Q2002</v>
      </c>
      <c r="B1613" s="2" t="str">
        <v>KH092</v>
      </c>
      <c r="C1613" s="2" t="str">
        <v>KH092</v>
      </c>
      <c r="D1613" s="2" t="str">
        <v>S2-02002-BH</v>
      </c>
      <c r="E1613" s="2" t="str">
        <v>BAN_HANG</v>
      </c>
      <c r="F1613" s="2" t="str">
        <v>INP1201</v>
      </c>
      <c r="G1613" s="2" t="str">
        <v>2026-10-03</v>
      </c>
      <c r="H1613" s="2" t="str">
        <v>460999.998</v>
      </c>
      <c r="I1613" s="28" t="n">
        <v>460999.998</v>
      </c>
      <c r="J1613" s="7"/>
      <c r="K1613" s="28"/>
      <c r="L1613" s="2" t="str">
        <v>GIỮ PHIẾU BH ERP</v>
      </c>
      <c r="M1613" s="2" t="str">
        <v>BH2026100110</v>
      </c>
      <c r="N1613" s="2" t="str">
        <v>Đã có ERP</v>
      </c>
    </row>
    <row r="1614" ht="25" customHeight="1">
      <c r="A1614" s="2" t="str">
        <v>Q2003</v>
      </c>
      <c r="B1614" s="2" t="str">
        <v>KH092</v>
      </c>
      <c r="C1614" s="2" t="str">
        <v>KH092</v>
      </c>
      <c r="D1614" s="2" t="str">
        <v>S2-02002-BH</v>
      </c>
      <c r="E1614" s="2" t="str">
        <v>BAN_HANG</v>
      </c>
      <c r="F1614" s="2" t="str">
        <v>INP2103</v>
      </c>
      <c r="G1614" s="2" t="str">
        <v>2026-10-03</v>
      </c>
      <c r="H1614" s="2" t="str">
        <v>334000.0008</v>
      </c>
      <c r="I1614" s="28" t="n">
        <v>334000.0008</v>
      </c>
      <c r="J1614" s="7"/>
      <c r="K1614" s="28"/>
      <c r="L1614" s="2" t="str">
        <v>GIỮ PHIẾU BH ERP</v>
      </c>
      <c r="M1614" s="2" t="str">
        <v>BH2026100110</v>
      </c>
      <c r="N1614" s="2" t="str">
        <v>Đã có ERP</v>
      </c>
    </row>
    <row r="1615" ht="25" customHeight="1">
      <c r="A1615" s="2" t="str">
        <v>Q2004</v>
      </c>
      <c r="B1615" s="2" t="str">
        <v>KH092</v>
      </c>
      <c r="C1615" s="2" t="str">
        <v>KH092</v>
      </c>
      <c r="D1615" s="2" t="str">
        <v>S2-02002-BH</v>
      </c>
      <c r="E1615" s="2" t="str">
        <v>BAN_HANG</v>
      </c>
      <c r="F1615" s="2" t="str">
        <v>INP6001</v>
      </c>
      <c r="G1615" s="2" t="str">
        <v>2026-10-03</v>
      </c>
      <c r="H1615" s="2" t="str">
        <v>2706000.0048</v>
      </c>
      <c r="I1615" s="28" t="n">
        <v>2706000.0048</v>
      </c>
      <c r="J1615" s="7"/>
      <c r="K1615" s="28"/>
      <c r="L1615" s="2" t="str">
        <v>GIỮ PHIẾU BH ERP</v>
      </c>
      <c r="M1615" s="2" t="str">
        <v>BH2026100110</v>
      </c>
      <c r="N1615" s="2" t="str">
        <v>Đã có ERP</v>
      </c>
    </row>
    <row r="1616" ht="25" customHeight="1">
      <c r="A1616" s="2" t="str">
        <v>R2005</v>
      </c>
      <c r="B1616" s="2" t="str">
        <v>KH070</v>
      </c>
      <c r="C1616" s="2" t="str">
        <v>KH070</v>
      </c>
      <c r="D1616" s="2" t="str">
        <v>S2-02005-TT</v>
      </c>
      <c r="E1616" s="2" t="str">
        <v>THU_TIEN</v>
      </c>
      <c r="F1616" s="2" t="str"/>
      <c r="G1616" s="2" t="str">
        <v>2026-10-03</v>
      </c>
      <c r="H1616" s="2" t="str">
        <v>27480000</v>
      </c>
      <c r="I1616" s="28" t="n">
        <v>27480000</v>
      </c>
      <c r="J1616" s="7" t="n">
        <v>27480000</v>
      </c>
      <c r="K1616" s="28" t="n">
        <f>J1616-I1616</f>
        <v>0</v>
      </c>
      <c r="L1616" s="2" t="str">
        <v>NHẬP</v>
      </c>
      <c r="M1616" s="2" t="str"/>
      <c r="N1616" s="2" t="str">
        <v>KHAC</v>
      </c>
    </row>
    <row r="1617" ht="25" customHeight="1">
      <c r="A1617" s="2" t="str">
        <v>Q2006</v>
      </c>
      <c r="B1617" s="2" t="str">
        <v>KH080</v>
      </c>
      <c r="C1617" s="2" t="str">
        <v>KH080</v>
      </c>
      <c r="D1617" s="2" t="str">
        <v>S2-02006-BH</v>
      </c>
      <c r="E1617" s="2" t="str">
        <v>BAN_HANG</v>
      </c>
      <c r="F1617" s="2" t="str">
        <v>INP1501</v>
      </c>
      <c r="G1617" s="2" t="str">
        <v>2026-10-03</v>
      </c>
      <c r="H1617" s="2" t="str">
        <v>5040000.0144</v>
      </c>
      <c r="I1617" s="28" t="n">
        <v>5040000.0144</v>
      </c>
      <c r="J1617" s="7"/>
      <c r="K1617" s="28"/>
      <c r="L1617" s="2" t="str">
        <v>GIỮ PHIẾU BH ERP</v>
      </c>
      <c r="M1617" s="2" t="str">
        <v>BH2026100109</v>
      </c>
      <c r="N1617" s="2" t="str">
        <v>Đã có ERP</v>
      </c>
    </row>
    <row r="1618" ht="25" customHeight="1">
      <c r="A1618" s="2" t="str">
        <v>Q2007</v>
      </c>
      <c r="B1618" s="2" t="str">
        <v>KH080</v>
      </c>
      <c r="C1618" s="2" t="str">
        <v>KH080</v>
      </c>
      <c r="D1618" s="2" t="str">
        <v>S2-02006-BH</v>
      </c>
      <c r="E1618" s="2" t="str">
        <v>BAN_HANG</v>
      </c>
      <c r="F1618" s="2" t="str">
        <v>INP1502</v>
      </c>
      <c r="G1618" s="2" t="str">
        <v>2026-10-03</v>
      </c>
      <c r="H1618" s="2" t="str">
        <v>3600000.0288</v>
      </c>
      <c r="I1618" s="28" t="n">
        <v>3600000.0288</v>
      </c>
      <c r="J1618" s="7"/>
      <c r="K1618" s="28"/>
      <c r="L1618" s="2" t="str">
        <v>GIỮ PHIẾU BH ERP</v>
      </c>
      <c r="M1618" s="2" t="str">
        <v>BH2026100109</v>
      </c>
      <c r="N1618" s="2" t="str">
        <v>Đã có ERP</v>
      </c>
    </row>
    <row r="1619" ht="25" customHeight="1">
      <c r="A1619" s="2" t="str">
        <v>Q2008</v>
      </c>
      <c r="B1619" s="2" t="str">
        <v>KH080</v>
      </c>
      <c r="C1619" s="2" t="str">
        <v>KH080</v>
      </c>
      <c r="D1619" s="2" t="str">
        <v>S2-02006-BH</v>
      </c>
      <c r="E1619" s="2" t="str">
        <v>BAN_HANG</v>
      </c>
      <c r="F1619" s="2" t="str">
        <v>INP1503</v>
      </c>
      <c r="G1619" s="2" t="str">
        <v>2026-10-03</v>
      </c>
      <c r="H1619" s="2" t="str">
        <v>3840000.048</v>
      </c>
      <c r="I1619" s="28" t="n">
        <v>3840000.048</v>
      </c>
      <c r="J1619" s="7"/>
      <c r="K1619" s="28"/>
      <c r="L1619" s="2" t="str">
        <v>GIỮ PHIẾU BH ERP</v>
      </c>
      <c r="M1619" s="2" t="str">
        <v>BH2026100109</v>
      </c>
      <c r="N1619" s="2" t="str">
        <v>Đã có ERP</v>
      </c>
    </row>
    <row r="1620" ht="25" customHeight="1">
      <c r="A1620" s="2" t="str">
        <v>Q2009</v>
      </c>
      <c r="B1620" s="2" t="str">
        <v>KH053</v>
      </c>
      <c r="C1620" s="2" t="str">
        <v>KH053</v>
      </c>
      <c r="D1620" s="2" t="str">
        <v>S2-02009-BH</v>
      </c>
      <c r="E1620" s="2" t="str">
        <v>BAN_HANG</v>
      </c>
      <c r="F1620" s="2" t="str">
        <v>INP6153</v>
      </c>
      <c r="G1620" s="2" t="str">
        <v>2026-10-02</v>
      </c>
      <c r="H1620" s="2" t="str">
        <v>8400000.024</v>
      </c>
      <c r="I1620" s="28" t="n">
        <v>8400000.024</v>
      </c>
      <c r="J1620" s="7"/>
      <c r="K1620" s="28"/>
      <c r="L1620" s="2" t="str">
        <v>GIỮ PHIẾU BH ERP</v>
      </c>
      <c r="M1620" s="2" t="str">
        <v>BH2026100105</v>
      </c>
      <c r="N1620" s="2" t="str">
        <v>Đã có ERP</v>
      </c>
    </row>
    <row r="1621" ht="25" customHeight="1">
      <c r="A1621" s="2" t="str">
        <v>Q2010</v>
      </c>
      <c r="B1621" s="2" t="str">
        <v>KH055</v>
      </c>
      <c r="C1621" s="2" t="str">
        <v>KH055</v>
      </c>
      <c r="D1621" s="2" t="str">
        <v>S2-02010-BH</v>
      </c>
      <c r="E1621" s="2" t="str">
        <v>BAN_HANG</v>
      </c>
      <c r="F1621" s="2" t="str">
        <v>INP6152</v>
      </c>
      <c r="G1621" s="2" t="str">
        <v>2026-10-02</v>
      </c>
      <c r="H1621" s="2" t="str">
        <v>3839999.9832</v>
      </c>
      <c r="I1621" s="28" t="n">
        <v>3839999.9832</v>
      </c>
      <c r="J1621" s="7"/>
      <c r="K1621" s="28"/>
      <c r="L1621" s="2" t="str">
        <v>GIỮ PHIẾU BH ERP</v>
      </c>
      <c r="M1621" s="2" t="str">
        <v>BH2026100106</v>
      </c>
      <c r="N1621" s="2" t="str">
        <v>Đã có ERP</v>
      </c>
    </row>
    <row r="1622" ht="25" customHeight="1">
      <c r="A1622" s="2" t="str">
        <v>Q2011</v>
      </c>
      <c r="B1622" s="2" t="str">
        <v>KH055</v>
      </c>
      <c r="C1622" s="2" t="str">
        <v>KH055</v>
      </c>
      <c r="D1622" s="2" t="str">
        <v>S2-02010-BH</v>
      </c>
      <c r="E1622" s="2" t="str">
        <v>BAN_HANG</v>
      </c>
      <c r="F1622" s="2" t="str">
        <v>INP6153</v>
      </c>
      <c r="G1622" s="2" t="str">
        <v>2026-10-02</v>
      </c>
      <c r="H1622" s="2" t="str">
        <v>4200000.012</v>
      </c>
      <c r="I1622" s="28" t="n">
        <v>4200000.012</v>
      </c>
      <c r="J1622" s="7"/>
      <c r="K1622" s="28"/>
      <c r="L1622" s="2" t="str">
        <v>GIỮ PHIẾU BH ERP</v>
      </c>
      <c r="M1622" s="2" t="str">
        <v>BH2026100106</v>
      </c>
      <c r="N1622" s="2" t="str">
        <v>Đã có ERP</v>
      </c>
    </row>
    <row r="1623" ht="25" customHeight="1">
      <c r="A1623" s="2" t="str">
        <v>Q2012</v>
      </c>
      <c r="B1623" s="2" t="str">
        <v>KH056</v>
      </c>
      <c r="C1623" s="2" t="str">
        <v>KH056</v>
      </c>
      <c r="D1623" s="2" t="str">
        <v>S2-02012-BH</v>
      </c>
      <c r="E1623" s="2" t="str">
        <v>BAN_HANG</v>
      </c>
      <c r="F1623" s="2" t="str">
        <v>INP1003</v>
      </c>
      <c r="G1623" s="2" t="str">
        <v>2026-10-03</v>
      </c>
      <c r="H1623" s="2" t="str">
        <v>1799999.982</v>
      </c>
      <c r="I1623" s="28" t="n">
        <v>1799999.982</v>
      </c>
      <c r="J1623" s="7"/>
      <c r="K1623" s="28"/>
      <c r="L1623" s="2" t="str">
        <v>GIỮ PHIẾU BH ERP</v>
      </c>
      <c r="M1623" s="2" t="str">
        <v>BH2026100108</v>
      </c>
      <c r="N1623" s="2" t="str">
        <v>Đã có ERP</v>
      </c>
    </row>
    <row r="1624" ht="25" customHeight="1">
      <c r="A1624" s="2" t="str">
        <v>Q2013</v>
      </c>
      <c r="B1624" s="2" t="str">
        <v>KH056</v>
      </c>
      <c r="C1624" s="2" t="str">
        <v>KH056</v>
      </c>
      <c r="D1624" s="2" t="str">
        <v>S2-02012-BH</v>
      </c>
      <c r="E1624" s="2" t="str">
        <v>BAN_HANG</v>
      </c>
      <c r="F1624" s="2" t="str">
        <v>INP1501</v>
      </c>
      <c r="G1624" s="2" t="str">
        <v>2026-10-03</v>
      </c>
      <c r="H1624" s="2" t="str">
        <v>700000.002</v>
      </c>
      <c r="I1624" s="28" t="n">
        <v>700000.002</v>
      </c>
      <c r="J1624" s="7"/>
      <c r="K1624" s="28"/>
      <c r="L1624" s="2" t="str">
        <v>GIỮ PHIẾU BH ERP</v>
      </c>
      <c r="M1624" s="2" t="str">
        <v>BH2026100108</v>
      </c>
      <c r="N1624" s="2" t="str">
        <v>Đã có ERP</v>
      </c>
    </row>
    <row r="1625" ht="25" customHeight="1">
      <c r="A1625" s="2" t="str">
        <v>R2014</v>
      </c>
      <c r="B1625" s="2" t="str">
        <v>KH055</v>
      </c>
      <c r="C1625" s="2" t="str">
        <v>KH055</v>
      </c>
      <c r="D1625" s="2" t="str">
        <v>S2-02014-TT</v>
      </c>
      <c r="E1625" s="2" t="str">
        <v>THU_TIEN</v>
      </c>
      <c r="F1625" s="2" t="str"/>
      <c r="G1625" s="2" t="str">
        <v>2026-10-05</v>
      </c>
      <c r="H1625" s="2" t="str">
        <v>20628000</v>
      </c>
      <c r="I1625" s="28" t="n">
        <v>20628000</v>
      </c>
      <c r="J1625" s="7" t="n">
        <v>20628000</v>
      </c>
      <c r="K1625" s="28" t="n">
        <f>J1625-I1625</f>
        <v>0</v>
      </c>
      <c r="L1625" s="2" t="str">
        <v>NHẬP</v>
      </c>
      <c r="M1625" s="2" t="str"/>
      <c r="N1625" s="2" t="str">
        <v>KHAC</v>
      </c>
    </row>
    <row r="1626" ht="25" customHeight="1">
      <c r="A1626" s="2" t="str">
        <v>R2015</v>
      </c>
      <c r="B1626" s="2" t="str">
        <v>KH059</v>
      </c>
      <c r="C1626" s="2" t="str">
        <v>KH059</v>
      </c>
      <c r="D1626" s="2" t="str">
        <v>S2-02015-TT</v>
      </c>
      <c r="E1626" s="2" t="str">
        <v>THU_TIEN</v>
      </c>
      <c r="F1626" s="2" t="str"/>
      <c r="G1626" s="2" t="str">
        <v>2026-10-05</v>
      </c>
      <c r="H1626" s="2" t="str">
        <v>5530000</v>
      </c>
      <c r="I1626" s="28" t="n">
        <v>5530000</v>
      </c>
      <c r="J1626" s="7" t="n">
        <v>5530000</v>
      </c>
      <c r="K1626" s="28" t="n">
        <f>J1626-I1626</f>
        <v>0</v>
      </c>
      <c r="L1626" s="2" t="str">
        <v>NHẬP</v>
      </c>
      <c r="M1626" s="2" t="str"/>
      <c r="N1626" s="2" t="str">
        <v>KHAC</v>
      </c>
    </row>
    <row r="1627" ht="25" customHeight="1">
      <c r="A1627" s="2" t="str">
        <v>Q2031</v>
      </c>
      <c r="B1627" s="2" t="str">
        <v>KH068</v>
      </c>
      <c r="C1627" s="2" t="str">
        <v>KH068</v>
      </c>
      <c r="D1627" s="2" t="str">
        <v>S2-02031-BH</v>
      </c>
      <c r="E1627" s="2" t="str">
        <v>BAN_HANG</v>
      </c>
      <c r="F1627" s="2" t="str">
        <v>INP1001</v>
      </c>
      <c r="G1627" s="2" t="str">
        <v>2026-10-05</v>
      </c>
      <c r="H1627" s="2" t="str">
        <v>10380000.096</v>
      </c>
      <c r="I1627" s="28" t="n">
        <v>10380000.096</v>
      </c>
      <c r="J1627" s="7"/>
      <c r="K1627" s="28"/>
      <c r="L1627" s="2" t="str">
        <v>GIỮ PHIẾU BH ERP</v>
      </c>
      <c r="M1627" s="2" t="str">
        <v>BH2026100114</v>
      </c>
      <c r="N1627" s="2" t="str">
        <v>Đã có ERP</v>
      </c>
    </row>
    <row r="1628" ht="25" customHeight="1">
      <c r="A1628" s="2" t="str">
        <v>Q2032</v>
      </c>
      <c r="B1628" s="2" t="str">
        <v>KH068</v>
      </c>
      <c r="C1628" s="2" t="str">
        <v>KH068</v>
      </c>
      <c r="D1628" s="2" t="str">
        <v>S2-02031-BH</v>
      </c>
      <c r="E1628" s="2" t="str">
        <v>BAN_HANG</v>
      </c>
      <c r="F1628" s="2" t="str">
        <v>INP1101</v>
      </c>
      <c r="G1628" s="2" t="str">
        <v>2026-10-05</v>
      </c>
      <c r="H1628" s="2" t="str">
        <v>10439999.928</v>
      </c>
      <c r="I1628" s="28" t="n">
        <v>10439999.928</v>
      </c>
      <c r="J1628" s="7"/>
      <c r="K1628" s="28"/>
      <c r="L1628" s="2" t="str">
        <v>GIỮ PHIẾU BH ERP</v>
      </c>
      <c r="M1628" s="2" t="str">
        <v>BH2026100114</v>
      </c>
      <c r="N1628" s="2" t="str">
        <v>Đã có ERP</v>
      </c>
    </row>
    <row r="1629" ht="25" customHeight="1">
      <c r="A1629" s="2" t="str">
        <v>Q2033</v>
      </c>
      <c r="B1629" s="2" t="str">
        <v>KH068</v>
      </c>
      <c r="C1629" s="2" t="str">
        <v>KH068</v>
      </c>
      <c r="D1629" s="2" t="str">
        <v>S2-02031-BH</v>
      </c>
      <c r="E1629" s="2" t="str">
        <v>BAN_HANG</v>
      </c>
      <c r="F1629" s="2" t="str">
        <v>INP6151</v>
      </c>
      <c r="G1629" s="2" t="str">
        <v>2026-10-05</v>
      </c>
      <c r="H1629" s="2" t="str">
        <v>1160000.0064</v>
      </c>
      <c r="I1629" s="28" t="n">
        <v>1160000.0064</v>
      </c>
      <c r="J1629" s="7"/>
      <c r="K1629" s="28"/>
      <c r="L1629" s="2" t="str">
        <v>GIỮ PHIẾU BH ERP</v>
      </c>
      <c r="M1629" s="2" t="str">
        <v>BH2026100114</v>
      </c>
      <c r="N1629" s="2" t="str">
        <v>Đã có ERP</v>
      </c>
    </row>
    <row r="1630" ht="25" customHeight="1">
      <c r="A1630" s="2" t="str">
        <v>Q2034</v>
      </c>
      <c r="B1630" s="2" t="str">
        <v>KH068</v>
      </c>
      <c r="C1630" s="2" t="str">
        <v>KH068</v>
      </c>
      <c r="D1630" s="2" t="str">
        <v>S2-02031-BH</v>
      </c>
      <c r="E1630" s="2" t="str">
        <v>BAN_HANG</v>
      </c>
      <c r="F1630" s="2" t="str">
        <v>INP6152</v>
      </c>
      <c r="G1630" s="2" t="str">
        <v>2026-10-05</v>
      </c>
      <c r="H1630" s="2" t="str">
        <v>1080000</v>
      </c>
      <c r="I1630" s="28" t="n">
        <v>1080000</v>
      </c>
      <c r="J1630" s="7"/>
      <c r="K1630" s="28"/>
      <c r="L1630" s="2" t="str">
        <v>GIỮ PHIẾU BH ERP</v>
      </c>
      <c r="M1630" s="2" t="str">
        <v>BH2026100114</v>
      </c>
      <c r="N1630" s="2" t="str">
        <v>Đã có ERP</v>
      </c>
    </row>
    <row r="1631" ht="25" customHeight="1">
      <c r="A1631" s="2" t="str">
        <v>Q2035</v>
      </c>
      <c r="B1631" s="2" t="str">
        <v>KH068</v>
      </c>
      <c r="C1631" s="2" t="str">
        <v>KH068</v>
      </c>
      <c r="D1631" s="2" t="str">
        <v>S2-02031-BH</v>
      </c>
      <c r="E1631" s="2" t="str">
        <v>BAN_HANG</v>
      </c>
      <c r="F1631" s="2" t="str">
        <v>INP6153</v>
      </c>
      <c r="G1631" s="2" t="str">
        <v>2026-10-05</v>
      </c>
      <c r="H1631" s="2" t="str">
        <v>1200000.0096</v>
      </c>
      <c r="I1631" s="28" t="n">
        <v>1200000.0096</v>
      </c>
      <c r="J1631" s="7"/>
      <c r="K1631" s="28"/>
      <c r="L1631" s="2" t="str">
        <v>GIỮ PHIẾU BH ERP</v>
      </c>
      <c r="M1631" s="2" t="str">
        <v>BH2026100114</v>
      </c>
      <c r="N1631" s="2" t="str">
        <v>Đã có ERP</v>
      </c>
    </row>
    <row r="1632" ht="25" customHeight="1">
      <c r="A1632" s="2" t="str">
        <v>Q2036</v>
      </c>
      <c r="B1632" s="2" t="str">
        <v>KH068</v>
      </c>
      <c r="C1632" s="2" t="str">
        <v>KH068</v>
      </c>
      <c r="D1632" s="2" t="str">
        <v>S2-02031-BH</v>
      </c>
      <c r="E1632" s="2" t="str">
        <v>BAN_HANG</v>
      </c>
      <c r="F1632" s="2" t="str">
        <v>INP6154</v>
      </c>
      <c r="G1632" s="2" t="str">
        <v>2026-10-05</v>
      </c>
      <c r="H1632" s="2" t="str">
        <v>1219999.9896</v>
      </c>
      <c r="I1632" s="28" t="n">
        <v>1219999.9896</v>
      </c>
      <c r="J1632" s="7"/>
      <c r="K1632" s="28"/>
      <c r="L1632" s="2" t="str">
        <v>GIỮ PHIẾU BH ERP</v>
      </c>
      <c r="M1632" s="2" t="str">
        <v>BH2026100114</v>
      </c>
      <c r="N1632" s="2" t="str">
        <v>Đã có ERP</v>
      </c>
    </row>
    <row r="1633" ht="25" customHeight="1">
      <c r="A1633" s="2" t="str">
        <v>Q2037</v>
      </c>
      <c r="B1633" s="2" t="str">
        <v>KH068</v>
      </c>
      <c r="C1633" s="2" t="str">
        <v>KH068</v>
      </c>
      <c r="D1633" s="2" t="str">
        <v>S2-02031-BH</v>
      </c>
      <c r="E1633" s="2" t="str">
        <v>BAN_HANG</v>
      </c>
      <c r="F1633" s="2" t="str">
        <v>INP6207</v>
      </c>
      <c r="G1633" s="2" t="str">
        <v>2026-10-05</v>
      </c>
      <c r="H1633" s="2" t="str">
        <v>439998.6312</v>
      </c>
      <c r="I1633" s="28" t="n">
        <v>439998.6312</v>
      </c>
      <c r="J1633" s="7"/>
      <c r="K1633" s="28"/>
      <c r="L1633" s="2" t="str">
        <v>GIỮ PHIẾU BH ERP</v>
      </c>
      <c r="M1633" s="2" t="str">
        <v>BH2026100114</v>
      </c>
      <c r="N1633" s="2" t="str">
        <v>Đã có ERP</v>
      </c>
    </row>
    <row r="1634" ht="25" customHeight="1">
      <c r="A1634" s="2" t="str">
        <v>Q2038</v>
      </c>
      <c r="B1634" s="2" t="str">
        <v>KH068</v>
      </c>
      <c r="C1634" s="2" t="str">
        <v>KH068</v>
      </c>
      <c r="D1634" s="2" t="str">
        <v>S2-02031-BH</v>
      </c>
      <c r="E1634" s="2" t="str">
        <v>BAN_HANG</v>
      </c>
      <c r="F1634" s="2" t="str">
        <v>INP6208</v>
      </c>
      <c r="G1634" s="2" t="str">
        <v>2026-10-05</v>
      </c>
      <c r="H1634" s="2" t="str">
        <v>439998.6312</v>
      </c>
      <c r="I1634" s="28" t="n">
        <v>439998.6312</v>
      </c>
      <c r="J1634" s="7"/>
      <c r="K1634" s="28"/>
      <c r="L1634" s="2" t="str">
        <v>GIỮ PHIẾU BH ERP</v>
      </c>
      <c r="M1634" s="2" t="str">
        <v>BH2026100114</v>
      </c>
      <c r="N1634" s="2" t="str">
        <v>Đã có ERP</v>
      </c>
    </row>
    <row r="1635" ht="25" customHeight="1">
      <c r="A1635" s="2" t="str">
        <v>Q2039</v>
      </c>
      <c r="B1635" s="2" t="str">
        <v>KH068</v>
      </c>
      <c r="C1635" s="2" t="str">
        <v>KH068</v>
      </c>
      <c r="D1635" s="2" t="str">
        <v>S2-02031-BH</v>
      </c>
      <c r="E1635" s="2" t="str">
        <v>BAN_HANG</v>
      </c>
      <c r="F1635" s="2" t="str">
        <v>INP6209</v>
      </c>
      <c r="G1635" s="2" t="str">
        <v>2026-10-05</v>
      </c>
      <c r="H1635" s="2" t="str">
        <v>459999.9936</v>
      </c>
      <c r="I1635" s="28" t="n">
        <v>459999.9936</v>
      </c>
      <c r="J1635" s="7"/>
      <c r="K1635" s="28"/>
      <c r="L1635" s="2" t="str">
        <v>GIỮ PHIẾU BH ERP</v>
      </c>
      <c r="M1635" s="2" t="str">
        <v>BH2026100114</v>
      </c>
      <c r="N1635" s="2" t="str">
        <v>Đã có ERP</v>
      </c>
    </row>
    <row r="1636" ht="25" customHeight="1">
      <c r="A1636" s="2" t="str">
        <v>Q2040</v>
      </c>
      <c r="B1636" s="2" t="str">
        <v>KH055</v>
      </c>
      <c r="C1636" s="2" t="str">
        <v>KH055</v>
      </c>
      <c r="D1636" s="2" t="str">
        <v>S2-02040-BH</v>
      </c>
      <c r="E1636" s="2" t="str">
        <v>BAN_HANG</v>
      </c>
      <c r="F1636" s="2" t="str">
        <v>INP1002</v>
      </c>
      <c r="G1636" s="2" t="str">
        <v>2026-10-07</v>
      </c>
      <c r="H1636" s="2" t="str">
        <v>1480000.0104</v>
      </c>
      <c r="I1636" s="28" t="n">
        <v>1480000.0104</v>
      </c>
      <c r="J1636" s="7"/>
      <c r="K1636" s="28"/>
      <c r="L1636" s="2" t="str">
        <v>GIỮ PHIẾU BH ERP</v>
      </c>
      <c r="M1636" s="2" t="str">
        <v>BH2026100115</v>
      </c>
      <c r="N1636" s="2" t="str">
        <v>Đã có ERP</v>
      </c>
    </row>
    <row r="1637" ht="25" customHeight="1">
      <c r="A1637" s="2" t="str">
        <v>Q2041</v>
      </c>
      <c r="B1637" s="2" t="str">
        <v>KH055</v>
      </c>
      <c r="C1637" s="2" t="str">
        <v>KH055</v>
      </c>
      <c r="D1637" s="2" t="str">
        <v>S2-02040-BH</v>
      </c>
      <c r="E1637" s="2" t="str">
        <v>BAN_HANG</v>
      </c>
      <c r="F1637" s="2" t="str">
        <v>INP6403</v>
      </c>
      <c r="G1637" s="2" t="str">
        <v>2026-10-07</v>
      </c>
      <c r="H1637" s="2" t="str">
        <v>799999.9992</v>
      </c>
      <c r="I1637" s="28" t="n">
        <v>799999.9992</v>
      </c>
      <c r="J1637" s="7"/>
      <c r="K1637" s="28"/>
      <c r="L1637" s="2" t="str">
        <v>GIỮ PHIẾU BH ERP</v>
      </c>
      <c r="M1637" s="2" t="str">
        <v>BH2026100115</v>
      </c>
      <c r="N1637" s="2" t="str">
        <v>Đã có ERP</v>
      </c>
    </row>
    <row r="1638" ht="25" customHeight="1">
      <c r="A1638" s="2" t="str">
        <v>Q2042</v>
      </c>
      <c r="B1638" s="2" t="str">
        <v>KH055</v>
      </c>
      <c r="C1638" s="2" t="str">
        <v>KH055</v>
      </c>
      <c r="D1638" s="2" t="str">
        <v>S2-02040-BH</v>
      </c>
      <c r="E1638" s="2" t="str">
        <v>BAN_HANG</v>
      </c>
      <c r="F1638" s="2" t="str">
        <v>INP6902</v>
      </c>
      <c r="G1638" s="2" t="str">
        <v>2026-10-07</v>
      </c>
      <c r="H1638" s="2" t="str">
        <v>1960000.0056</v>
      </c>
      <c r="I1638" s="28" t="n">
        <v>1960000.0056</v>
      </c>
      <c r="J1638" s="7"/>
      <c r="K1638" s="28"/>
      <c r="L1638" s="2" t="str">
        <v>GIỮ PHIẾU BH ERP</v>
      </c>
      <c r="M1638" s="2" t="str">
        <v>BH2026100115</v>
      </c>
      <c r="N1638" s="2" t="str">
        <v>Đã có ERP</v>
      </c>
    </row>
    <row r="1639" ht="25" customHeight="1">
      <c r="A1639" s="2" t="str">
        <v>Q2043</v>
      </c>
      <c r="B1639" s="2" t="str">
        <v>KH002</v>
      </c>
      <c r="C1639" s="2" t="str">
        <v>KH002</v>
      </c>
      <c r="D1639" s="2" t="str">
        <v>S2-02043-BH</v>
      </c>
      <c r="E1639" s="2" t="str">
        <v>BAN_HANG</v>
      </c>
      <c r="F1639" s="2" t="str">
        <v>INP1003</v>
      </c>
      <c r="G1639" s="2" t="str">
        <v>2026-10-05</v>
      </c>
      <c r="H1639" s="2" t="str">
        <v>21599999.784</v>
      </c>
      <c r="I1639" s="28" t="n">
        <v>21599999.784</v>
      </c>
      <c r="J1639" s="7"/>
      <c r="K1639" s="28"/>
      <c r="L1639" s="2" t="str">
        <v>GIỮ PHIẾU BH ERP</v>
      </c>
      <c r="M1639" s="2" t="str">
        <v>BH2026100111</v>
      </c>
      <c r="N1639" s="2" t="str">
        <v>Đã có ERP</v>
      </c>
    </row>
    <row r="1640" ht="25" customHeight="1">
      <c r="A1640" s="2" t="str">
        <v>Q2044</v>
      </c>
      <c r="B1640" s="2" t="str">
        <v>KH002</v>
      </c>
      <c r="C1640" s="2" t="str">
        <v>KH002</v>
      </c>
      <c r="D1640" s="2" t="str">
        <v>S2-02043-BH</v>
      </c>
      <c r="E1640" s="2" t="str">
        <v>BAN_HANG</v>
      </c>
      <c r="F1640" s="2" t="str">
        <v>INP6007</v>
      </c>
      <c r="G1640" s="2" t="str">
        <v>2026-10-05</v>
      </c>
      <c r="H1640" s="2" t="str">
        <v>40800000.024</v>
      </c>
      <c r="I1640" s="28" t="n">
        <v>40800000.024</v>
      </c>
      <c r="J1640" s="7"/>
      <c r="K1640" s="28"/>
      <c r="L1640" s="2" t="str">
        <v>GIỮ PHIẾU BH ERP</v>
      </c>
      <c r="M1640" s="2" t="str">
        <v>BH2026100111</v>
      </c>
      <c r="N1640" s="2" t="str">
        <v>Đã có ERP</v>
      </c>
    </row>
    <row r="1641" ht="25" customHeight="1">
      <c r="A1641" s="2" t="str">
        <v>Q2045</v>
      </c>
      <c r="B1641" s="2" t="str">
        <v>KH002</v>
      </c>
      <c r="C1641" s="2" t="str">
        <v>KH002</v>
      </c>
      <c r="D1641" s="2" t="str">
        <v>S2-02043-BH</v>
      </c>
      <c r="E1641" s="2" t="str">
        <v>BAN_HANG</v>
      </c>
      <c r="F1641" s="2" t="str">
        <v>INP6105</v>
      </c>
      <c r="G1641" s="2" t="str">
        <v>2026-10-05</v>
      </c>
      <c r="H1641" s="2" t="str">
        <v>21900000.132</v>
      </c>
      <c r="I1641" s="28" t="n">
        <v>21900000.132</v>
      </c>
      <c r="J1641" s="7"/>
      <c r="K1641" s="28"/>
      <c r="L1641" s="2" t="str">
        <v>GIỮ PHIẾU BH ERP</v>
      </c>
      <c r="M1641" s="2" t="str">
        <v>BH2026100111</v>
      </c>
      <c r="N1641" s="2" t="str">
        <v>Đã có ERP</v>
      </c>
    </row>
    <row r="1642" ht="25" customHeight="1">
      <c r="A1642" s="2" t="str">
        <v>R2048</v>
      </c>
      <c r="B1642" s="2" t="str">
        <v>KH002</v>
      </c>
      <c r="C1642" s="2" t="str">
        <v>KH002</v>
      </c>
      <c r="D1642" s="2" t="str">
        <v>S2-02048-TT</v>
      </c>
      <c r="E1642" s="2" t="str">
        <v>THU_TIEN</v>
      </c>
      <c r="F1642" s="2" t="str"/>
      <c r="G1642" s="2" t="str">
        <v>2026-10-08</v>
      </c>
      <c r="H1642" s="2" t="str">
        <v>100000000</v>
      </c>
      <c r="I1642" s="28" t="n">
        <v>100000000</v>
      </c>
      <c r="J1642" s="7" t="n">
        <v>100000000</v>
      </c>
      <c r="K1642" s="28" t="n">
        <f>J1642-I1642</f>
        <v>0</v>
      </c>
      <c r="L1642" s="2" t="str">
        <v>NHẬP</v>
      </c>
      <c r="M1642" s="2" t="str"/>
      <c r="N1642" s="2" t="str">
        <v>KHAC</v>
      </c>
    </row>
    <row r="1643" ht="25" customHeight="1">
      <c r="A1643" s="2" t="str">
        <v>Q2049</v>
      </c>
      <c r="B1643" s="2" t="str">
        <v>KH092</v>
      </c>
      <c r="C1643" s="2" t="str">
        <v>KH092</v>
      </c>
      <c r="D1643" s="2" t="str">
        <v>S2-02049-BH</v>
      </c>
      <c r="E1643" s="2" t="str">
        <v>BAN_HANG</v>
      </c>
      <c r="F1643" s="2" t="str">
        <v>INP2001</v>
      </c>
      <c r="G1643" s="2" t="str">
        <v>2026-10-07</v>
      </c>
      <c r="H1643" s="2" t="str">
        <v>1240000.002</v>
      </c>
      <c r="I1643" s="28" t="n">
        <v>1240000.002</v>
      </c>
      <c r="J1643" s="7"/>
      <c r="K1643" s="28"/>
      <c r="L1643" s="2" t="str">
        <v>GIỮ PHIẾU BH ERP</v>
      </c>
      <c r="M1643" s="2" t="str">
        <v>BH2026100116</v>
      </c>
      <c r="N1643" s="2" t="str">
        <v>Đã có ERP</v>
      </c>
    </row>
    <row r="1644" ht="25" customHeight="1">
      <c r="A1644" s="2" t="str">
        <v>Q2050</v>
      </c>
      <c r="B1644" s="2" t="str">
        <v>KH092</v>
      </c>
      <c r="C1644" s="2" t="str">
        <v>KH092</v>
      </c>
      <c r="D1644" s="2" t="str">
        <v>S2-02049-BH</v>
      </c>
      <c r="E1644" s="2" t="str">
        <v>BAN_HANG</v>
      </c>
      <c r="F1644" s="2" t="str">
        <v>INP2103</v>
      </c>
      <c r="G1644" s="2" t="str">
        <v>2026-10-07</v>
      </c>
      <c r="H1644" s="2" t="str">
        <v>334000.0008</v>
      </c>
      <c r="I1644" s="28" t="n">
        <v>334000.0008</v>
      </c>
      <c r="J1644" s="7"/>
      <c r="K1644" s="28"/>
      <c r="L1644" s="2" t="str">
        <v>GIỮ PHIẾU BH ERP</v>
      </c>
      <c r="M1644" s="2" t="str">
        <v>BH2026100116</v>
      </c>
      <c r="N1644" s="2" t="str">
        <v>Đã có ERP</v>
      </c>
    </row>
    <row r="1645" ht="25" customHeight="1">
      <c r="A1645" s="2" t="str">
        <v>Q2051</v>
      </c>
      <c r="B1645" s="2" t="str">
        <v>KH055</v>
      </c>
      <c r="C1645" s="2" t="str">
        <v>KH055</v>
      </c>
      <c r="D1645" s="2" t="str">
        <v>S2-02051-BH</v>
      </c>
      <c r="E1645" s="2" t="str">
        <v>BAN_HANG</v>
      </c>
      <c r="F1645" s="2" t="str">
        <v>INP6403</v>
      </c>
      <c r="G1645" s="2" t="str">
        <v>2026-10-08</v>
      </c>
      <c r="H1645" s="2" t="str">
        <v>2399999.9976</v>
      </c>
      <c r="I1645" s="28" t="n">
        <v>2399999.9976</v>
      </c>
      <c r="J1645" s="7"/>
      <c r="K1645" s="28"/>
      <c r="L1645" s="2" t="str">
        <v>GIỮ PHIẾU BH ERP</v>
      </c>
      <c r="M1645" s="2" t="str">
        <v>BH2026100117</v>
      </c>
      <c r="N1645" s="2" t="str">
        <v>Đã có ERP</v>
      </c>
    </row>
    <row r="1646" ht="25" customHeight="1">
      <c r="A1646" s="2" t="str">
        <v>Q2058</v>
      </c>
      <c r="B1646" s="2" t="str">
        <v>KH053</v>
      </c>
      <c r="C1646" s="2" t="str">
        <v>KH053</v>
      </c>
      <c r="D1646" s="2" t="str">
        <v>S2-02058-BH</v>
      </c>
      <c r="E1646" s="2" t="str">
        <v>BAN_HANG</v>
      </c>
      <c r="F1646" s="2" t="str">
        <v>INP6003</v>
      </c>
      <c r="G1646" s="2" t="str">
        <v>2026-10-08</v>
      </c>
      <c r="H1646" s="2" t="str">
        <v>5880000.0168</v>
      </c>
      <c r="I1646" s="28" t="n">
        <v>5880000.0168</v>
      </c>
      <c r="J1646" s="7"/>
      <c r="K1646" s="28"/>
      <c r="L1646" s="2" t="str">
        <v>GIỮ PHIẾU BH ERP</v>
      </c>
      <c r="M1646" s="2" t="str">
        <v>BH2026100120</v>
      </c>
      <c r="N1646" s="2" t="str">
        <v>Đã có ERP</v>
      </c>
    </row>
    <row r="1647" ht="25" customHeight="1">
      <c r="A1647" s="2" t="str">
        <v>Q2059</v>
      </c>
      <c r="B1647" s="2" t="str">
        <v>KH070</v>
      </c>
      <c r="C1647" s="2" t="str">
        <v>KH070</v>
      </c>
      <c r="D1647" s="2" t="str">
        <v>S2-02059-BH</v>
      </c>
      <c r="E1647" s="2" t="str">
        <v>BAN_HANG</v>
      </c>
      <c r="F1647" s="2" t="str">
        <v>INP1501</v>
      </c>
      <c r="G1647" s="2" t="str">
        <v>2026-10-08</v>
      </c>
      <c r="H1647" s="2" t="str">
        <v>16800000.048</v>
      </c>
      <c r="I1647" s="28" t="n">
        <v>16800000.048</v>
      </c>
      <c r="J1647" s="7"/>
      <c r="K1647" s="28"/>
      <c r="L1647" s="2" t="str">
        <v>GIỮ PHIẾU BH ERP</v>
      </c>
      <c r="M1647" s="2" t="str">
        <v>BH2026100121</v>
      </c>
      <c r="N1647" s="2" t="str">
        <v>Đã có ERP</v>
      </c>
    </row>
    <row r="1648" ht="25" customHeight="1">
      <c r="A1648" s="2" t="str">
        <v>Q2060</v>
      </c>
      <c r="B1648" s="2" t="str">
        <v>KH070</v>
      </c>
      <c r="C1648" s="2" t="str">
        <v>KH070</v>
      </c>
      <c r="D1648" s="2" t="str">
        <v>S2-02059-BH</v>
      </c>
      <c r="E1648" s="2" t="str">
        <v>BAN_HANG</v>
      </c>
      <c r="F1648" s="2" t="str">
        <v>INP1502</v>
      </c>
      <c r="G1648" s="2" t="str">
        <v>2026-10-08</v>
      </c>
      <c r="H1648" s="2" t="str">
        <v>18000000.144</v>
      </c>
      <c r="I1648" s="28" t="n">
        <v>18000000.144</v>
      </c>
      <c r="J1648" s="7"/>
      <c r="K1648" s="28"/>
      <c r="L1648" s="2" t="str">
        <v>GIỮ PHIẾU BH ERP</v>
      </c>
      <c r="M1648" s="2" t="str">
        <v>BH2026100121</v>
      </c>
      <c r="N1648" s="2" t="str">
        <v>Đã có ERP</v>
      </c>
    </row>
    <row r="1649" ht="25" customHeight="1">
      <c r="A1649" s="2" t="str">
        <v>Q2061</v>
      </c>
      <c r="B1649" s="2" t="str">
        <v>KH070</v>
      </c>
      <c r="C1649" s="2" t="str">
        <v>KH070</v>
      </c>
      <c r="D1649" s="2" t="str">
        <v>S2-02059-BH</v>
      </c>
      <c r="E1649" s="2" t="str">
        <v>BAN_HANG</v>
      </c>
      <c r="F1649" s="2" t="str">
        <v>INP1503</v>
      </c>
      <c r="G1649" s="2" t="str">
        <v>2026-10-08</v>
      </c>
      <c r="H1649" s="2" t="str">
        <v>19200000.24</v>
      </c>
      <c r="I1649" s="28" t="n">
        <v>19200000.24</v>
      </c>
      <c r="J1649" s="7"/>
      <c r="K1649" s="28"/>
      <c r="L1649" s="2" t="str">
        <v>GIỮ PHIẾU BH ERP</v>
      </c>
      <c r="M1649" s="2" t="str">
        <v>BH2026100121</v>
      </c>
      <c r="N1649" s="2" t="str">
        <v>Đã có ERP</v>
      </c>
    </row>
    <row r="1650" ht="25" customHeight="1">
      <c r="A1650" s="2" t="str">
        <v>Q2062</v>
      </c>
      <c r="B1650" s="2" t="str">
        <v>KH042</v>
      </c>
      <c r="C1650" s="2" t="str">
        <v>KH042</v>
      </c>
      <c r="D1650" s="2" t="str">
        <v>S2-02062-TH</v>
      </c>
      <c r="E1650" s="2" t="str">
        <v>TRA_HANG</v>
      </c>
      <c r="F1650" s="2" t="str">
        <v>INP6601</v>
      </c>
      <c r="G1650" s="2" t="str">
        <v>2026-10-09</v>
      </c>
      <c r="H1650" s="2" t="str">
        <v>5200000.2</v>
      </c>
      <c r="I1650" s="28" t="n">
        <v>5200000.2</v>
      </c>
      <c r="J1650" s="7" t="n">
        <v>5200000</v>
      </c>
      <c r="K1650" s="28" t="n">
        <f>J1650-I1650</f>
        <v>-0.20000000018626451</v>
      </c>
      <c r="L1650" s="2" t="str">
        <v>NHẬP</v>
      </c>
      <c r="M1650" s="2" t="str"/>
      <c r="N1650" s="2" t="str">
        <v>KHAC</v>
      </c>
    </row>
    <row r="1651" ht="25" customHeight="1">
      <c r="A1651" s="2" t="str">
        <v>R2069</v>
      </c>
      <c r="B1651" s="2" t="str">
        <v>KH094</v>
      </c>
      <c r="C1651" s="2" t="str">
        <v>KH094</v>
      </c>
      <c r="D1651" s="2" t="str">
        <v>S2-02069-TT</v>
      </c>
      <c r="E1651" s="2" t="str">
        <v>THU_TIEN</v>
      </c>
      <c r="F1651" s="2" t="str"/>
      <c r="G1651" s="2" t="str">
        <v>2026-10-09</v>
      </c>
      <c r="H1651" s="2" t="str">
        <v>2827000</v>
      </c>
      <c r="I1651" s="28" t="n">
        <v>2827000</v>
      </c>
      <c r="J1651" s="7" t="n">
        <v>2827000</v>
      </c>
      <c r="K1651" s="28" t="n">
        <f>J1651-I1651</f>
        <v>0</v>
      </c>
      <c r="L1651" s="2" t="str">
        <v>NHẬP</v>
      </c>
      <c r="M1651" s="2" t="str"/>
      <c r="N1651" s="2" t="str">
        <v>KHAC</v>
      </c>
    </row>
    <row r="1652" ht="25" customHeight="1">
      <c r="A1652" s="2" t="str">
        <v>R2070</v>
      </c>
      <c r="B1652" s="2" t="str">
        <v>KH004</v>
      </c>
      <c r="C1652" s="2" t="str">
        <v>KH004</v>
      </c>
      <c r="D1652" s="2" t="str">
        <v>S2-02070-TT</v>
      </c>
      <c r="E1652" s="2" t="str">
        <v>THU_TIEN</v>
      </c>
      <c r="F1652" s="2" t="str"/>
      <c r="G1652" s="2" t="str">
        <v>2026-10-09</v>
      </c>
      <c r="H1652" s="2" t="str">
        <v>4706000</v>
      </c>
      <c r="I1652" s="28" t="n">
        <v>4706000</v>
      </c>
      <c r="J1652" s="7" t="n">
        <v>4706000</v>
      </c>
      <c r="K1652" s="28" t="n">
        <f>J1652-I1652</f>
        <v>0</v>
      </c>
      <c r="L1652" s="2" t="str">
        <v>NHẬP</v>
      </c>
      <c r="M1652" s="2" t="str"/>
      <c r="N1652" s="2" t="str">
        <v>KHAC</v>
      </c>
    </row>
    <row r="1653" ht="25" customHeight="1">
      <c r="A1653" s="2" t="str">
        <v>R2071</v>
      </c>
      <c r="B1653" s="2" t="str">
        <v>KH056</v>
      </c>
      <c r="C1653" s="2" t="str">
        <v>KH056</v>
      </c>
      <c r="D1653" s="2" t="str">
        <v>S2-02071-TT</v>
      </c>
      <c r="E1653" s="2" t="str">
        <v>THU_TIEN</v>
      </c>
      <c r="F1653" s="2" t="str"/>
      <c r="G1653" s="2" t="str">
        <v>2026-10-09</v>
      </c>
      <c r="H1653" s="2" t="str">
        <v>2500000</v>
      </c>
      <c r="I1653" s="28" t="n">
        <v>2500000</v>
      </c>
      <c r="J1653" s="7"/>
      <c r="K1653" s="28"/>
      <c r="L1653" s="2" t="str">
        <v>GIỮ PHIẾU THU ERP</v>
      </c>
      <c r="M1653" s="2" t="str">
        <v>PAY2610-00001</v>
      </c>
      <c r="N1653" s="2" t="str">
        <v>Đã có ERP</v>
      </c>
    </row>
    <row r="1654" ht="25" customHeight="1">
      <c r="A1654" s="2" t="str">
        <v>R2072</v>
      </c>
      <c r="B1654" s="2" t="str">
        <v>KH034</v>
      </c>
      <c r="C1654" s="2" t="str">
        <v>KH034</v>
      </c>
      <c r="D1654" s="2" t="str">
        <v>S2-02072-TT</v>
      </c>
      <c r="E1654" s="2" t="str">
        <v>THU_TIEN</v>
      </c>
      <c r="F1654" s="2" t="str"/>
      <c r="G1654" s="2" t="str">
        <v>2026-10-09</v>
      </c>
      <c r="H1654" s="2" t="str">
        <v>100000000</v>
      </c>
      <c r="I1654" s="28" t="n">
        <v>100000000</v>
      </c>
      <c r="J1654" s="7" t="n">
        <v>100000000</v>
      </c>
      <c r="K1654" s="28" t="n">
        <f>J1654-I1654</f>
        <v>0</v>
      </c>
      <c r="L1654" s="2" t="str">
        <v>NHẬP</v>
      </c>
      <c r="M1654" s="2" t="str"/>
      <c r="N1654" s="2" t="str">
        <v>KHAC</v>
      </c>
    </row>
    <row r="1655" ht="25" customHeight="1">
      <c r="A1655" s="2" t="str">
        <v>R2073</v>
      </c>
      <c r="B1655" s="2" t="str">
        <v>KH042</v>
      </c>
      <c r="C1655" s="2" t="str">
        <v>KH042</v>
      </c>
      <c r="D1655" s="2" t="str">
        <v>S2-02073-TT</v>
      </c>
      <c r="E1655" s="2" t="str">
        <v>THU_TIEN</v>
      </c>
      <c r="F1655" s="2" t="str"/>
      <c r="G1655" s="2" t="str">
        <v>2026-10-09</v>
      </c>
      <c r="H1655" s="2" t="str">
        <v>60000000</v>
      </c>
      <c r="I1655" s="28" t="n">
        <v>60000000</v>
      </c>
      <c r="J1655" s="7" t="n">
        <v>60000000</v>
      </c>
      <c r="K1655" s="28" t="n">
        <f>J1655-I1655</f>
        <v>0</v>
      </c>
      <c r="L1655" s="2" t="str">
        <v>NHẬP</v>
      </c>
      <c r="M1655" s="2" t="str"/>
      <c r="N1655" s="2" t="str">
        <v>KHAC</v>
      </c>
    </row>
    <row r="1656" ht="25" customHeight="1">
      <c r="A1656" s="2" t="str">
        <v>Q2074</v>
      </c>
      <c r="B1656" s="2" t="str">
        <v>KH021</v>
      </c>
      <c r="C1656" s="2" t="str">
        <v>KH021</v>
      </c>
      <c r="D1656" s="2" t="str">
        <v>S2-02074-BH</v>
      </c>
      <c r="E1656" s="2" t="str">
        <v>BAN_HANG</v>
      </c>
      <c r="F1656" s="2" t="str">
        <v>INP1501</v>
      </c>
      <c r="G1656" s="2" t="str">
        <v>2026-10-09</v>
      </c>
      <c r="H1656" s="2" t="str">
        <v>1680000.0048</v>
      </c>
      <c r="I1656" s="28" t="n">
        <v>1680000.0048</v>
      </c>
      <c r="J1656" s="7"/>
      <c r="K1656" s="28"/>
      <c r="L1656" s="2" t="str">
        <v>GIỮ PHIẾU BH ERP</v>
      </c>
      <c r="M1656" s="2" t="str">
        <v>BH2026100123</v>
      </c>
      <c r="N1656" s="2" t="str">
        <v>Đã có ERP</v>
      </c>
    </row>
    <row r="1657" ht="25" customHeight="1">
      <c r="A1657" s="2" t="str">
        <v>Q2075</v>
      </c>
      <c r="B1657" s="2" t="str">
        <v>KH021</v>
      </c>
      <c r="C1657" s="2" t="str">
        <v>KH021</v>
      </c>
      <c r="D1657" s="2" t="str">
        <v>S2-02074-BH</v>
      </c>
      <c r="E1657" s="2" t="str">
        <v>BAN_HANG</v>
      </c>
      <c r="F1657" s="2" t="str">
        <v>INP1502</v>
      </c>
      <c r="G1657" s="2" t="str">
        <v>2026-10-09</v>
      </c>
      <c r="H1657" s="2" t="str">
        <v>1800000.0144</v>
      </c>
      <c r="I1657" s="28" t="n">
        <v>1800000.0144</v>
      </c>
      <c r="J1657" s="7"/>
      <c r="K1657" s="28"/>
      <c r="L1657" s="2" t="str">
        <v>GIỮ PHIẾU BH ERP</v>
      </c>
      <c r="M1657" s="2" t="str">
        <v>BH2026100123</v>
      </c>
      <c r="N1657" s="2" t="str">
        <v>Đã có ERP</v>
      </c>
    </row>
    <row r="1658" ht="25" customHeight="1">
      <c r="A1658" s="2" t="str">
        <v>Q2076</v>
      </c>
      <c r="B1658" s="2" t="str">
        <v>KH021</v>
      </c>
      <c r="C1658" s="2" t="str">
        <v>KH021</v>
      </c>
      <c r="D1658" s="2" t="str">
        <v>S2-02074-BH</v>
      </c>
      <c r="E1658" s="2" t="str">
        <v>BAN_HANG</v>
      </c>
      <c r="F1658" s="2" t="str">
        <v>INP1503</v>
      </c>
      <c r="G1658" s="2" t="str">
        <v>2026-10-09</v>
      </c>
      <c r="H1658" s="2" t="str">
        <v>1920000.024</v>
      </c>
      <c r="I1658" s="28" t="n">
        <v>1920000.024</v>
      </c>
      <c r="J1658" s="7"/>
      <c r="K1658" s="28"/>
      <c r="L1658" s="2" t="str">
        <v>GIỮ PHIẾU BH ERP</v>
      </c>
      <c r="M1658" s="2" t="str">
        <v>BH2026100123</v>
      </c>
      <c r="N1658" s="2" t="str">
        <v>Đã có ERP</v>
      </c>
    </row>
    <row r="1659" ht="25" customHeight="1">
      <c r="A1659" s="2" t="str">
        <v>R2077</v>
      </c>
      <c r="B1659" s="2" t="str">
        <v>KH021</v>
      </c>
      <c r="C1659" s="2" t="str">
        <v>KH021</v>
      </c>
      <c r="D1659" s="2" t="str">
        <v>S2-02077-TT</v>
      </c>
      <c r="E1659" s="2" t="str">
        <v>THU_TIEN</v>
      </c>
      <c r="F1659" s="2" t="str"/>
      <c r="G1659" s="2" t="str">
        <v>2026-10-09</v>
      </c>
      <c r="H1659" s="2" t="str">
        <v>5400000</v>
      </c>
      <c r="I1659" s="28" t="n">
        <v>5400000</v>
      </c>
      <c r="J1659" s="7" t="n">
        <v>5400000</v>
      </c>
      <c r="K1659" s="28" t="n">
        <f>J1659-I1659</f>
        <v>0</v>
      </c>
      <c r="L1659" s="2" t="str">
        <v>NHẬP</v>
      </c>
      <c r="M1659" s="2" t="str"/>
      <c r="N1659" s="2" t="str">
        <v>KHAC</v>
      </c>
    </row>
    <row r="1660" ht="25" customHeight="1">
      <c r="A1660" s="2" t="str">
        <v>Q2079</v>
      </c>
      <c r="B1660" s="2" t="str">
        <v>KH096</v>
      </c>
      <c r="C1660" s="2" t="str">
        <v>(trống)</v>
      </c>
      <c r="D1660" s="2" t="str">
        <v>S2-02079-BH</v>
      </c>
      <c r="E1660" s="2" t="str">
        <v>BAN_HANG</v>
      </c>
      <c r="F1660" s="2" t="str">
        <v>INP6153</v>
      </c>
      <c r="G1660" s="2" t="str">
        <v>2026-10-09</v>
      </c>
      <c r="H1660" s="2" t="str">
        <v>600000.0048</v>
      </c>
      <c r="I1660" s="28" t="n">
        <v>600000.0048</v>
      </c>
      <c r="J1660" s="7"/>
      <c r="K1660" s="28"/>
      <c r="L1660" s="2" t="str">
        <v>GIỮ PHIẾU BH ERP</v>
      </c>
      <c r="M1660" s="2" t="str">
        <v>BH2026100127</v>
      </c>
      <c r="N1660" s="2" t="str">
        <v>Đã có ERP</v>
      </c>
    </row>
    <row r="1661" ht="25" customHeight="1">
      <c r="A1661" s="2" t="str">
        <v>Q2080</v>
      </c>
      <c r="B1661" s="2" t="str">
        <v>KH096</v>
      </c>
      <c r="C1661" s="2" t="str">
        <v>(trống)</v>
      </c>
      <c r="D1661" s="2" t="str">
        <v>S2-02079-BH</v>
      </c>
      <c r="E1661" s="2" t="str">
        <v>BAN_HANG</v>
      </c>
      <c r="F1661" s="2" t="str">
        <v>INP2106</v>
      </c>
      <c r="G1661" s="2" t="str">
        <v>2026-10-09</v>
      </c>
      <c r="H1661" s="2" t="str">
        <v>280000.0008</v>
      </c>
      <c r="I1661" s="28" t="n">
        <v>280000.0008</v>
      </c>
      <c r="J1661" s="7"/>
      <c r="K1661" s="28"/>
      <c r="L1661" s="2" t="str">
        <v>GIỮ PHIẾU BH ERP</v>
      </c>
      <c r="M1661" s="2" t="str">
        <v>BH2026100127</v>
      </c>
      <c r="N1661" s="2" t="str">
        <v>Đã có ERP</v>
      </c>
    </row>
    <row r="1662" ht="25" customHeight="1">
      <c r="A1662" s="2" t="str">
        <v>Q2091</v>
      </c>
      <c r="B1662" s="2" t="str">
        <v>KH091</v>
      </c>
      <c r="C1662" s="2" t="str">
        <v>KH091</v>
      </c>
      <c r="D1662" s="2" t="str">
        <v>S2-02091-BH</v>
      </c>
      <c r="E1662" s="2" t="str">
        <v>BAN_HANG</v>
      </c>
      <c r="F1662" s="2" t="str">
        <v>INP1401</v>
      </c>
      <c r="G1662" s="2" t="str">
        <v>2026-10-12</v>
      </c>
      <c r="H1662" s="2" t="str">
        <v>5339999.9736</v>
      </c>
      <c r="I1662" s="28" t="n">
        <v>5339999.9736</v>
      </c>
      <c r="J1662" s="7"/>
      <c r="K1662" s="28"/>
      <c r="L1662" s="2" t="str">
        <v>GIỮ PHIẾU BH ERP</v>
      </c>
      <c r="M1662" s="2" t="str">
        <v>BH2026100126</v>
      </c>
      <c r="N1662" s="2" t="str">
        <v>Đã có ERP</v>
      </c>
    </row>
    <row r="1663" ht="25" customHeight="1">
      <c r="A1663" s="2" t="str">
        <v>Q2092</v>
      </c>
      <c r="B1663" s="2" t="str">
        <v>KH091</v>
      </c>
      <c r="C1663" s="2" t="str">
        <v>KH091</v>
      </c>
      <c r="D1663" s="2" t="str">
        <v>S2-02091-BH</v>
      </c>
      <c r="E1663" s="2" t="str">
        <v>BAN_HANG</v>
      </c>
      <c r="F1663" s="2" t="str">
        <v>INP1402</v>
      </c>
      <c r="G1663" s="2" t="str">
        <v>2026-10-12</v>
      </c>
      <c r="H1663" s="2" t="str">
        <v>6077999.9808</v>
      </c>
      <c r="I1663" s="28" t="n">
        <v>6077999.9808</v>
      </c>
      <c r="J1663" s="7"/>
      <c r="K1663" s="28"/>
      <c r="L1663" s="2" t="str">
        <v>GIỮ PHIẾU BH ERP</v>
      </c>
      <c r="M1663" s="2" t="str">
        <v>BH2026100126</v>
      </c>
      <c r="N1663" s="2" t="str">
        <v>Đã có ERP</v>
      </c>
    </row>
    <row r="1664" ht="25" customHeight="1">
      <c r="A1664" s="2" t="str">
        <v>Q2093</v>
      </c>
      <c r="B1664" s="2" t="str">
        <v>KH091</v>
      </c>
      <c r="C1664" s="2" t="str">
        <v>KH091</v>
      </c>
      <c r="D1664" s="2" t="str">
        <v>S2-02091-BH</v>
      </c>
      <c r="E1664" s="2" t="str">
        <v>BAN_HANG</v>
      </c>
      <c r="F1664" s="2" t="str">
        <v>INP2002</v>
      </c>
      <c r="G1664" s="2" t="str">
        <v>2026-10-12</v>
      </c>
      <c r="H1664" s="2" t="str">
        <v>13799999.97</v>
      </c>
      <c r="I1664" s="28" t="n">
        <v>13799999.97</v>
      </c>
      <c r="J1664" s="7"/>
      <c r="K1664" s="28"/>
      <c r="L1664" s="2" t="str">
        <v>GIỮ PHIẾU BH ERP</v>
      </c>
      <c r="M1664" s="2" t="str">
        <v>BH2026100126</v>
      </c>
      <c r="N1664" s="2" t="str">
        <v>Đã có ERP</v>
      </c>
    </row>
    <row r="1665" ht="25" customHeight="1">
      <c r="A1665" s="2" t="str">
        <v>Q2094</v>
      </c>
      <c r="B1665" s="2" t="str">
        <v>KH091</v>
      </c>
      <c r="C1665" s="2" t="str">
        <v>KH091</v>
      </c>
      <c r="D1665" s="2" t="str">
        <v>S2-02091-BH</v>
      </c>
      <c r="E1665" s="2" t="str">
        <v>BAN_HANG</v>
      </c>
      <c r="F1665" s="2" t="str">
        <v>INP2003</v>
      </c>
      <c r="G1665" s="2" t="str">
        <v>2026-10-12</v>
      </c>
      <c r="H1665" s="2" t="str">
        <v>2560000.0104</v>
      </c>
      <c r="I1665" s="28" t="n">
        <v>2560000.0104</v>
      </c>
      <c r="J1665" s="7"/>
      <c r="K1665" s="28"/>
      <c r="L1665" s="2" t="str">
        <v>GIỮ PHIẾU BH ERP</v>
      </c>
      <c r="M1665" s="2" t="str">
        <v>BH2026100126</v>
      </c>
      <c r="N1665" s="2" t="str">
        <v>Đã có ERP</v>
      </c>
    </row>
    <row r="1666" ht="25" customHeight="1">
      <c r="A1666" s="2" t="str">
        <v>Q2095</v>
      </c>
      <c r="B1666" s="2" t="str">
        <v>KH091</v>
      </c>
      <c r="C1666" s="2" t="str">
        <v>KH091</v>
      </c>
      <c r="D1666" s="2" t="str">
        <v>S2-02091-BH</v>
      </c>
      <c r="E1666" s="2" t="str">
        <v>BAN_HANG</v>
      </c>
      <c r="F1666" s="2" t="str">
        <v>INP6152</v>
      </c>
      <c r="G1666" s="2" t="str">
        <v>2026-10-12</v>
      </c>
      <c r="H1666" s="2" t="str">
        <v>9720000</v>
      </c>
      <c r="I1666" s="28" t="n">
        <v>9720000</v>
      </c>
      <c r="J1666" s="7"/>
      <c r="K1666" s="28"/>
      <c r="L1666" s="2" t="str">
        <v>GIỮ PHIẾU BH ERP</v>
      </c>
      <c r="M1666" s="2" t="str">
        <v>BH2026100126</v>
      </c>
      <c r="N1666" s="2" t="str">
        <v>Đã có ERP</v>
      </c>
    </row>
    <row r="1667" ht="25" customHeight="1">
      <c r="A1667" s="2" t="str">
        <v>Q2096</v>
      </c>
      <c r="B1667" s="2" t="str">
        <v>KH091</v>
      </c>
      <c r="C1667" s="2" t="str">
        <v>KH091</v>
      </c>
      <c r="D1667" s="2" t="str">
        <v>S2-02091-BH</v>
      </c>
      <c r="E1667" s="2" t="str">
        <v>BAN_HANG</v>
      </c>
      <c r="F1667" s="2" t="str">
        <v>INP6154</v>
      </c>
      <c r="G1667" s="2" t="str">
        <v>2026-10-12</v>
      </c>
      <c r="H1667" s="2" t="str">
        <v>10979999.9064</v>
      </c>
      <c r="I1667" s="28" t="n">
        <v>10979999.9064</v>
      </c>
      <c r="J1667" s="7"/>
      <c r="K1667" s="28"/>
      <c r="L1667" s="2" t="str">
        <v>GIỮ PHIẾU BH ERP</v>
      </c>
      <c r="M1667" s="2" t="str">
        <v>BH2026100126</v>
      </c>
      <c r="N1667" s="2" t="str">
        <v>Đã có ERP</v>
      </c>
    </row>
    <row r="1668" ht="25" customHeight="1">
      <c r="A1668" s="2" t="str">
        <v>Q2097</v>
      </c>
      <c r="B1668" s="2" t="str">
        <v>KH091</v>
      </c>
      <c r="C1668" s="2" t="str">
        <v>KH091</v>
      </c>
      <c r="D1668" s="2" t="str">
        <v>S2-02091-BH</v>
      </c>
      <c r="E1668" s="2" t="str">
        <v>BAN_HANG</v>
      </c>
      <c r="F1668" s="2" t="str">
        <v>INP6207</v>
      </c>
      <c r="G1668" s="2" t="str">
        <v>2026-10-12</v>
      </c>
      <c r="H1668" s="2" t="str">
        <v>2639999.952</v>
      </c>
      <c r="I1668" s="28" t="n">
        <v>2639999.952</v>
      </c>
      <c r="J1668" s="7"/>
      <c r="K1668" s="28"/>
      <c r="L1668" s="2" t="str">
        <v>GIỮ PHIẾU BH ERP</v>
      </c>
      <c r="M1668" s="2" t="str">
        <v>BH2026100126</v>
      </c>
      <c r="N1668" s="2" t="str">
        <v>Đã có ERP</v>
      </c>
    </row>
    <row r="1669" ht="25" customHeight="1">
      <c r="A1669" s="2" t="str">
        <v>Q2098</v>
      </c>
      <c r="B1669" s="2" t="str">
        <v>KH091</v>
      </c>
      <c r="C1669" s="2" t="str">
        <v>KH091</v>
      </c>
      <c r="D1669" s="2" t="str">
        <v>S2-02091-BH</v>
      </c>
      <c r="E1669" s="2" t="str">
        <v>BAN_HANG</v>
      </c>
      <c r="F1669" s="2" t="str">
        <v>INP6208</v>
      </c>
      <c r="G1669" s="2" t="str">
        <v>2026-10-12</v>
      </c>
      <c r="H1669" s="2" t="str">
        <v>2639999.952</v>
      </c>
      <c r="I1669" s="28" t="n">
        <v>2639999.952</v>
      </c>
      <c r="J1669" s="7"/>
      <c r="K1669" s="28"/>
      <c r="L1669" s="2" t="str">
        <v>GIỮ PHIẾU BH ERP</v>
      </c>
      <c r="M1669" s="2" t="str">
        <v>BH2026100126</v>
      </c>
      <c r="N1669" s="2" t="str">
        <v>Đã có ERP</v>
      </c>
    </row>
    <row r="1670" ht="25" customHeight="1">
      <c r="A1670" s="2" t="str">
        <v>Q2099</v>
      </c>
      <c r="B1670" s="2" t="str">
        <v>KH091</v>
      </c>
      <c r="C1670" s="2" t="str">
        <v>KH091</v>
      </c>
      <c r="D1670" s="2" t="str">
        <v>S2-02091-BH</v>
      </c>
      <c r="E1670" s="2" t="str">
        <v>BAN_HANG</v>
      </c>
      <c r="F1670" s="2" t="str">
        <v>INP6209B</v>
      </c>
      <c r="G1670" s="2" t="str">
        <v>2026-10-12</v>
      </c>
      <c r="H1670" s="2" t="str">
        <v>2759999.9616</v>
      </c>
      <c r="I1670" s="28" t="n">
        <v>2759999.9616</v>
      </c>
      <c r="J1670" s="7"/>
      <c r="K1670" s="28"/>
      <c r="L1670" s="2" t="str">
        <v>GIỮ PHIẾU BH ERP</v>
      </c>
      <c r="M1670" s="2" t="str">
        <v>BH2026100126</v>
      </c>
      <c r="N1670" s="2" t="str">
        <v>Đã có ERP</v>
      </c>
    </row>
    <row r="1671" ht="25" customHeight="1">
      <c r="A1671" s="2" t="str">
        <v>Q2104</v>
      </c>
      <c r="B1671" s="2" t="str">
        <v>KH058</v>
      </c>
      <c r="C1671" s="2" t="str">
        <v>KH058</v>
      </c>
      <c r="D1671" s="2" t="str">
        <v>S2-02104-BH</v>
      </c>
      <c r="E1671" s="2" t="str">
        <v>BAN_HANG</v>
      </c>
      <c r="F1671" s="2" t="str">
        <v>INP1003</v>
      </c>
      <c r="G1671" s="2" t="str">
        <v>2026-10-09</v>
      </c>
      <c r="H1671" s="2" t="str">
        <v>35999999.64</v>
      </c>
      <c r="I1671" s="28" t="n">
        <v>35999999.64</v>
      </c>
      <c r="J1671" s="7"/>
      <c r="K1671" s="28"/>
      <c r="L1671" s="2" t="str">
        <v>GIỮ PHIẾU BH ERP</v>
      </c>
      <c r="M1671" s="2" t="str">
        <v>BH2026100122</v>
      </c>
      <c r="N1671" s="2" t="str">
        <v>Đã có ERP</v>
      </c>
    </row>
    <row r="1672" ht="25" customHeight="1">
      <c r="A1672" s="2" t="str">
        <v>Q2105</v>
      </c>
      <c r="B1672" s="2" t="str">
        <v>KH058</v>
      </c>
      <c r="C1672" s="2" t="str">
        <v>KH058</v>
      </c>
      <c r="D1672" s="2" t="str">
        <v>S2-02104-BH</v>
      </c>
      <c r="E1672" s="2" t="str">
        <v>BAN_HANG</v>
      </c>
      <c r="F1672" s="2" t="str">
        <v>INP6402</v>
      </c>
      <c r="G1672" s="2" t="str">
        <v>2026-10-09</v>
      </c>
      <c r="H1672" s="2" t="str">
        <v>619999.9956</v>
      </c>
      <c r="I1672" s="28" t="n">
        <v>619999.9956</v>
      </c>
      <c r="J1672" s="7"/>
      <c r="K1672" s="28"/>
      <c r="L1672" s="2" t="str">
        <v>GIỮ PHIẾU BH ERP</v>
      </c>
      <c r="M1672" s="2" t="str">
        <v>BH2026100122</v>
      </c>
      <c r="N1672" s="2" t="str">
        <v>Đã có ERP</v>
      </c>
    </row>
    <row r="1673" ht="25" customHeight="1">
      <c r="A1673" s="2" t="str">
        <v>Q2106</v>
      </c>
      <c r="B1673" s="2" t="str">
        <v>KH058</v>
      </c>
      <c r="C1673" s="2" t="str">
        <v>KH058</v>
      </c>
      <c r="D1673" s="2" t="str">
        <v>S2-02104-BH</v>
      </c>
      <c r="E1673" s="2" t="str">
        <v>BAN_HANG</v>
      </c>
      <c r="F1673" s="2" t="str">
        <v>INP2101</v>
      </c>
      <c r="G1673" s="2" t="str">
        <v>2026-10-09</v>
      </c>
      <c r="H1673" s="2" t="str">
        <v>7590000.024</v>
      </c>
      <c r="I1673" s="28" t="n">
        <v>7590000.024</v>
      </c>
      <c r="J1673" s="7"/>
      <c r="K1673" s="28"/>
      <c r="L1673" s="2" t="str">
        <v>GIỮ PHIẾU BH ERP</v>
      </c>
      <c r="M1673" s="2" t="str">
        <v>BH2026100122</v>
      </c>
      <c r="N1673" s="2" t="str">
        <v>Đã có ERP</v>
      </c>
    </row>
    <row r="1674" ht="25" customHeight="1">
      <c r="A1674" s="2" t="str">
        <v>Q2107</v>
      </c>
      <c r="B1674" s="2" t="str">
        <v>KH058</v>
      </c>
      <c r="C1674" s="2" t="str">
        <v>KH058</v>
      </c>
      <c r="D1674" s="2" t="str">
        <v>S2-02104-BH</v>
      </c>
      <c r="E1674" s="2" t="str">
        <v>BAN_HANG</v>
      </c>
      <c r="F1674" s="2" t="str">
        <v>INP2102</v>
      </c>
      <c r="G1674" s="2" t="str">
        <v>2026-10-09</v>
      </c>
      <c r="H1674" s="2" t="str">
        <v>8309999.952</v>
      </c>
      <c r="I1674" s="28" t="n">
        <v>8309999.952</v>
      </c>
      <c r="J1674" s="7"/>
      <c r="K1674" s="28"/>
      <c r="L1674" s="2" t="str">
        <v>GIỮ PHIẾU BH ERP</v>
      </c>
      <c r="M1674" s="2" t="str">
        <v>BH2026100122</v>
      </c>
      <c r="N1674" s="2" t="str">
        <v>Đã có ERP</v>
      </c>
    </row>
    <row r="1675" ht="25" customHeight="1">
      <c r="A1675" s="2" t="str">
        <v>Q2108</v>
      </c>
      <c r="B1675" s="2" t="str">
        <v>KH058</v>
      </c>
      <c r="C1675" s="2" t="str">
        <v>KH058</v>
      </c>
      <c r="D1675" s="2" t="str">
        <v>S2-02104-BH</v>
      </c>
      <c r="E1675" s="2" t="str">
        <v>BAN_HANG</v>
      </c>
      <c r="F1675" s="2" t="str">
        <v>INP2104</v>
      </c>
      <c r="G1675" s="2" t="str">
        <v>2026-10-09</v>
      </c>
      <c r="H1675" s="2" t="str">
        <v>9660000.06</v>
      </c>
      <c r="I1675" s="28" t="n">
        <v>9660000.06</v>
      </c>
      <c r="J1675" s="7"/>
      <c r="K1675" s="28"/>
      <c r="L1675" s="2" t="str">
        <v>GIỮ PHIẾU BH ERP</v>
      </c>
      <c r="M1675" s="2" t="str">
        <v>BH2026100122</v>
      </c>
      <c r="N1675" s="2" t="str">
        <v>Đã có ERP</v>
      </c>
    </row>
    <row r="1676" ht="25" customHeight="1">
      <c r="A1676" s="2" t="str">
        <v>R2111</v>
      </c>
      <c r="B1676" s="2" t="str">
        <v>KH070</v>
      </c>
      <c r="C1676" s="2" t="str">
        <v>KH070</v>
      </c>
      <c r="D1676" s="2" t="str">
        <v>S2-02111-TT</v>
      </c>
      <c r="E1676" s="2" t="str">
        <v>THU_TIEN</v>
      </c>
      <c r="F1676" s="2" t="str"/>
      <c r="G1676" s="2" t="str">
        <v>2026-10-13</v>
      </c>
      <c r="H1676" s="2" t="str">
        <v>54000001</v>
      </c>
      <c r="I1676" s="28" t="n">
        <v>54000001</v>
      </c>
      <c r="J1676" s="7" t="n">
        <v>54000001</v>
      </c>
      <c r="K1676" s="28" t="n">
        <f>J1676-I1676</f>
        <v>0</v>
      </c>
      <c r="L1676" s="2" t="str">
        <v>NHẬP</v>
      </c>
      <c r="M1676" s="2" t="str"/>
      <c r="N1676" s="2" t="str">
        <v>KHAC</v>
      </c>
    </row>
    <row r="1677" ht="25" customHeight="1">
      <c r="A1677" s="2" t="str">
        <v>R2112</v>
      </c>
      <c r="B1677" s="2" t="str">
        <v>KH071</v>
      </c>
      <c r="C1677" s="2" t="str">
        <v>KH071</v>
      </c>
      <c r="D1677" s="2" t="str">
        <v>S2-02112-TT</v>
      </c>
      <c r="E1677" s="2" t="str">
        <v>THU_TIEN</v>
      </c>
      <c r="F1677" s="2" t="str"/>
      <c r="G1677" s="2" t="str">
        <v>2026-10-14</v>
      </c>
      <c r="H1677" s="2" t="str">
        <v>41617997</v>
      </c>
      <c r="I1677" s="28" t="n">
        <v>41617997</v>
      </c>
      <c r="J1677" s="7" t="n">
        <v>41617997</v>
      </c>
      <c r="K1677" s="28" t="n">
        <f>J1677-I1677</f>
        <v>0</v>
      </c>
      <c r="L1677" s="2" t="str">
        <v>NHẬP</v>
      </c>
      <c r="M1677" s="2" t="str"/>
      <c r="N1677" s="2" t="str">
        <v>KHAC</v>
      </c>
    </row>
    <row r="1678" ht="25" customHeight="1">
      <c r="A1678" s="2" t="str">
        <v>Q2113</v>
      </c>
      <c r="B1678" s="2" t="str">
        <v>KH091</v>
      </c>
      <c r="C1678" s="2" t="str">
        <v>KH091</v>
      </c>
      <c r="D1678" s="2" t="str">
        <v>S2-02113-BH</v>
      </c>
      <c r="E1678" s="2" t="str">
        <v>BAN_HANG</v>
      </c>
      <c r="F1678" s="2" t="str">
        <v>INP6101</v>
      </c>
      <c r="G1678" s="2" t="str">
        <v>2026-10-13</v>
      </c>
      <c r="H1678" s="2" t="str">
        <v>7799999.976</v>
      </c>
      <c r="I1678" s="28" t="n">
        <v>7799999.976</v>
      </c>
      <c r="J1678" s="7"/>
      <c r="K1678" s="28"/>
      <c r="L1678" s="2" t="str">
        <v>GIỮ PHIẾU BH ERP</v>
      </c>
      <c r="M1678" s="2" t="str">
        <v>BH2026100129</v>
      </c>
      <c r="N1678" s="2" t="str">
        <v>Đã có ERP</v>
      </c>
    </row>
    <row r="1679" ht="25" customHeight="1">
      <c r="A1679" s="2" t="str">
        <v>Q2114</v>
      </c>
      <c r="B1679" s="2" t="str">
        <v>KH091</v>
      </c>
      <c r="C1679" s="2" t="str">
        <v>KH091</v>
      </c>
      <c r="D1679" s="2" t="str">
        <v>S2-02113-BH</v>
      </c>
      <c r="E1679" s="2" t="str">
        <v>BAN_HANG</v>
      </c>
      <c r="F1679" s="2" t="str">
        <v>INP6105</v>
      </c>
      <c r="G1679" s="2" t="str">
        <v>2026-10-13</v>
      </c>
      <c r="H1679" s="2" t="str">
        <v>8760000.0528</v>
      </c>
      <c r="I1679" s="28" t="n">
        <v>8760000.0528</v>
      </c>
      <c r="J1679" s="7"/>
      <c r="K1679" s="28"/>
      <c r="L1679" s="2" t="str">
        <v>GIỮ PHIẾU BH ERP</v>
      </c>
      <c r="M1679" s="2" t="str">
        <v>BH2026100129</v>
      </c>
      <c r="N1679" s="2" t="str">
        <v>Đã có ERP</v>
      </c>
    </row>
    <row r="1680" ht="25" customHeight="1">
      <c r="A1680" s="2" t="str">
        <v>Q2115</v>
      </c>
      <c r="B1680" s="2" t="str">
        <v>KH091</v>
      </c>
      <c r="C1680" s="2" t="str">
        <v>KH091</v>
      </c>
      <c r="D1680" s="2" t="str">
        <v>S2-02113-BH</v>
      </c>
      <c r="E1680" s="2" t="str">
        <v>BAN_HANG</v>
      </c>
      <c r="F1680" s="2" t="str">
        <v>INP6902</v>
      </c>
      <c r="G1680" s="2" t="str">
        <v>2026-10-13</v>
      </c>
      <c r="H1680" s="2" t="str">
        <v>10559999.9376</v>
      </c>
      <c r="I1680" s="28" t="n">
        <v>10559999.9376</v>
      </c>
      <c r="J1680" s="7"/>
      <c r="K1680" s="28"/>
      <c r="L1680" s="2" t="str">
        <v>GIỮ PHIẾU BH ERP</v>
      </c>
      <c r="M1680" s="2" t="str">
        <v>BH2026100129</v>
      </c>
      <c r="N1680" s="2" t="str">
        <v>Đã có ERP</v>
      </c>
    </row>
    <row r="1681" ht="25" customHeight="1">
      <c r="A1681" s="2" t="str">
        <v>Q2116</v>
      </c>
      <c r="B1681" s="2" t="str">
        <v>KH091</v>
      </c>
      <c r="C1681" s="2" t="str">
        <v>KH091</v>
      </c>
      <c r="D1681" s="2" t="str">
        <v>S2-02113-BH</v>
      </c>
      <c r="E1681" s="2" t="str">
        <v>BAN_HANG</v>
      </c>
      <c r="F1681" s="2" t="str">
        <v>INP6207</v>
      </c>
      <c r="G1681" s="2" t="str">
        <v>2026-10-13</v>
      </c>
      <c r="H1681" s="2" t="str">
        <v>5279999.904</v>
      </c>
      <c r="I1681" s="28" t="n">
        <v>5279999.904</v>
      </c>
      <c r="J1681" s="7"/>
      <c r="K1681" s="28"/>
      <c r="L1681" s="2" t="str">
        <v>GIỮ PHIẾU BH ERP</v>
      </c>
      <c r="M1681" s="2" t="str">
        <v>BH2026100129</v>
      </c>
      <c r="N1681" s="2" t="str">
        <v>Đã có ERP</v>
      </c>
    </row>
    <row r="1682" ht="25" customHeight="1">
      <c r="A1682" s="2" t="str">
        <v>Q2117</v>
      </c>
      <c r="B1682" s="2" t="str">
        <v>KH091</v>
      </c>
      <c r="C1682" s="2" t="str">
        <v>KH091</v>
      </c>
      <c r="D1682" s="2" t="str">
        <v>S2-02113-BH</v>
      </c>
      <c r="E1682" s="2" t="str">
        <v>BAN_HANG</v>
      </c>
      <c r="F1682" s="2" t="str">
        <v>INP6208</v>
      </c>
      <c r="G1682" s="2" t="str">
        <v>2026-10-13</v>
      </c>
      <c r="H1682" s="2" t="str">
        <v>5279999.904</v>
      </c>
      <c r="I1682" s="28" t="n">
        <v>5279999.904</v>
      </c>
      <c r="J1682" s="7"/>
      <c r="K1682" s="28"/>
      <c r="L1682" s="2" t="str">
        <v>GIỮ PHIẾU BH ERP</v>
      </c>
      <c r="M1682" s="2" t="str">
        <v>BH2026100129</v>
      </c>
      <c r="N1682" s="2" t="str">
        <v>Đã có ERP</v>
      </c>
    </row>
    <row r="1683" ht="25" customHeight="1">
      <c r="A1683" s="2" t="str">
        <v>Q2118</v>
      </c>
      <c r="B1683" s="2" t="str">
        <v>KH091</v>
      </c>
      <c r="C1683" s="2" t="str">
        <v>KH091</v>
      </c>
      <c r="D1683" s="2" t="str">
        <v>S2-02113-BH</v>
      </c>
      <c r="E1683" s="2" t="str">
        <v>BAN_HANG</v>
      </c>
      <c r="F1683" s="2" t="str">
        <v>INP6209B</v>
      </c>
      <c r="G1683" s="2" t="str">
        <v>2026-10-13</v>
      </c>
      <c r="H1683" s="2" t="str">
        <v>5519999.9232</v>
      </c>
      <c r="I1683" s="28" t="n">
        <v>5519999.9232</v>
      </c>
      <c r="J1683" s="7"/>
      <c r="K1683" s="28"/>
      <c r="L1683" s="2" t="str">
        <v>GIỮ PHIẾU BH ERP</v>
      </c>
      <c r="M1683" s="2" t="str">
        <v>BH2026100129</v>
      </c>
      <c r="N1683" s="2" t="str">
        <v>Đã có ERP</v>
      </c>
    </row>
    <row r="1684" ht="25" customHeight="1">
      <c r="A1684" s="2" t="str">
        <v>Q2119</v>
      </c>
      <c r="B1684" s="2" t="str">
        <v>KH091</v>
      </c>
      <c r="C1684" s="2" t="str">
        <v>KH091</v>
      </c>
      <c r="D1684" s="2" t="str">
        <v>S2-02113-BH</v>
      </c>
      <c r="E1684" s="2" t="str">
        <v>BAN_HANG</v>
      </c>
      <c r="F1684" s="2" t="str">
        <v>INP2003</v>
      </c>
      <c r="G1684" s="2" t="str">
        <v>2026-10-13</v>
      </c>
      <c r="H1684" s="2" t="str">
        <v>16640000.0676</v>
      </c>
      <c r="I1684" s="28" t="n">
        <v>16640000.0676</v>
      </c>
      <c r="J1684" s="7"/>
      <c r="K1684" s="28"/>
      <c r="L1684" s="2" t="str">
        <v>GIỮ PHIẾU BH ERP</v>
      </c>
      <c r="M1684" s="2" t="str">
        <v>BH2026100129</v>
      </c>
      <c r="N1684" s="2" t="str">
        <v>Đã có ERP</v>
      </c>
    </row>
    <row r="1685" ht="25" customHeight="1">
      <c r="A1685" s="2" t="str">
        <v>Q2122</v>
      </c>
      <c r="B1685" s="2" t="str">
        <v>KH024</v>
      </c>
      <c r="C1685" s="2" t="str">
        <v>KH024</v>
      </c>
      <c r="D1685" s="2" t="str">
        <v>S2-02122-BH</v>
      </c>
      <c r="E1685" s="2" t="str">
        <v>BAN_HANG</v>
      </c>
      <c r="F1685" s="2" t="str">
        <v>INP6006</v>
      </c>
      <c r="G1685" s="2" t="str">
        <v>2026-10-14</v>
      </c>
      <c r="H1685" s="2" t="str">
        <v>8550000.036</v>
      </c>
      <c r="I1685" s="28" t="n">
        <v>8550000.036</v>
      </c>
      <c r="J1685" s="7"/>
      <c r="K1685" s="28"/>
      <c r="L1685" s="2" t="str">
        <v>GIỮ PHIẾU BH ERP</v>
      </c>
      <c r="M1685" s="2" t="str">
        <v>BH2026100130</v>
      </c>
      <c r="N1685" s="2" t="str">
        <v>Đã có ERP</v>
      </c>
    </row>
    <row r="1686" ht="25" customHeight="1">
      <c r="A1686" s="2" t="str">
        <v>Q2123</v>
      </c>
      <c r="B1686" s="2" t="str">
        <v>KH024</v>
      </c>
      <c r="C1686" s="2" t="str">
        <v>KH024</v>
      </c>
      <c r="D1686" s="2" t="str">
        <v>S2-02122-BH</v>
      </c>
      <c r="E1686" s="2" t="str">
        <v>BAN_HANG</v>
      </c>
      <c r="F1686" s="2" t="str">
        <v>INP6010</v>
      </c>
      <c r="G1686" s="2" t="str">
        <v>2026-10-14</v>
      </c>
      <c r="H1686" s="2" t="str">
        <v>7799999.976</v>
      </c>
      <c r="I1686" s="28" t="n">
        <v>7799999.976</v>
      </c>
      <c r="J1686" s="7"/>
      <c r="K1686" s="28"/>
      <c r="L1686" s="2" t="str">
        <v>GIỮ PHIẾU BH ERP</v>
      </c>
      <c r="M1686" s="2" t="str">
        <v>BH2026100130</v>
      </c>
      <c r="N1686" s="2" t="str">
        <v>Đã có ERP</v>
      </c>
    </row>
    <row r="1687" ht="25" customHeight="1">
      <c r="A1687" s="2" t="str">
        <v>Q2124</v>
      </c>
      <c r="B1687" s="2" t="str">
        <v>KH024</v>
      </c>
      <c r="C1687" s="2" t="str">
        <v>KH024</v>
      </c>
      <c r="D1687" s="2" t="str">
        <v>S2-02122-BH</v>
      </c>
      <c r="E1687" s="2" t="str">
        <v>BAN_HANG</v>
      </c>
      <c r="F1687" s="2" t="str">
        <v>INP6011</v>
      </c>
      <c r="G1687" s="2" t="str">
        <v>2026-10-14</v>
      </c>
      <c r="H1687" s="2" t="str">
        <v>9299999.934</v>
      </c>
      <c r="I1687" s="28" t="n">
        <v>9299999.934</v>
      </c>
      <c r="J1687" s="7"/>
      <c r="K1687" s="28"/>
      <c r="L1687" s="2" t="str">
        <v>GIỮ PHIẾU BH ERP</v>
      </c>
      <c r="M1687" s="2" t="str">
        <v>BH2026100130</v>
      </c>
      <c r="N1687" s="2" t="str">
        <v>Đã có ERP</v>
      </c>
    </row>
    <row r="1688" ht="25" customHeight="1">
      <c r="A1688" s="2" t="str">
        <v>Q2125</v>
      </c>
      <c r="B1688" s="2" t="str">
        <v>KH024</v>
      </c>
      <c r="C1688" s="2" t="str">
        <v>KH024</v>
      </c>
      <c r="D1688" s="2" t="str">
        <v>S2-02122-BH</v>
      </c>
      <c r="E1688" s="2" t="str">
        <v>BAN_HANG</v>
      </c>
      <c r="F1688" s="2" t="str">
        <v>INP6902</v>
      </c>
      <c r="G1688" s="2" t="str">
        <v>2026-10-14</v>
      </c>
      <c r="H1688" s="2" t="str">
        <v>8799999.948</v>
      </c>
      <c r="I1688" s="28" t="n">
        <v>8799999.948</v>
      </c>
      <c r="J1688" s="7"/>
      <c r="K1688" s="28"/>
      <c r="L1688" s="2" t="str">
        <v>GIỮ PHIẾU BH ERP</v>
      </c>
      <c r="M1688" s="2" t="str">
        <v>BH2026100130</v>
      </c>
      <c r="N1688" s="2" t="str">
        <v>Đã có ERP</v>
      </c>
    </row>
    <row r="1689" ht="25" customHeight="1">
      <c r="A1689" s="2" t="str">
        <v>R2129</v>
      </c>
      <c r="B1689" s="2" t="str">
        <v>KH068</v>
      </c>
      <c r="C1689" s="2" t="str">
        <v>KH068</v>
      </c>
      <c r="D1689" s="2" t="str">
        <v>S2-02129-TT</v>
      </c>
      <c r="E1689" s="2" t="str">
        <v>THU_TIEN</v>
      </c>
      <c r="F1689" s="2" t="str"/>
      <c r="G1689" s="2" t="str">
        <v>2026-10-15</v>
      </c>
      <c r="H1689" s="2" t="str">
        <v>76000000</v>
      </c>
      <c r="I1689" s="28" t="n">
        <v>76000000</v>
      </c>
      <c r="J1689" s="7" t="n">
        <v>76000000</v>
      </c>
      <c r="K1689" s="28" t="n">
        <f>J1689-I1689</f>
        <v>0</v>
      </c>
      <c r="L1689" s="2" t="str">
        <v>NHẬP</v>
      </c>
      <c r="M1689" s="2" t="str"/>
      <c r="N1689" s="2" t="str">
        <v>KHAC</v>
      </c>
    </row>
    <row r="1690" ht="25" customHeight="1">
      <c r="A1690" s="2" t="str">
        <v>S2130</v>
      </c>
      <c r="B1690" s="2" t="str">
        <v>KH091</v>
      </c>
      <c r="C1690" s="2" t="str">
        <v>KH091</v>
      </c>
      <c r="D1690" s="2" t="str">
        <v>S2-02130-VC</v>
      </c>
      <c r="E1690" s="2" t="str">
        <v>PHI_VAN_CHUYEN</v>
      </c>
      <c r="F1690" s="2" t="str"/>
      <c r="G1690" s="2" t="str">
        <v>2026-10-13</v>
      </c>
      <c r="H1690" s="2" t="str">
        <v>600000</v>
      </c>
      <c r="I1690" s="28" t="n">
        <v>600000</v>
      </c>
      <c r="J1690" s="7" t="n">
        <v>600000</v>
      </c>
      <c r="K1690" s="28" t="n">
        <f>J1690-I1690</f>
        <v>0</v>
      </c>
      <c r="L1690" s="2" t="str">
        <v>NHẬP</v>
      </c>
      <c r="M1690" s="2" t="str"/>
      <c r="N1690" s="2" t="str">
        <v>KHAC</v>
      </c>
    </row>
    <row r="1691" ht="25" customHeight="1">
      <c r="A1691" s="2" t="str">
        <v>S2131</v>
      </c>
      <c r="B1691" s="2" t="str">
        <v>KH091</v>
      </c>
      <c r="C1691" s="2" t="str">
        <v>KH091</v>
      </c>
      <c r="D1691" s="2" t="str">
        <v>S2-02131-VC</v>
      </c>
      <c r="E1691" s="2" t="str">
        <v>PHI_VAN_CHUYEN</v>
      </c>
      <c r="F1691" s="2" t="str"/>
      <c r="G1691" s="2" t="str">
        <v>2026-10-14</v>
      </c>
      <c r="H1691" s="2" t="str">
        <v>650000</v>
      </c>
      <c r="I1691" s="28" t="n">
        <v>650000</v>
      </c>
      <c r="J1691" s="7" t="n">
        <v>650000</v>
      </c>
      <c r="K1691" s="28" t="n">
        <f>J1691-I1691</f>
        <v>0</v>
      </c>
      <c r="L1691" s="2" t="str">
        <v>NHẬP</v>
      </c>
      <c r="M1691" s="2" t="str"/>
      <c r="N1691" s="2" t="str">
        <v>KHAC</v>
      </c>
    </row>
    <row r="1692" ht="25" customHeight="1">
      <c r="A1692" s="2" t="str">
        <v>Q2132</v>
      </c>
      <c r="B1692" s="2" t="str">
        <v>KH034</v>
      </c>
      <c r="C1692" s="2" t="str">
        <v>KH034</v>
      </c>
      <c r="D1692" s="2" t="str">
        <v>S2-02132-TH</v>
      </c>
      <c r="E1692" s="2" t="str">
        <v>TRA_HANG</v>
      </c>
      <c r="F1692" s="2" t="str">
        <v>INP1003</v>
      </c>
      <c r="G1692" s="2" t="str">
        <v>2026-10-15</v>
      </c>
      <c r="H1692" s="2" t="str">
        <v>349999.9956</v>
      </c>
      <c r="I1692" s="28" t="n">
        <v>349999.9956</v>
      </c>
      <c r="J1692" s="7" t="n">
        <v>350000</v>
      </c>
      <c r="K1692" s="28" t="n">
        <f>J1692-I1692</f>
        <v>0.004399999976158142</v>
      </c>
      <c r="L1692" s="2" t="str">
        <v>NHẬP</v>
      </c>
      <c r="M1692" s="2" t="str"/>
      <c r="N1692" s="2" t="str">
        <v>KHAC</v>
      </c>
    </row>
    <row r="1693" ht="25" customHeight="1">
      <c r="A1693" s="2" t="str">
        <v>Q2133</v>
      </c>
      <c r="B1693" s="2" t="str">
        <v>KH034</v>
      </c>
      <c r="C1693" s="2" t="str">
        <v>KH034</v>
      </c>
      <c r="D1693" s="2" t="str">
        <v>S2-02132-TH</v>
      </c>
      <c r="E1693" s="2" t="str">
        <v>TRA_HANG</v>
      </c>
      <c r="F1693" s="2" t="str">
        <v>INP1401</v>
      </c>
      <c r="G1693" s="2" t="str">
        <v>2026-10-15</v>
      </c>
      <c r="H1693" s="2" t="str">
        <v>889999.9956</v>
      </c>
      <c r="I1693" s="28" t="n">
        <v>889999.9956</v>
      </c>
      <c r="J1693" s="7" t="n">
        <v>890000</v>
      </c>
      <c r="K1693" s="28" t="n">
        <f>J1693-I1693</f>
        <v>0.004399999976158142</v>
      </c>
      <c r="L1693" s="2" t="str">
        <v>NHẬP</v>
      </c>
      <c r="M1693" s="2" t="str"/>
      <c r="N1693" s="2" t="str">
        <v>KHAC</v>
      </c>
    </row>
    <row r="1694" ht="25" customHeight="1">
      <c r="A1694" s="2" t="str">
        <v>Q2134</v>
      </c>
      <c r="B1694" s="2" t="str">
        <v>KH034</v>
      </c>
      <c r="C1694" s="2" t="str">
        <v>KH034</v>
      </c>
      <c r="D1694" s="2" t="str">
        <v>S2-02132-TH</v>
      </c>
      <c r="E1694" s="2" t="str">
        <v>TRA_HANG</v>
      </c>
      <c r="F1694" s="2" t="str">
        <v>INP6002</v>
      </c>
      <c r="G1694" s="2" t="str">
        <v>2026-10-15</v>
      </c>
      <c r="H1694" s="2" t="str">
        <v>1184999.9976</v>
      </c>
      <c r="I1694" s="28" t="n">
        <v>1184999.9976</v>
      </c>
      <c r="J1694" s="7" t="n">
        <v>1185000</v>
      </c>
      <c r="K1694" s="28" t="n">
        <f>J1694-I1694</f>
        <v>0.002400000113993883</v>
      </c>
      <c r="L1694" s="2" t="str">
        <v>NHẬP</v>
      </c>
      <c r="M1694" s="2" t="str"/>
      <c r="N1694" s="2" t="str">
        <v>KHAC</v>
      </c>
    </row>
    <row r="1695" ht="25" customHeight="1">
      <c r="A1695" s="2" t="str">
        <v>Q2135</v>
      </c>
      <c r="B1695" s="2" t="str">
        <v>KH034</v>
      </c>
      <c r="C1695" s="2" t="str">
        <v>KH034</v>
      </c>
      <c r="D1695" s="2" t="str">
        <v>S2-02132-TH</v>
      </c>
      <c r="E1695" s="2" t="str">
        <v>TRA_HANG</v>
      </c>
      <c r="F1695" s="2" t="str">
        <v>INP6902</v>
      </c>
      <c r="G1695" s="2" t="str">
        <v>2026-10-15</v>
      </c>
      <c r="H1695" s="2" t="str">
        <v>1759999.9896</v>
      </c>
      <c r="I1695" s="28" t="n">
        <v>1759999.9896</v>
      </c>
      <c r="J1695" s="7" t="n">
        <v>1760000</v>
      </c>
      <c r="K1695" s="28" t="n">
        <f>J1695-I1695</f>
        <v>0.010400000028312206</v>
      </c>
      <c r="L1695" s="2" t="str">
        <v>NHẬP</v>
      </c>
      <c r="M1695" s="2" t="str"/>
      <c r="N1695" s="2" t="str">
        <v>KHAC</v>
      </c>
    </row>
    <row r="1696" ht="25" customHeight="1">
      <c r="A1696" s="2" t="str">
        <v>Q2136</v>
      </c>
      <c r="B1696" s="2" t="str">
        <v>KH034</v>
      </c>
      <c r="C1696" s="2" t="str">
        <v>KH034</v>
      </c>
      <c r="D1696" s="2" t="str">
        <v>S2-02132-TH</v>
      </c>
      <c r="E1696" s="2" t="str">
        <v>TRA_HANG</v>
      </c>
      <c r="F1696" s="2" t="str">
        <v>INP6701</v>
      </c>
      <c r="G1696" s="2" t="str">
        <v>2026-10-15</v>
      </c>
      <c r="H1696" s="2" t="str">
        <v>826000.0056</v>
      </c>
      <c r="I1696" s="28" t="n">
        <v>826000.0056</v>
      </c>
      <c r="J1696" s="7" t="n">
        <v>826000</v>
      </c>
      <c r="K1696" s="28" t="n">
        <f>J1696-I1696</f>
        <v>-0.005600000033155084</v>
      </c>
      <c r="L1696" s="2" t="str">
        <v>NHẬP</v>
      </c>
      <c r="M1696" s="2" t="str"/>
      <c r="N1696" s="2" t="str">
        <v>KHAC</v>
      </c>
    </row>
    <row r="1697" ht="25" customHeight="1">
      <c r="A1697" s="2" t="str">
        <v>Q2137</v>
      </c>
      <c r="B1697" s="2" t="str">
        <v>KH034</v>
      </c>
      <c r="C1697" s="2" t="str">
        <v>KH034</v>
      </c>
      <c r="D1697" s="2" t="str">
        <v>S2-02132-TH</v>
      </c>
      <c r="E1697" s="2" t="str">
        <v>TRA_HANG</v>
      </c>
      <c r="F1697" s="2" t="str">
        <v>INP6011</v>
      </c>
      <c r="G1697" s="2" t="str">
        <v>2026-10-15</v>
      </c>
      <c r="H1697" s="2" t="str">
        <v>619999.9956</v>
      </c>
      <c r="I1697" s="28" t="n">
        <v>619999.9956</v>
      </c>
      <c r="J1697" s="7" t="n">
        <v>620000</v>
      </c>
      <c r="K1697" s="28" t="n">
        <f>J1697-I1697</f>
        <v>0.004399999976158142</v>
      </c>
      <c r="L1697" s="2" t="str">
        <v>NHẬP</v>
      </c>
      <c r="M1697" s="2" t="str"/>
      <c r="N1697" s="2" t="str">
        <v>KHAC</v>
      </c>
    </row>
    <row r="1698" ht="25" customHeight="1">
      <c r="A1698" s="2" t="str">
        <v>Q2138</v>
      </c>
      <c r="B1698" s="2" t="str">
        <v>KH034</v>
      </c>
      <c r="C1698" s="2" t="str">
        <v>KH034</v>
      </c>
      <c r="D1698" s="2" t="str">
        <v>S2-02132-TH</v>
      </c>
      <c r="E1698" s="2" t="str">
        <v>TRA_HANG</v>
      </c>
      <c r="F1698" s="2" t="str">
        <v>INP6010</v>
      </c>
      <c r="G1698" s="2" t="str">
        <v>2026-10-15</v>
      </c>
      <c r="H1698" s="2" t="str">
        <v>1039999.9968</v>
      </c>
      <c r="I1698" s="28" t="n">
        <v>1039999.9968</v>
      </c>
      <c r="J1698" s="7" t="n">
        <v>1040000</v>
      </c>
      <c r="K1698" s="28" t="n">
        <f>J1698-I1698</f>
        <v>0.0032000000355765224</v>
      </c>
      <c r="L1698" s="2" t="str">
        <v>NHẬP</v>
      </c>
      <c r="M1698" s="2" t="str"/>
      <c r="N1698" s="2" t="str">
        <v>KHAC</v>
      </c>
    </row>
    <row r="1699" ht="25" customHeight="1">
      <c r="A1699" s="2" t="str">
        <v>Q2139</v>
      </c>
      <c r="B1699" s="2" t="str">
        <v>KH034</v>
      </c>
      <c r="C1699" s="2" t="str">
        <v>KH034</v>
      </c>
      <c r="D1699" s="2" t="str">
        <v>S2-02139-TH</v>
      </c>
      <c r="E1699" s="2" t="str">
        <v>TRA_HANG</v>
      </c>
      <c r="F1699" s="2" t="str">
        <v>INP1201</v>
      </c>
      <c r="G1699" s="2" t="str">
        <v>2026-10-15</v>
      </c>
      <c r="H1699" s="2" t="str">
        <v>5027999.9616</v>
      </c>
      <c r="I1699" s="28" t="n">
        <v>5027999.9616</v>
      </c>
      <c r="J1699" s="7" t="n">
        <v>5028000</v>
      </c>
      <c r="K1699" s="28" t="n">
        <f>J1699-I1699</f>
        <v>0.03839999996125698</v>
      </c>
      <c r="L1699" s="2" t="str">
        <v>NHẬP</v>
      </c>
      <c r="M1699" s="2" t="str"/>
      <c r="N1699" s="2" t="str">
        <v>KHAC</v>
      </c>
    </row>
    <row r="1700" ht="25" customHeight="1">
      <c r="A1700" s="2" t="str">
        <v>Q2140</v>
      </c>
      <c r="B1700" s="2" t="str">
        <v>KH034</v>
      </c>
      <c r="C1700" s="2" t="str">
        <v>KH034</v>
      </c>
      <c r="D1700" s="2" t="str">
        <v>S2-02139-TH</v>
      </c>
      <c r="E1700" s="2" t="str">
        <v>TRA_HANG</v>
      </c>
      <c r="F1700" s="2" t="str">
        <v>INP1202</v>
      </c>
      <c r="G1700" s="2" t="str">
        <v>2026-10-15</v>
      </c>
      <c r="H1700" s="2" t="str">
        <v>6119999.9712</v>
      </c>
      <c r="I1700" s="28" t="n">
        <v>6119999.9712</v>
      </c>
      <c r="J1700" s="7" t="n">
        <v>6120000</v>
      </c>
      <c r="K1700" s="28" t="n">
        <f>J1700-I1700</f>
        <v>0.028800000436604023</v>
      </c>
      <c r="L1700" s="2" t="str">
        <v>NHẬP</v>
      </c>
      <c r="M1700" s="2" t="str"/>
      <c r="N1700" s="2" t="str">
        <v>KHAC</v>
      </c>
    </row>
    <row r="1701" ht="25" customHeight="1">
      <c r="A1701" s="2" t="str">
        <v>Q2141</v>
      </c>
      <c r="B1701" s="2" t="str">
        <v>KH034</v>
      </c>
      <c r="C1701" s="2" t="str">
        <v>KH034</v>
      </c>
      <c r="D1701" s="2" t="str">
        <v>S2-02139-TH</v>
      </c>
      <c r="E1701" s="2" t="str">
        <v>TRA_HANG</v>
      </c>
      <c r="F1701" s="2" t="str">
        <v>INP1203</v>
      </c>
      <c r="G1701" s="2" t="str">
        <v>2026-10-15</v>
      </c>
      <c r="H1701" s="2" t="str">
        <v>4255999.9776</v>
      </c>
      <c r="I1701" s="28" t="n">
        <v>4255999.9776</v>
      </c>
      <c r="J1701" s="7" t="n">
        <v>4256000</v>
      </c>
      <c r="K1701" s="28" t="n">
        <f>J1701-I1701</f>
        <v>0.022400000132620335</v>
      </c>
      <c r="L1701" s="2" t="str">
        <v>NHẬP</v>
      </c>
      <c r="M1701" s="2" t="str"/>
      <c r="N1701" s="2" t="str">
        <v>KHAC</v>
      </c>
    </row>
    <row r="1702" ht="25" customHeight="1">
      <c r="A1702" s="2" t="str">
        <v>Q2142</v>
      </c>
      <c r="B1702" s="2" t="str">
        <v>KH034</v>
      </c>
      <c r="C1702" s="2" t="str">
        <v>KH034</v>
      </c>
      <c r="D1702" s="2" t="str">
        <v>S2-02139-TH</v>
      </c>
      <c r="E1702" s="2" t="str">
        <v>TRA_HANG</v>
      </c>
      <c r="F1702" s="2" t="str">
        <v>INP2202</v>
      </c>
      <c r="G1702" s="2" t="str">
        <v>2026-10-15</v>
      </c>
      <c r="H1702" s="2" t="str">
        <v>7295999.616</v>
      </c>
      <c r="I1702" s="28" t="n">
        <v>7295999.616</v>
      </c>
      <c r="J1702" s="7" t="n">
        <v>7296000</v>
      </c>
      <c r="K1702" s="28" t="n">
        <f>J1702-I1702</f>
        <v>0.3839999996125698</v>
      </c>
      <c r="L1702" s="2" t="str">
        <v>NHẬP</v>
      </c>
      <c r="M1702" s="2" t="str"/>
      <c r="N1702" s="2" t="str">
        <v>KHAC</v>
      </c>
    </row>
    <row r="1703" ht="25" customHeight="1">
      <c r="A1703" s="2" t="str">
        <v>Q2143</v>
      </c>
      <c r="B1703" s="2" t="str">
        <v>KH034</v>
      </c>
      <c r="C1703" s="2" t="str">
        <v>KH034</v>
      </c>
      <c r="D1703" s="2" t="str">
        <v>S2-02139-TH</v>
      </c>
      <c r="E1703" s="2" t="str">
        <v>TRA_HANG</v>
      </c>
      <c r="F1703" s="2" t="str">
        <v>INP2301</v>
      </c>
      <c r="G1703" s="2" t="str">
        <v>2026-10-15</v>
      </c>
      <c r="H1703" s="2" t="str">
        <v>6299999.8992</v>
      </c>
      <c r="I1703" s="28" t="n">
        <v>6299999.8992</v>
      </c>
      <c r="J1703" s="7" t="n">
        <v>6300000</v>
      </c>
      <c r="K1703" s="28" t="n">
        <f>J1703-I1703</f>
        <v>0.10080000013113022</v>
      </c>
      <c r="L1703" s="2" t="str">
        <v>NHẬP</v>
      </c>
      <c r="M1703" s="2" t="str"/>
      <c r="N1703" s="2" t="str">
        <v>KHAC</v>
      </c>
    </row>
    <row r="1704" ht="25" customHeight="1">
      <c r="A1704" s="2" t="str">
        <v>Q2144</v>
      </c>
      <c r="B1704" s="2" t="str">
        <v>KH034</v>
      </c>
      <c r="C1704" s="2" t="str">
        <v>KH034</v>
      </c>
      <c r="D1704" s="2" t="str">
        <v>S2-02139-TH</v>
      </c>
      <c r="E1704" s="2" t="str">
        <v>TRA_HANG</v>
      </c>
      <c r="F1704" s="2" t="str">
        <v>INP1101</v>
      </c>
      <c r="G1704" s="2" t="str">
        <v>2026-10-15</v>
      </c>
      <c r="H1704" s="2" t="str">
        <v>1043999.9928</v>
      </c>
      <c r="I1704" s="28" t="n">
        <v>1043999.9928</v>
      </c>
      <c r="J1704" s="7" t="n">
        <v>1044000</v>
      </c>
      <c r="K1704" s="28" t="n">
        <f>J1704-I1704</f>
        <v>0.007199999992735684</v>
      </c>
      <c r="L1704" s="2" t="str">
        <v>NHẬP</v>
      </c>
      <c r="M1704" s="2" t="str"/>
      <c r="N1704" s="2" t="str">
        <v>KHAC</v>
      </c>
    </row>
    <row r="1705" ht="25" customHeight="1">
      <c r="A1705" s="2" t="str">
        <v>Q2145</v>
      </c>
      <c r="B1705" s="2" t="str">
        <v>KH034</v>
      </c>
      <c r="C1705" s="2" t="str">
        <v>KH034</v>
      </c>
      <c r="D1705" s="2" t="str">
        <v>S2-02139-TH</v>
      </c>
      <c r="E1705" s="2" t="str">
        <v>TRA_HANG</v>
      </c>
      <c r="F1705" s="2" t="str">
        <v>INP1401</v>
      </c>
      <c r="G1705" s="2" t="str">
        <v>2026-10-15</v>
      </c>
      <c r="H1705" s="2" t="str">
        <v>10679999.9472</v>
      </c>
      <c r="I1705" s="28" t="n">
        <v>10679999.9472</v>
      </c>
      <c r="J1705" s="7" t="n">
        <v>10680000</v>
      </c>
      <c r="K1705" s="28" t="n">
        <f>J1705-I1705</f>
        <v>0.052799999713897705</v>
      </c>
      <c r="L1705" s="2" t="str">
        <v>NHẬP</v>
      </c>
      <c r="M1705" s="2" t="str"/>
      <c r="N1705" s="2" t="str">
        <v>KHAC</v>
      </c>
    </row>
    <row r="1706" ht="25" customHeight="1">
      <c r="A1706" s="2" t="str">
        <v>Q2146</v>
      </c>
      <c r="B1706" s="2" t="str">
        <v>KH034</v>
      </c>
      <c r="C1706" s="2" t="str">
        <v>KH034</v>
      </c>
      <c r="D1706" s="2" t="str">
        <v>S2-02139-TH</v>
      </c>
      <c r="E1706" s="2" t="str">
        <v>TRA_HANG</v>
      </c>
      <c r="F1706" s="2" t="str">
        <v>INP1402</v>
      </c>
      <c r="G1706" s="2" t="str">
        <v>2026-10-15</v>
      </c>
      <c r="H1706" s="2" t="str">
        <v>14182000.1064</v>
      </c>
      <c r="I1706" s="28" t="n">
        <v>14182000.1064</v>
      </c>
      <c r="J1706" s="7" t="n">
        <v>14182000</v>
      </c>
      <c r="K1706" s="28" t="n">
        <f>J1706-I1706</f>
        <v>-0.10639999993145466</v>
      </c>
      <c r="L1706" s="2" t="str">
        <v>NHẬP</v>
      </c>
      <c r="M1706" s="2" t="str"/>
      <c r="N1706" s="2" t="str">
        <v>KHAC</v>
      </c>
    </row>
    <row r="1707" ht="25" customHeight="1">
      <c r="A1707" s="2" t="str">
        <v>Q2147</v>
      </c>
      <c r="B1707" s="2" t="str">
        <v>KH034</v>
      </c>
      <c r="C1707" s="2" t="str">
        <v>KH034</v>
      </c>
      <c r="D1707" s="2" t="str">
        <v>S2-02139-TH</v>
      </c>
      <c r="E1707" s="2" t="str">
        <v>TRA_HANG</v>
      </c>
      <c r="F1707" s="2" t="str">
        <v>INP2003</v>
      </c>
      <c r="G1707" s="2" t="str">
        <v>2026-10-15</v>
      </c>
      <c r="H1707" s="2" t="str">
        <v>6400000.08</v>
      </c>
      <c r="I1707" s="28" t="n">
        <v>6400000.08</v>
      </c>
      <c r="J1707" s="7" t="n">
        <v>6400000</v>
      </c>
      <c r="K1707" s="28" t="n">
        <f>J1707-I1707</f>
        <v>-0.0800000000745058</v>
      </c>
      <c r="L1707" s="2" t="str">
        <v>NHẬP</v>
      </c>
      <c r="M1707" s="2" t="str"/>
      <c r="N1707" s="2" t="str">
        <v>KHAC</v>
      </c>
    </row>
    <row r="1708" ht="25" customHeight="1">
      <c r="A1708" s="2" t="str">
        <v>Q2148</v>
      </c>
      <c r="B1708" s="2" t="str">
        <v>KH034</v>
      </c>
      <c r="C1708" s="2" t="str">
        <v>KH034</v>
      </c>
      <c r="D1708" s="2" t="str">
        <v>S2-02139-TH</v>
      </c>
      <c r="E1708" s="2" t="str">
        <v>TRA_HANG</v>
      </c>
      <c r="F1708" s="2" t="str">
        <v>INP2105</v>
      </c>
      <c r="G1708" s="2" t="str">
        <v>2026-10-15</v>
      </c>
      <c r="H1708" s="2" t="str">
        <v>3936000.384</v>
      </c>
      <c r="I1708" s="28" t="n">
        <v>3936000.384</v>
      </c>
      <c r="J1708" s="7" t="n">
        <v>3936000</v>
      </c>
      <c r="K1708" s="28" t="n">
        <f>J1708-I1708</f>
        <v>-0.3840000000782311</v>
      </c>
      <c r="L1708" s="2" t="str">
        <v>NHẬP</v>
      </c>
      <c r="M1708" s="2" t="str"/>
      <c r="N1708" s="2" t="str">
        <v>KHAC</v>
      </c>
    </row>
    <row r="1709" ht="25" customHeight="1">
      <c r="A1709" s="2" t="str">
        <v>Q2149</v>
      </c>
      <c r="B1709" s="2" t="str">
        <v>KH034</v>
      </c>
      <c r="C1709" s="2" t="str">
        <v>KH034</v>
      </c>
      <c r="D1709" s="2" t="str">
        <v>S2-02139-TH</v>
      </c>
      <c r="E1709" s="2" t="str">
        <v>TRA_HANG</v>
      </c>
      <c r="F1709" s="2" t="str">
        <v>INP2106</v>
      </c>
      <c r="G1709" s="2" t="str">
        <v>2026-10-15</v>
      </c>
      <c r="H1709" s="2" t="str">
        <v>4368000.384</v>
      </c>
      <c r="I1709" s="28" t="n">
        <v>4368000.384</v>
      </c>
      <c r="J1709" s="7" t="n">
        <v>4368000</v>
      </c>
      <c r="K1709" s="28" t="n">
        <f>J1709-I1709</f>
        <v>-0.3839999996125698</v>
      </c>
      <c r="L1709" s="2" t="str">
        <v>NHẬP</v>
      </c>
      <c r="M1709" s="2" t="str"/>
      <c r="N1709" s="2" t="str">
        <v>KHAC</v>
      </c>
    </row>
    <row r="1710" ht="25" customHeight="1">
      <c r="A1710" s="2" t="str">
        <v>Q2150</v>
      </c>
      <c r="B1710" s="2" t="str">
        <v>KH034</v>
      </c>
      <c r="C1710" s="2" t="str">
        <v>KH034</v>
      </c>
      <c r="D1710" s="2" t="str">
        <v>S2-02139-TH</v>
      </c>
      <c r="E1710" s="2" t="str">
        <v>TRA_HANG</v>
      </c>
      <c r="F1710" s="2" t="str">
        <v>INP2108</v>
      </c>
      <c r="G1710" s="2" t="str">
        <v>2026-10-15</v>
      </c>
      <c r="H1710" s="2" t="str">
        <v>2770000.2</v>
      </c>
      <c r="I1710" s="28" t="n">
        <v>2770000.2</v>
      </c>
      <c r="J1710" s="7" t="n">
        <v>2770000</v>
      </c>
      <c r="K1710" s="28" t="n">
        <f>J1710-I1710</f>
        <v>-0.20000000018626451</v>
      </c>
      <c r="L1710" s="2" t="str">
        <v>NHẬP</v>
      </c>
      <c r="M1710" s="2" t="str"/>
      <c r="N1710" s="2" t="str">
        <v>KHAC</v>
      </c>
    </row>
    <row r="1711" ht="25" customHeight="1">
      <c r="A1711" s="2" t="str">
        <v>Q2151</v>
      </c>
      <c r="B1711" s="2" t="str">
        <v>KH034</v>
      </c>
      <c r="C1711" s="2" t="str">
        <v>KH034</v>
      </c>
      <c r="D1711" s="2" t="str">
        <v>S2-02139-TH</v>
      </c>
      <c r="E1711" s="2" t="str">
        <v>TRA_HANG</v>
      </c>
      <c r="F1711" s="2" t="str">
        <v>INP2109</v>
      </c>
      <c r="G1711" s="2" t="str">
        <v>2026-10-15</v>
      </c>
      <c r="H1711" s="2" t="str">
        <v>3198000.312</v>
      </c>
      <c r="I1711" s="28" t="n">
        <v>3198000.312</v>
      </c>
      <c r="J1711" s="7" t="n">
        <v>3198000</v>
      </c>
      <c r="K1711" s="28" t="n">
        <f>J1711-I1711</f>
        <v>-0.3119999999180436</v>
      </c>
      <c r="L1711" s="2" t="str">
        <v>NHẬP</v>
      </c>
      <c r="M1711" s="2" t="str"/>
      <c r="N1711" s="2" t="str">
        <v>KHAC</v>
      </c>
    </row>
    <row r="1712" ht="25" customHeight="1">
      <c r="A1712" s="2" t="str">
        <v>Q2152</v>
      </c>
      <c r="B1712" s="2" t="str">
        <v>KH034</v>
      </c>
      <c r="C1712" s="2" t="str">
        <v>KH034</v>
      </c>
      <c r="D1712" s="2" t="str">
        <v>S2-02139-TH</v>
      </c>
      <c r="E1712" s="2" t="str">
        <v>TRA_HANG</v>
      </c>
      <c r="F1712" s="2" t="str">
        <v>INP2110</v>
      </c>
      <c r="G1712" s="2" t="str">
        <v>2026-10-15</v>
      </c>
      <c r="H1712" s="2" t="str">
        <v>3549000.312</v>
      </c>
      <c r="I1712" s="28" t="n">
        <v>3549000.312</v>
      </c>
      <c r="J1712" s="7" t="n">
        <v>3549000</v>
      </c>
      <c r="K1712" s="28" t="n">
        <f>J1712-I1712</f>
        <v>-0.3119999999180436</v>
      </c>
      <c r="L1712" s="2" t="str">
        <v>NHẬP</v>
      </c>
      <c r="M1712" s="2" t="str"/>
      <c r="N1712" s="2" t="str">
        <v>KHAC</v>
      </c>
    </row>
    <row r="1713" ht="25" customHeight="1">
      <c r="A1713" s="2" t="str">
        <v>Q2153</v>
      </c>
      <c r="B1713" s="2" t="str">
        <v>KH034</v>
      </c>
      <c r="C1713" s="2" t="str">
        <v>KH034</v>
      </c>
      <c r="D1713" s="2" t="str">
        <v>S2-02139-TH</v>
      </c>
      <c r="E1713" s="2" t="str">
        <v>TRA_HANG</v>
      </c>
      <c r="F1713" s="2" t="str">
        <v>INP2111</v>
      </c>
      <c r="G1713" s="2" t="str">
        <v>2026-10-15</v>
      </c>
      <c r="H1713" s="2" t="str">
        <v>3900000.312</v>
      </c>
      <c r="I1713" s="28" t="n">
        <v>3900000.312</v>
      </c>
      <c r="J1713" s="7" t="n">
        <v>3900000</v>
      </c>
      <c r="K1713" s="28" t="n">
        <f>J1713-I1713</f>
        <v>-0.3119999999180436</v>
      </c>
      <c r="L1713" s="2" t="str">
        <v>NHẬP</v>
      </c>
      <c r="M1713" s="2" t="str"/>
      <c r="N1713" s="2" t="str">
        <v>KHAC</v>
      </c>
    </row>
    <row r="1714" ht="25" customHeight="1">
      <c r="A1714" s="2" t="str">
        <v>Q2154</v>
      </c>
      <c r="B1714" s="2" t="str">
        <v>KH034</v>
      </c>
      <c r="C1714" s="2" t="str">
        <v>KH034</v>
      </c>
      <c r="D1714" s="2" t="str">
        <v>S2-02139-TH</v>
      </c>
      <c r="E1714" s="2" t="str">
        <v>TRA_HANG</v>
      </c>
      <c r="F1714" s="2" t="str">
        <v>INP3001</v>
      </c>
      <c r="G1714" s="2" t="str">
        <v>2026-10-15</v>
      </c>
      <c r="H1714" s="2" t="str">
        <v>7120000.44</v>
      </c>
      <c r="I1714" s="28" t="n">
        <v>7120000.44</v>
      </c>
      <c r="J1714" s="7" t="n">
        <v>7120000</v>
      </c>
      <c r="K1714" s="28" t="n">
        <f>J1714-I1714</f>
        <v>-0.44000000040978193</v>
      </c>
      <c r="L1714" s="2" t="str">
        <v>NHẬP</v>
      </c>
      <c r="M1714" s="2" t="str"/>
      <c r="N1714" s="2" t="str">
        <v>KHAC</v>
      </c>
    </row>
    <row r="1715" ht="25" customHeight="1">
      <c r="A1715" s="2" t="str">
        <v>Q2155</v>
      </c>
      <c r="B1715" s="2" t="str">
        <v>KH034</v>
      </c>
      <c r="C1715" s="2" t="str">
        <v>KH034</v>
      </c>
      <c r="D1715" s="2" t="str">
        <v>S2-02139-TH</v>
      </c>
      <c r="E1715" s="2" t="str">
        <v>TRA_HANG</v>
      </c>
      <c r="F1715" s="2" t="str">
        <v>INP3002</v>
      </c>
      <c r="G1715" s="2" t="str">
        <v>2026-10-15</v>
      </c>
      <c r="H1715" s="2" t="str">
        <v>6149999.52</v>
      </c>
      <c r="I1715" s="28" t="n">
        <v>6149999.52</v>
      </c>
      <c r="J1715" s="7" t="n">
        <v>6150000</v>
      </c>
      <c r="K1715" s="28" t="n">
        <f>J1715-I1715</f>
        <v>0.48000000044703484</v>
      </c>
      <c r="L1715" s="2" t="str">
        <v>NHẬP</v>
      </c>
      <c r="M1715" s="2" t="str"/>
      <c r="N1715" s="2" t="str">
        <v>KHAC</v>
      </c>
    </row>
    <row r="1716" ht="25" customHeight="1">
      <c r="A1716" s="2" t="str">
        <v>Q2156</v>
      </c>
      <c r="B1716" s="2" t="str">
        <v>KH034</v>
      </c>
      <c r="C1716" s="2" t="str">
        <v>KH034</v>
      </c>
      <c r="D1716" s="2" t="str">
        <v>S2-02139-TH</v>
      </c>
      <c r="E1716" s="2" t="str">
        <v>TRA_HANG</v>
      </c>
      <c r="F1716" s="2" t="str">
        <v>INP3003</v>
      </c>
      <c r="G1716" s="2" t="str">
        <v>2026-10-15</v>
      </c>
      <c r="H1716" s="2" t="str">
        <v>7320000.1968</v>
      </c>
      <c r="I1716" s="28" t="n">
        <v>7320000.1968</v>
      </c>
      <c r="J1716" s="7" t="n">
        <v>7320000</v>
      </c>
      <c r="K1716" s="28" t="n">
        <f>J1716-I1716</f>
        <v>-0.19680000003427267</v>
      </c>
      <c r="L1716" s="2" t="str">
        <v>NHẬP</v>
      </c>
      <c r="M1716" s="2" t="str"/>
      <c r="N1716" s="2" t="str">
        <v>KHAC</v>
      </c>
    </row>
    <row r="1717" ht="25" customHeight="1">
      <c r="A1717" s="2" t="str">
        <v>Q2157</v>
      </c>
      <c r="B1717" s="2" t="str">
        <v>KH034</v>
      </c>
      <c r="C1717" s="2" t="str">
        <v>KH034</v>
      </c>
      <c r="D1717" s="2" t="str">
        <v>S2-02139-TH</v>
      </c>
      <c r="E1717" s="2" t="str">
        <v>TRA_HANG</v>
      </c>
      <c r="F1717" s="2" t="str">
        <v>INP3004</v>
      </c>
      <c r="G1717" s="2" t="str">
        <v>2026-10-15</v>
      </c>
      <c r="H1717" s="2" t="str">
        <v>4643999.9568</v>
      </c>
      <c r="I1717" s="28" t="n">
        <v>4643999.9568</v>
      </c>
      <c r="J1717" s="7" t="n">
        <v>4644000</v>
      </c>
      <c r="K1717" s="28" t="n">
        <f>J1717-I1717</f>
        <v>0.04320000018924475</v>
      </c>
      <c r="L1717" s="2" t="str">
        <v>NHẬP</v>
      </c>
      <c r="M1717" s="2" t="str"/>
      <c r="N1717" s="2" t="str">
        <v>KHAC</v>
      </c>
    </row>
    <row r="1718" ht="25" customHeight="1">
      <c r="A1718" s="2" t="str">
        <v>Q2158</v>
      </c>
      <c r="B1718" s="2" t="str">
        <v>KH034</v>
      </c>
      <c r="C1718" s="2" t="str">
        <v>KH034</v>
      </c>
      <c r="D1718" s="2" t="str">
        <v>S2-02139-TH</v>
      </c>
      <c r="E1718" s="2" t="str">
        <v>TRA_HANG</v>
      </c>
      <c r="F1718" s="2" t="str">
        <v>INP3005</v>
      </c>
      <c r="G1718" s="2" t="str">
        <v>2026-10-15</v>
      </c>
      <c r="H1718" s="2" t="str">
        <v>5160000.2832</v>
      </c>
      <c r="I1718" s="28" t="n">
        <v>5160000.2832</v>
      </c>
      <c r="J1718" s="7" t="n">
        <v>5160000</v>
      </c>
      <c r="K1718" s="28" t="n">
        <f>J1718-I1718</f>
        <v>-0.28320000041276217</v>
      </c>
      <c r="L1718" s="2" t="str">
        <v>NHẬP</v>
      </c>
      <c r="M1718" s="2" t="str"/>
      <c r="N1718" s="2" t="str">
        <v>KHAC</v>
      </c>
    </row>
    <row r="1719" ht="25" customHeight="1">
      <c r="A1719" s="2" t="str">
        <v>Q2159</v>
      </c>
      <c r="B1719" s="2" t="str">
        <v>KH034</v>
      </c>
      <c r="C1719" s="2" t="str">
        <v>KH034</v>
      </c>
      <c r="D1719" s="2" t="str">
        <v>S2-02139-TH</v>
      </c>
      <c r="E1719" s="2" t="str">
        <v>TRA_HANG</v>
      </c>
      <c r="F1719" s="2" t="str">
        <v>INP6001</v>
      </c>
      <c r="G1719" s="2" t="str">
        <v>2026-10-15</v>
      </c>
      <c r="H1719" s="2" t="str">
        <v>9839999.9232</v>
      </c>
      <c r="I1719" s="28" t="n">
        <v>9839999.9232</v>
      </c>
      <c r="J1719" s="7" t="n">
        <v>9840000</v>
      </c>
      <c r="K1719" s="28" t="n">
        <f>J1719-I1719</f>
        <v>0.07679999992251396</v>
      </c>
      <c r="L1719" s="2" t="str">
        <v>NHẬP</v>
      </c>
      <c r="M1719" s="2" t="str"/>
      <c r="N1719" s="2" t="str">
        <v>KHAC</v>
      </c>
    </row>
    <row r="1720" ht="25" customHeight="1">
      <c r="A1720" s="2" t="str">
        <v>Q2160</v>
      </c>
      <c r="B1720" s="2" t="str">
        <v>KH034</v>
      </c>
      <c r="C1720" s="2" t="str">
        <v>KH034</v>
      </c>
      <c r="D1720" s="2" t="str">
        <v>S2-02139-TH</v>
      </c>
      <c r="E1720" s="2" t="str">
        <v>TRA_HANG</v>
      </c>
      <c r="F1720" s="2" t="str">
        <v>INP6002</v>
      </c>
      <c r="G1720" s="2" t="str">
        <v>2026-10-15</v>
      </c>
      <c r="H1720" s="2" t="str">
        <v>14219999.9712</v>
      </c>
      <c r="I1720" s="28" t="n">
        <v>14219999.9712</v>
      </c>
      <c r="J1720" s="7" t="n">
        <v>14220000</v>
      </c>
      <c r="K1720" s="28" t="n">
        <f>J1720-I1720</f>
        <v>0.02879999950528145</v>
      </c>
      <c r="L1720" s="2" t="str">
        <v>NHẬP</v>
      </c>
      <c r="M1720" s="2" t="str"/>
      <c r="N1720" s="2" t="str">
        <v>KHAC</v>
      </c>
    </row>
    <row r="1721" ht="25" customHeight="1">
      <c r="A1721" s="2" t="str">
        <v>Q2161</v>
      </c>
      <c r="B1721" s="2" t="str">
        <v>KH034</v>
      </c>
      <c r="C1721" s="2" t="str">
        <v>KH034</v>
      </c>
      <c r="D1721" s="2" t="str">
        <v>S2-02139-TH</v>
      </c>
      <c r="E1721" s="2" t="str">
        <v>TRA_HANG</v>
      </c>
      <c r="F1721" s="2" t="str">
        <v>INP6501</v>
      </c>
      <c r="G1721" s="2" t="str">
        <v>2026-10-15</v>
      </c>
      <c r="H1721" s="2" t="str">
        <v>10980000.36</v>
      </c>
      <c r="I1721" s="28" t="n">
        <v>10980000.36</v>
      </c>
      <c r="J1721" s="7" t="n">
        <v>10980000</v>
      </c>
      <c r="K1721" s="28" t="n">
        <f>J1721-I1721</f>
        <v>-0.35999999940395355</v>
      </c>
      <c r="L1721" s="2" t="str">
        <v>NHẬP</v>
      </c>
      <c r="M1721" s="2" t="str"/>
      <c r="N1721" s="2" t="str">
        <v>KHAC</v>
      </c>
    </row>
    <row r="1722" ht="25" customHeight="1">
      <c r="A1722" s="2" t="str">
        <v>Q2162</v>
      </c>
      <c r="B1722" s="2" t="str">
        <v>KH034</v>
      </c>
      <c r="C1722" s="2" t="str">
        <v>KH034</v>
      </c>
      <c r="D1722" s="2" t="str">
        <v>S2-02139-TH</v>
      </c>
      <c r="E1722" s="2" t="str">
        <v>TRA_HANG</v>
      </c>
      <c r="F1722" s="2" t="str">
        <v>INP6601</v>
      </c>
      <c r="G1722" s="2" t="str">
        <v>2026-10-15</v>
      </c>
      <c r="H1722" s="2" t="str">
        <v>10399999.968</v>
      </c>
      <c r="I1722" s="28" t="n">
        <v>10399999.968</v>
      </c>
      <c r="J1722" s="7" t="n">
        <v>10400000</v>
      </c>
      <c r="K1722" s="28" t="n">
        <f>J1722-I1722</f>
        <v>0.03199999965727329</v>
      </c>
      <c r="L1722" s="2" t="str">
        <v>NHẬP</v>
      </c>
      <c r="M1722" s="2" t="str"/>
      <c r="N1722" s="2" t="str">
        <v>KHAC</v>
      </c>
    </row>
    <row r="1723" ht="25" customHeight="1">
      <c r="A1723" s="2" t="str">
        <v>Q2163</v>
      </c>
      <c r="B1723" s="2" t="str">
        <v>KH034</v>
      </c>
      <c r="C1723" s="2" t="str">
        <v>KH034</v>
      </c>
      <c r="D1723" s="2" t="str">
        <v>S2-02139-TH</v>
      </c>
      <c r="E1723" s="2" t="str">
        <v>TRA_HANG</v>
      </c>
      <c r="F1723" s="2" t="str">
        <v>INP6602</v>
      </c>
      <c r="G1723" s="2" t="str">
        <v>2026-10-15</v>
      </c>
      <c r="H1723" s="2" t="str">
        <v>5879999.952</v>
      </c>
      <c r="I1723" s="28" t="n">
        <v>5879999.952</v>
      </c>
      <c r="J1723" s="7" t="n">
        <v>5880000</v>
      </c>
      <c r="K1723" s="28" t="n">
        <f>J1723-I1723</f>
        <v>0.04800000041723251</v>
      </c>
      <c r="L1723" s="2" t="str">
        <v>NHẬP</v>
      </c>
      <c r="M1723" s="2" t="str"/>
      <c r="N1723" s="2" t="str">
        <v>KHAC</v>
      </c>
    </row>
    <row r="1724" ht="25" customHeight="1">
      <c r="A1724" s="2" t="str">
        <v>Q2164</v>
      </c>
      <c r="B1724" s="2" t="str">
        <v>KH034</v>
      </c>
      <c r="C1724" s="2" t="str">
        <v>KH034</v>
      </c>
      <c r="D1724" s="2" t="str">
        <v>S2-02139-TH</v>
      </c>
      <c r="E1724" s="2" t="str">
        <v>TRA_HANG</v>
      </c>
      <c r="F1724" s="2" t="str">
        <v>INP7951</v>
      </c>
      <c r="G1724" s="2" t="str">
        <v>2026-10-15</v>
      </c>
      <c r="H1724" s="2" t="str">
        <v>21420000.0612</v>
      </c>
      <c r="I1724" s="28" t="n">
        <v>21420000.0612</v>
      </c>
      <c r="J1724" s="7" t="n">
        <v>21420000</v>
      </c>
      <c r="K1724" s="28" t="n">
        <f>J1724-I1724</f>
        <v>-0.06120000034570694</v>
      </c>
      <c r="L1724" s="2" t="str">
        <v>NHẬP</v>
      </c>
      <c r="M1724" s="2" t="str"/>
      <c r="N1724" s="2" t="str">
        <v>KHAC</v>
      </c>
    </row>
    <row r="1725" ht="25" customHeight="1">
      <c r="A1725" s="2" t="str">
        <v>Q2165</v>
      </c>
      <c r="B1725" s="2" t="str">
        <v>KH034</v>
      </c>
      <c r="C1725" s="2" t="str">
        <v>KH034</v>
      </c>
      <c r="D1725" s="2" t="str">
        <v>S2-02139-TH</v>
      </c>
      <c r="E1725" s="2" t="str">
        <v>TRA_HANG</v>
      </c>
      <c r="F1725" s="2" t="str">
        <v>INP7952</v>
      </c>
      <c r="G1725" s="2" t="str">
        <v>2026-10-15</v>
      </c>
      <c r="H1725" s="2" t="str">
        <v>28439999.748</v>
      </c>
      <c r="I1725" s="28" t="n">
        <v>28439999.748</v>
      </c>
      <c r="J1725" s="7" t="n">
        <v>28440000</v>
      </c>
      <c r="K1725" s="28" t="n">
        <f>J1725-I1725</f>
        <v>0.25200000032782555</v>
      </c>
      <c r="L1725" s="2" t="str">
        <v>NHẬP</v>
      </c>
      <c r="M1725" s="2" t="str"/>
      <c r="N1725" s="2" t="str">
        <v>KHAC</v>
      </c>
    </row>
    <row r="1726" ht="25" customHeight="1">
      <c r="A1726" s="2" t="str">
        <v>Q2166</v>
      </c>
      <c r="B1726" s="2" t="str">
        <v>KH071</v>
      </c>
      <c r="C1726" s="2" t="str">
        <v>KH071</v>
      </c>
      <c r="D1726" s="2" t="str">
        <v>S2-02166-BH</v>
      </c>
      <c r="E1726" s="2" t="str">
        <v>BAN_HANG</v>
      </c>
      <c r="F1726" s="2" t="str">
        <v>INP1301B</v>
      </c>
      <c r="G1726" s="2" t="str">
        <v>2026-10-14</v>
      </c>
      <c r="H1726" s="2" t="str">
        <v>4799999.952</v>
      </c>
      <c r="I1726" s="28" t="n">
        <v>4799999.952</v>
      </c>
      <c r="J1726" s="7"/>
      <c r="K1726" s="28"/>
      <c r="L1726" s="2" t="str">
        <v>GIỮ PHIẾU BH ERP</v>
      </c>
      <c r="M1726" s="2" t="str">
        <v>BH2026100132</v>
      </c>
      <c r="N1726" s="2" t="str">
        <v>Đã có ERP</v>
      </c>
    </row>
    <row r="1727" ht="25" customHeight="1">
      <c r="A1727" s="2" t="str">
        <v>Q2167</v>
      </c>
      <c r="B1727" s="2" t="str">
        <v>KH071</v>
      </c>
      <c r="C1727" s="2" t="str">
        <v>KH071</v>
      </c>
      <c r="D1727" s="2" t="str">
        <v>S2-02166-BH</v>
      </c>
      <c r="E1727" s="2" t="str">
        <v>BAN_HANG</v>
      </c>
      <c r="F1727" s="2" t="str">
        <v>INP2003</v>
      </c>
      <c r="G1727" s="2" t="str">
        <v>2026-10-14</v>
      </c>
      <c r="H1727" s="2" t="str">
        <v>7680000.0312</v>
      </c>
      <c r="I1727" s="28" t="n">
        <v>7680000.0312</v>
      </c>
      <c r="J1727" s="7"/>
      <c r="K1727" s="28"/>
      <c r="L1727" s="2" t="str">
        <v>GIỮ PHIẾU BH ERP</v>
      </c>
      <c r="M1727" s="2" t="str">
        <v>BH2026100132</v>
      </c>
      <c r="N1727" s="2" t="str">
        <v>Đã có ERP</v>
      </c>
    </row>
    <row r="1728" ht="25" customHeight="1">
      <c r="A1728" s="2" t="str">
        <v>Q2168</v>
      </c>
      <c r="B1728" s="2" t="str">
        <v>KH071</v>
      </c>
      <c r="C1728" s="2" t="str">
        <v>KH071</v>
      </c>
      <c r="D1728" s="2" t="str">
        <v>S2-02166-BH</v>
      </c>
      <c r="E1728" s="2" t="str">
        <v>BAN_HANG</v>
      </c>
      <c r="F1728" s="2" t="str">
        <v>INP2104</v>
      </c>
      <c r="G1728" s="2" t="str">
        <v>2026-10-14</v>
      </c>
      <c r="H1728" s="2" t="str">
        <v>3220000.02</v>
      </c>
      <c r="I1728" s="28" t="n">
        <v>3220000.02</v>
      </c>
      <c r="J1728" s="7"/>
      <c r="K1728" s="28"/>
      <c r="L1728" s="2" t="str">
        <v>GIỮ PHIẾU BH ERP</v>
      </c>
      <c r="M1728" s="2" t="str">
        <v>BH2026100132</v>
      </c>
      <c r="N1728" s="2" t="str">
        <v>Đã có ERP</v>
      </c>
    </row>
    <row r="1729" ht="25" customHeight="1">
      <c r="A1729" s="2" t="str">
        <v>Q2169</v>
      </c>
      <c r="B1729" s="2" t="str">
        <v>KH071</v>
      </c>
      <c r="C1729" s="2" t="str">
        <v>KH071</v>
      </c>
      <c r="D1729" s="2" t="str">
        <v>S2-02166-BH</v>
      </c>
      <c r="E1729" s="2" t="str">
        <v>BAN_HANG</v>
      </c>
      <c r="F1729" s="2" t="str">
        <v>INP2109</v>
      </c>
      <c r="G1729" s="2" t="str">
        <v>2026-10-14</v>
      </c>
      <c r="H1729" s="2" t="str">
        <v>2599999.992</v>
      </c>
      <c r="I1729" s="28" t="n">
        <v>2599999.992</v>
      </c>
      <c r="J1729" s="7"/>
      <c r="K1729" s="28"/>
      <c r="L1729" s="2" t="str">
        <v>GIỮ PHIẾU BH ERP</v>
      </c>
      <c r="M1729" s="2" t="str">
        <v>BH2026100132</v>
      </c>
      <c r="N1729" s="2" t="str">
        <v>Đã có ERP</v>
      </c>
    </row>
    <row r="1730" ht="25" customHeight="1">
      <c r="A1730" s="2" t="str">
        <v>Q2170</v>
      </c>
      <c r="B1730" s="2" t="str">
        <v>KH071</v>
      </c>
      <c r="C1730" s="2" t="str">
        <v>KH071</v>
      </c>
      <c r="D1730" s="2" t="str">
        <v>S2-02166-BH</v>
      </c>
      <c r="E1730" s="2" t="str">
        <v>BAN_HANG</v>
      </c>
      <c r="F1730" s="2" t="str">
        <v>INP2110</v>
      </c>
      <c r="G1730" s="2" t="str">
        <v>2026-10-14</v>
      </c>
      <c r="H1730" s="2" t="str">
        <v>2800000.008</v>
      </c>
      <c r="I1730" s="28" t="n">
        <v>2800000.008</v>
      </c>
      <c r="J1730" s="7"/>
      <c r="K1730" s="28"/>
      <c r="L1730" s="2" t="str">
        <v>GIỮ PHIẾU BH ERP</v>
      </c>
      <c r="M1730" s="2" t="str">
        <v>BH2026100132</v>
      </c>
      <c r="N1730" s="2" t="str">
        <v>Đã có ERP</v>
      </c>
    </row>
    <row r="1731" ht="25" customHeight="1">
      <c r="A1731" s="2" t="str">
        <v>Q2171</v>
      </c>
      <c r="B1731" s="2" t="str">
        <v>KH071</v>
      </c>
      <c r="C1731" s="2" t="str">
        <v>KH071</v>
      </c>
      <c r="D1731" s="2" t="str">
        <v>S2-02166-BH</v>
      </c>
      <c r="E1731" s="2" t="str">
        <v>BAN_HANG</v>
      </c>
      <c r="F1731" s="2" t="str">
        <v>INP2202</v>
      </c>
      <c r="G1731" s="2" t="str">
        <v>2026-10-14</v>
      </c>
      <c r="H1731" s="2" t="str">
        <v>3647999.9808</v>
      </c>
      <c r="I1731" s="28" t="n">
        <v>3647999.9808</v>
      </c>
      <c r="J1731" s="7"/>
      <c r="K1731" s="28"/>
      <c r="L1731" s="2" t="str">
        <v>GIỮ PHIẾU BH ERP</v>
      </c>
      <c r="M1731" s="2" t="str">
        <v>BH2026100132</v>
      </c>
      <c r="N1731" s="2" t="str">
        <v>Đã có ERP</v>
      </c>
    </row>
    <row r="1732" ht="25" customHeight="1">
      <c r="A1732" s="2" t="str">
        <v>Q2172</v>
      </c>
      <c r="B1732" s="2" t="str">
        <v>KH071</v>
      </c>
      <c r="C1732" s="2" t="str">
        <v>KH071</v>
      </c>
      <c r="D1732" s="2" t="str">
        <v>S2-02166-BH</v>
      </c>
      <c r="E1732" s="2" t="str">
        <v>BAN_HANG</v>
      </c>
      <c r="F1732" s="2" t="str">
        <v>INP6105</v>
      </c>
      <c r="G1732" s="2" t="str">
        <v>2026-10-14</v>
      </c>
      <c r="H1732" s="2" t="str">
        <v>8760000.0528</v>
      </c>
      <c r="I1732" s="28" t="n">
        <v>8760000.0528</v>
      </c>
      <c r="J1732" s="7"/>
      <c r="K1732" s="28"/>
      <c r="L1732" s="2" t="str">
        <v>GIỮ PHIẾU BH ERP</v>
      </c>
      <c r="M1732" s="2" t="str">
        <v>BH2026100132</v>
      </c>
      <c r="N1732" s="2" t="str">
        <v>Đã có ERP</v>
      </c>
    </row>
    <row r="1733" ht="25" customHeight="1">
      <c r="A1733" s="2" t="str">
        <v>Q2173</v>
      </c>
      <c r="B1733" s="2" t="str">
        <v>KH071</v>
      </c>
      <c r="C1733" s="2" t="str">
        <v>KH071</v>
      </c>
      <c r="D1733" s="2" t="str">
        <v>S2-02166-BH</v>
      </c>
      <c r="E1733" s="2" t="str">
        <v>BAN_HANG</v>
      </c>
      <c r="F1733" s="2" t="str">
        <v>INP6209A</v>
      </c>
      <c r="G1733" s="2" t="str">
        <v>2026-10-14</v>
      </c>
      <c r="H1733" s="2" t="str">
        <v>2759999.9616</v>
      </c>
      <c r="I1733" s="28" t="n">
        <v>2759999.9616</v>
      </c>
      <c r="J1733" s="7"/>
      <c r="K1733" s="28"/>
      <c r="L1733" s="2" t="str">
        <v>GIỮ PHIẾU BH ERP</v>
      </c>
      <c r="M1733" s="2" t="str">
        <v>BH2026100132</v>
      </c>
      <c r="N1733" s="2" t="str">
        <v>Đã có ERP</v>
      </c>
    </row>
    <row r="1734" ht="25" customHeight="1">
      <c r="A1734" s="2" t="str">
        <v>Q2174</v>
      </c>
      <c r="B1734" s="2" t="str">
        <v>KH071</v>
      </c>
      <c r="C1734" s="2" t="str">
        <v>KH071</v>
      </c>
      <c r="D1734" s="2" t="str">
        <v>S2-02166-BH</v>
      </c>
      <c r="E1734" s="2" t="str">
        <v>BAN_HANG</v>
      </c>
      <c r="F1734" s="2" t="str">
        <v>INP6006</v>
      </c>
      <c r="G1734" s="2" t="str">
        <v>2026-10-14</v>
      </c>
      <c r="H1734" s="2" t="str">
        <v>8550000.036</v>
      </c>
      <c r="I1734" s="28" t="n">
        <v>8550000.036</v>
      </c>
      <c r="J1734" s="7"/>
      <c r="K1734" s="28"/>
      <c r="L1734" s="2" t="str">
        <v>GIỮ PHIẾU BH ERP</v>
      </c>
      <c r="M1734" s="2" t="str">
        <v>BH2026100132</v>
      </c>
      <c r="N1734" s="2" t="str">
        <v>Đã có ERP</v>
      </c>
    </row>
    <row r="1735" ht="25" customHeight="1">
      <c r="A1735" s="2" t="str">
        <v>Q2175</v>
      </c>
      <c r="B1735" s="2" t="str">
        <v>KH071</v>
      </c>
      <c r="C1735" s="2" t="str">
        <v>KH071</v>
      </c>
      <c r="D1735" s="2" t="str">
        <v>S2-02166-BH</v>
      </c>
      <c r="E1735" s="2" t="str">
        <v>BAN_HANG</v>
      </c>
      <c r="F1735" s="2" t="str">
        <v>INP6010</v>
      </c>
      <c r="G1735" s="2" t="str">
        <v>2026-10-14</v>
      </c>
      <c r="H1735" s="2" t="str">
        <v>7799999.976</v>
      </c>
      <c r="I1735" s="28" t="n">
        <v>7799999.976</v>
      </c>
      <c r="J1735" s="7"/>
      <c r="K1735" s="28"/>
      <c r="L1735" s="2" t="str">
        <v>GIỮ PHIẾU BH ERP</v>
      </c>
      <c r="M1735" s="2" t="str">
        <v>BH2026100132</v>
      </c>
      <c r="N1735" s="2" t="str">
        <v>Đã có ERP</v>
      </c>
    </row>
    <row r="1736" ht="25" customHeight="1">
      <c r="A1736" s="2" t="str">
        <v>Q2176</v>
      </c>
      <c r="B1736" s="2" t="str">
        <v>KH071</v>
      </c>
      <c r="C1736" s="2" t="str">
        <v>KH071</v>
      </c>
      <c r="D1736" s="2" t="str">
        <v>S2-02166-BH</v>
      </c>
      <c r="E1736" s="2" t="str">
        <v>BAN_HANG</v>
      </c>
      <c r="F1736" s="2" t="str">
        <v>INP6011</v>
      </c>
      <c r="G1736" s="2" t="str">
        <v>2026-10-14</v>
      </c>
      <c r="H1736" s="2" t="str">
        <v>9299999.934</v>
      </c>
      <c r="I1736" s="28" t="n">
        <v>9299999.934</v>
      </c>
      <c r="J1736" s="7"/>
      <c r="K1736" s="28"/>
      <c r="L1736" s="2" t="str">
        <v>GIỮ PHIẾU BH ERP</v>
      </c>
      <c r="M1736" s="2" t="str">
        <v>BH2026100132</v>
      </c>
      <c r="N1736" s="2" t="str">
        <v>Đã có ERP</v>
      </c>
    </row>
    <row r="1737" ht="25" customHeight="1">
      <c r="A1737" s="2" t="str">
        <v>Q2185</v>
      </c>
      <c r="B1737" s="2" t="str">
        <v>KH004</v>
      </c>
      <c r="C1737" s="2" t="str">
        <v>KH004</v>
      </c>
      <c r="D1737" s="2" t="str">
        <v>S2-02185-BH</v>
      </c>
      <c r="E1737" s="2" t="str">
        <v>BAN_HANG</v>
      </c>
      <c r="F1737" s="2" t="str">
        <v>INP6004</v>
      </c>
      <c r="G1737" s="2" t="str">
        <v>2026-10-14</v>
      </c>
      <c r="H1737" s="2" t="str">
        <v>2519999.9856</v>
      </c>
      <c r="I1737" s="28" t="n">
        <v>2519999.9856</v>
      </c>
      <c r="J1737" s="7"/>
      <c r="K1737" s="28"/>
      <c r="L1737" s="2" t="str">
        <v>GIỮ PHIẾU BH ERP</v>
      </c>
      <c r="M1737" s="2" t="str">
        <v>BH2026100131</v>
      </c>
      <c r="N1737" s="2" t="str">
        <v>Đã có ERP</v>
      </c>
    </row>
    <row r="1738" ht="25" customHeight="1">
      <c r="A1738" s="2" t="str">
        <v>Q2186</v>
      </c>
      <c r="B1738" s="2" t="str">
        <v>KH004</v>
      </c>
      <c r="C1738" s="2" t="str">
        <v>KH004</v>
      </c>
      <c r="D1738" s="2" t="str">
        <v>S2-02185-BH</v>
      </c>
      <c r="E1738" s="2" t="str">
        <v>BAN_HANG</v>
      </c>
      <c r="F1738" s="2" t="str">
        <v>INP6005</v>
      </c>
      <c r="G1738" s="2" t="str">
        <v>2026-10-14</v>
      </c>
      <c r="H1738" s="2" t="str">
        <v>2983999.9968</v>
      </c>
      <c r="I1738" s="28" t="n">
        <v>2983999.9968</v>
      </c>
      <c r="J1738" s="7"/>
      <c r="K1738" s="28"/>
      <c r="L1738" s="2" t="str">
        <v>GIỮ PHIẾU BH ERP</v>
      </c>
      <c r="M1738" s="2" t="str">
        <v>BH2026100131</v>
      </c>
      <c r="N1738" s="2" t="str">
        <v>Đã có ERP</v>
      </c>
    </row>
    <row r="1739" ht="25" customHeight="1">
      <c r="A1739" s="2" t="str">
        <v>Q2187</v>
      </c>
      <c r="B1739" s="2" t="str">
        <v>KH004</v>
      </c>
      <c r="C1739" s="2" t="str">
        <v>KH004</v>
      </c>
      <c r="D1739" s="2" t="str">
        <v>S2-02185-BH</v>
      </c>
      <c r="E1739" s="2" t="str">
        <v>BAN_HANG</v>
      </c>
      <c r="F1739" s="2" t="str">
        <v>INP6006</v>
      </c>
      <c r="G1739" s="2" t="str">
        <v>2026-10-14</v>
      </c>
      <c r="H1739" s="2" t="str">
        <v>2519999.9856</v>
      </c>
      <c r="I1739" s="28" t="n">
        <v>2519999.9856</v>
      </c>
      <c r="J1739" s="7"/>
      <c r="K1739" s="28"/>
      <c r="L1739" s="2" t="str">
        <v>GIỮ PHIẾU BH ERP</v>
      </c>
      <c r="M1739" s="2" t="str">
        <v>BH2026100131</v>
      </c>
      <c r="N1739" s="2" t="str">
        <v>Đã có ERP</v>
      </c>
    </row>
    <row r="1740" ht="25" customHeight="1">
      <c r="A1740" s="2" t="str">
        <v>Q2188</v>
      </c>
      <c r="B1740" s="2" t="str">
        <v>KH004</v>
      </c>
      <c r="C1740" s="2" t="str">
        <v>KH004</v>
      </c>
      <c r="D1740" s="2" t="str">
        <v>S2-02185-BH</v>
      </c>
      <c r="E1740" s="2" t="str">
        <v>BAN_HANG</v>
      </c>
      <c r="F1740" s="2" t="str">
        <v>INP6007</v>
      </c>
      <c r="G1740" s="2" t="str">
        <v>2026-10-14</v>
      </c>
      <c r="H1740" s="2" t="str">
        <v>2920000.0176</v>
      </c>
      <c r="I1740" s="28" t="n">
        <v>2920000.0176</v>
      </c>
      <c r="J1740" s="7"/>
      <c r="K1740" s="28"/>
      <c r="L1740" s="2" t="str">
        <v>GIỮ PHIẾU BH ERP</v>
      </c>
      <c r="M1740" s="2" t="str">
        <v>BH2026100131</v>
      </c>
      <c r="N1740" s="2" t="str">
        <v>Đã có ERP</v>
      </c>
    </row>
    <row r="1741" ht="25" customHeight="1">
      <c r="A1741" s="2" t="str">
        <v>Q2189</v>
      </c>
      <c r="B1741" s="2" t="str">
        <v>KH004</v>
      </c>
      <c r="C1741" s="2" t="str">
        <v>KH004</v>
      </c>
      <c r="D1741" s="2" t="str">
        <v>S2-02185-BH</v>
      </c>
      <c r="E1741" s="2" t="str">
        <v>BAN_HANG</v>
      </c>
      <c r="F1741" s="2" t="str">
        <v>INP6008</v>
      </c>
      <c r="G1741" s="2" t="str">
        <v>2026-10-14</v>
      </c>
      <c r="H1741" s="2" t="str">
        <v>2679999.9984</v>
      </c>
      <c r="I1741" s="28" t="n">
        <v>2679999.9984</v>
      </c>
      <c r="J1741" s="7"/>
      <c r="K1741" s="28"/>
      <c r="L1741" s="2" t="str">
        <v>GIỮ PHIẾU BH ERP</v>
      </c>
      <c r="M1741" s="2" t="str">
        <v>BH2026100131</v>
      </c>
      <c r="N1741" s="2" t="str">
        <v>Đã có ERP</v>
      </c>
    </row>
    <row r="1742" ht="25" customHeight="1">
      <c r="A1742" s="2" t="str">
        <v>Q2190</v>
      </c>
      <c r="B1742" s="2" t="str">
        <v>KH004</v>
      </c>
      <c r="C1742" s="2" t="str">
        <v>KH004</v>
      </c>
      <c r="D1742" s="2" t="str">
        <v>S2-02185-BH</v>
      </c>
      <c r="E1742" s="2" t="str">
        <v>BAN_HANG</v>
      </c>
      <c r="F1742" s="2" t="str">
        <v>INP6009</v>
      </c>
      <c r="G1742" s="2" t="str">
        <v>2026-10-14</v>
      </c>
      <c r="H1742" s="2" t="str">
        <v>3199999.9968</v>
      </c>
      <c r="I1742" s="28" t="n">
        <v>3199999.9968</v>
      </c>
      <c r="J1742" s="7"/>
      <c r="K1742" s="28"/>
      <c r="L1742" s="2" t="str">
        <v>GIỮ PHIẾU BH ERP</v>
      </c>
      <c r="M1742" s="2" t="str">
        <v>BH2026100131</v>
      </c>
      <c r="N1742" s="2" t="str">
        <v>Đã có ERP</v>
      </c>
    </row>
    <row r="1743" ht="25" customHeight="1">
      <c r="A1743" s="2" t="str">
        <v>Q2191</v>
      </c>
      <c r="B1743" s="2" t="str">
        <v>KH083</v>
      </c>
      <c r="C1743" s="2" t="str">
        <v>KH083</v>
      </c>
      <c r="D1743" s="2" t="str">
        <v>S2-02191-BH</v>
      </c>
      <c r="E1743" s="2" t="str">
        <v>BAN_HANG</v>
      </c>
      <c r="F1743" s="2" t="str">
        <v>INP6403</v>
      </c>
      <c r="G1743" s="2" t="str">
        <v>2026-10-15</v>
      </c>
      <c r="H1743" s="2" t="str">
        <v>2399999.9976</v>
      </c>
      <c r="I1743" s="28" t="n">
        <v>2399999.9976</v>
      </c>
      <c r="J1743" s="7"/>
      <c r="K1743" s="28"/>
      <c r="L1743" s="2" t="str">
        <v>GIỮ PHIẾU BH ERP</v>
      </c>
      <c r="M1743" s="2" t="str">
        <v>BH2026100134</v>
      </c>
      <c r="N1743" s="2" t="str">
        <v>Đã có ERP</v>
      </c>
    </row>
    <row r="1744" ht="25" customHeight="1">
      <c r="A1744" s="2" t="str">
        <v>Q2204</v>
      </c>
      <c r="B1744" s="2" t="str">
        <v>KH091</v>
      </c>
      <c r="C1744" s="2" t="str">
        <v>KH091</v>
      </c>
      <c r="D1744" s="2" t="str">
        <v>S2-02204-TH</v>
      </c>
      <c r="E1744" s="2" t="str">
        <v>TRA_HANG</v>
      </c>
      <c r="F1744" s="2" t="str">
        <v>INP6902</v>
      </c>
      <c r="G1744" s="2" t="str">
        <v>2026-10-16</v>
      </c>
      <c r="H1744" s="2" t="str">
        <v>2639999.9844</v>
      </c>
      <c r="I1744" s="28" t="n">
        <v>2639999.9844</v>
      </c>
      <c r="J1744" s="7" t="n">
        <v>2640000</v>
      </c>
      <c r="K1744" s="28" t="n">
        <f>J1744-I1744</f>
        <v>0.01560000004246831</v>
      </c>
      <c r="L1744" s="2" t="str">
        <v>NHẬP</v>
      </c>
      <c r="M1744" s="2" t="str"/>
      <c r="N1744" s="2" t="str">
        <v>KHAC</v>
      </c>
    </row>
    <row r="1745" ht="25" customHeight="1">
      <c r="A1745" s="2" t="str">
        <v>Q2205</v>
      </c>
      <c r="B1745" s="2" t="str">
        <v>KH091</v>
      </c>
      <c r="C1745" s="2" t="str">
        <v>KH091</v>
      </c>
      <c r="D1745" s="2" t="str">
        <v>S2-02204-TH</v>
      </c>
      <c r="E1745" s="2" t="str">
        <v>TRA_HANG</v>
      </c>
      <c r="F1745" s="2" t="str">
        <v>INP7901</v>
      </c>
      <c r="G1745" s="2" t="str">
        <v>2026-10-16</v>
      </c>
      <c r="H1745" s="2" t="str">
        <v>2999999.808</v>
      </c>
      <c r="I1745" s="28" t="n">
        <v>2999999.808</v>
      </c>
      <c r="J1745" s="7" t="n">
        <v>3000000</v>
      </c>
      <c r="K1745" s="28" t="n">
        <f>J1745-I1745</f>
        <v>0.1919999998062849</v>
      </c>
      <c r="L1745" s="2" t="str">
        <v>NHẬP</v>
      </c>
      <c r="M1745" s="2" t="str"/>
      <c r="N1745" s="2" t="str">
        <v>VOT_MUOI</v>
      </c>
    </row>
    <row r="1746" ht="25" customHeight="1">
      <c r="A1746" s="2" t="str">
        <v>Q2206</v>
      </c>
      <c r="B1746" s="2" t="str">
        <v>KH091</v>
      </c>
      <c r="C1746" s="2" t="str">
        <v>KH091</v>
      </c>
      <c r="D1746" s="2" t="str">
        <v>S2-02204-TH</v>
      </c>
      <c r="E1746" s="2" t="str">
        <v>TRA_HANG</v>
      </c>
      <c r="F1746" s="2" t="str">
        <v>INP7902</v>
      </c>
      <c r="G1746" s="2" t="str">
        <v>2026-10-16</v>
      </c>
      <c r="H1746" s="2" t="str">
        <v>4199999.904</v>
      </c>
      <c r="I1746" s="28" t="n">
        <v>4199999.904</v>
      </c>
      <c r="J1746" s="7" t="n">
        <v>4200000</v>
      </c>
      <c r="K1746" s="28" t="n">
        <f>J1746-I1746</f>
        <v>0.09599999990314245</v>
      </c>
      <c r="L1746" s="2" t="str">
        <v>NHẬP</v>
      </c>
      <c r="M1746" s="2" t="str"/>
      <c r="N1746" s="2" t="str">
        <v>VOT_MUOI</v>
      </c>
    </row>
    <row r="1747" ht="25" customHeight="1">
      <c r="A1747" s="2" t="str">
        <v>Q2207</v>
      </c>
      <c r="B1747" s="2" t="str">
        <v>KH091</v>
      </c>
      <c r="C1747" s="2" t="str">
        <v>KH091</v>
      </c>
      <c r="D1747" s="2" t="str">
        <v>S2-02204-TH</v>
      </c>
      <c r="E1747" s="2" t="str">
        <v>TRA_HANG</v>
      </c>
      <c r="F1747" s="2" t="str">
        <v>INP1003</v>
      </c>
      <c r="G1747" s="2" t="str">
        <v>2026-10-16</v>
      </c>
      <c r="H1747" s="2" t="str">
        <v>4319999.9568</v>
      </c>
      <c r="I1747" s="28" t="n">
        <v>4319999.9568</v>
      </c>
      <c r="J1747" s="7" t="n">
        <v>4320000</v>
      </c>
      <c r="K1747" s="28" t="n">
        <f>J1747-I1747</f>
        <v>0.04320000018924475</v>
      </c>
      <c r="L1747" s="2" t="str">
        <v>NHẬP</v>
      </c>
      <c r="M1747" s="2" t="str"/>
      <c r="N1747" s="2" t="str">
        <v>KHAC</v>
      </c>
    </row>
    <row r="1748" ht="25" customHeight="1">
      <c r="A1748" s="2" t="str">
        <v>Q2208</v>
      </c>
      <c r="B1748" s="2" t="str">
        <v>KH012</v>
      </c>
      <c r="C1748" s="2" t="str">
        <v>KH012</v>
      </c>
      <c r="D1748" s="2" t="str">
        <v>S2-02208-BH</v>
      </c>
      <c r="E1748" s="2" t="str">
        <v>BAN_HANG</v>
      </c>
      <c r="F1748" s="2" t="str">
        <v>INP1003</v>
      </c>
      <c r="G1748" s="2" t="str">
        <v>2026-10-16</v>
      </c>
      <c r="H1748" s="2" t="str">
        <v>4319999.9568</v>
      </c>
      <c r="I1748" s="28" t="n">
        <v>4319999.9568</v>
      </c>
      <c r="J1748" s="7"/>
      <c r="K1748" s="28"/>
      <c r="L1748" s="2" t="str">
        <v>GIỮ PHIẾU BH ERP</v>
      </c>
      <c r="M1748" s="2" t="str">
        <v>BH2026100136</v>
      </c>
      <c r="N1748" s="2" t="str">
        <v>Đã có ERP</v>
      </c>
    </row>
    <row r="1749" ht="25" customHeight="1">
      <c r="A1749" s="2" t="str">
        <v>R2210</v>
      </c>
      <c r="B1749" s="2" t="str">
        <v>KH083</v>
      </c>
      <c r="C1749" s="2" t="str">
        <v>KH083</v>
      </c>
      <c r="D1749" s="2" t="str">
        <v>S2-02210-TT</v>
      </c>
      <c r="E1749" s="2" t="str">
        <v>THU_TIEN</v>
      </c>
      <c r="F1749" s="2" t="str"/>
      <c r="G1749" s="2" t="str">
        <v>2026-10-16</v>
      </c>
      <c r="H1749" s="2" t="str">
        <v>2400000</v>
      </c>
      <c r="I1749" s="28" t="n">
        <v>2400000</v>
      </c>
      <c r="J1749" s="7"/>
      <c r="K1749" s="28"/>
      <c r="L1749" s="2" t="str">
        <v>GIỮ PHIẾU THU ERP</v>
      </c>
      <c r="M1749" s="2" t="str">
        <v>PAY2610-00002</v>
      </c>
      <c r="N1749" s="2" t="str">
        <v>Đã có ERP</v>
      </c>
    </row>
    <row r="1750" ht="25" customHeight="1">
      <c r="A1750" s="2" t="str">
        <v>S2211</v>
      </c>
      <c r="B1750" s="2" t="str">
        <v>KH024</v>
      </c>
      <c r="C1750" s="2" t="str">
        <v>KH024</v>
      </c>
      <c r="D1750" s="2" t="str">
        <v>S2-02211-VC</v>
      </c>
      <c r="E1750" s="2" t="str">
        <v>PHI_VAN_CHUYEN</v>
      </c>
      <c r="F1750" s="2" t="str"/>
      <c r="G1750" s="2" t="str">
        <v>2026-10-16</v>
      </c>
      <c r="H1750" s="2" t="str">
        <v>500000</v>
      </c>
      <c r="I1750" s="28" t="n">
        <v>500000</v>
      </c>
      <c r="J1750" s="7" t="n">
        <v>500000</v>
      </c>
      <c r="K1750" s="28" t="n">
        <f>J1750-I1750</f>
        <v>0</v>
      </c>
      <c r="L1750" s="2" t="str">
        <v>NHẬP</v>
      </c>
      <c r="M1750" s="2" t="str"/>
      <c r="N1750" s="2" t="str">
        <v>KHAC</v>
      </c>
    </row>
    <row r="1751" ht="25" customHeight="1">
      <c r="A1751" s="2" t="str">
        <v>R2212</v>
      </c>
      <c r="B1751" s="2" t="str">
        <v>KH080</v>
      </c>
      <c r="C1751" s="2" t="str">
        <v>KH080</v>
      </c>
      <c r="D1751" s="2" t="str">
        <v>S2-02212-TT</v>
      </c>
      <c r="E1751" s="2" t="str">
        <v>THU_TIEN</v>
      </c>
      <c r="F1751" s="2" t="str"/>
      <c r="G1751" s="2" t="str">
        <v>2026-10-16</v>
      </c>
      <c r="H1751" s="2" t="str">
        <v>12480000</v>
      </c>
      <c r="I1751" s="28" t="n">
        <v>12480000</v>
      </c>
      <c r="J1751" s="7" t="n">
        <v>12480000</v>
      </c>
      <c r="K1751" s="28" t="n">
        <f>J1751-I1751</f>
        <v>0</v>
      </c>
      <c r="L1751" s="2" t="str">
        <v>NHẬP</v>
      </c>
      <c r="M1751" s="2" t="str"/>
      <c r="N1751" s="2" t="str">
        <v>KHAC</v>
      </c>
    </row>
    <row r="1752" ht="25" customHeight="1">
      <c r="A1752" s="2" t="str">
        <v>R2213</v>
      </c>
      <c r="B1752" s="2" t="str">
        <v>KH024</v>
      </c>
      <c r="C1752" s="2" t="str">
        <v>KH024</v>
      </c>
      <c r="D1752" s="2" t="str">
        <v>S2-02213-TT</v>
      </c>
      <c r="E1752" s="2" t="str">
        <v>THU_TIEN</v>
      </c>
      <c r="F1752" s="2" t="str"/>
      <c r="G1752" s="2" t="str">
        <v>2026-10-16</v>
      </c>
      <c r="H1752" s="2" t="str">
        <v>90000000</v>
      </c>
      <c r="I1752" s="28" t="n">
        <v>90000000</v>
      </c>
      <c r="J1752" s="7" t="n">
        <v>90000000</v>
      </c>
      <c r="K1752" s="28" t="n">
        <f>J1752-I1752</f>
        <v>0</v>
      </c>
      <c r="L1752" s="2" t="str">
        <v>NHẬP</v>
      </c>
      <c r="M1752" s="2" t="str"/>
      <c r="N1752" s="2" t="str">
        <v>KHAC</v>
      </c>
    </row>
    <row r="1753" ht="25" customHeight="1">
      <c r="A1753" s="2" t="str">
        <v>Q2214</v>
      </c>
      <c r="B1753" s="2" t="str">
        <v>KH002</v>
      </c>
      <c r="C1753" s="2" t="str">
        <v>KH002</v>
      </c>
      <c r="D1753" s="2" t="str">
        <v>S2-02214-BH</v>
      </c>
      <c r="E1753" s="2" t="str">
        <v>BAN_HANG</v>
      </c>
      <c r="F1753" s="2" t="str">
        <v>INP2301</v>
      </c>
      <c r="G1753" s="2" t="str">
        <v>2026-10-15</v>
      </c>
      <c r="H1753" s="2" t="str">
        <v>22500000.18</v>
      </c>
      <c r="I1753" s="28" t="n">
        <v>22500000.18</v>
      </c>
      <c r="J1753" s="7"/>
      <c r="K1753" s="28"/>
      <c r="L1753" s="2" t="str">
        <v>GIỮ PHIẾU BH ERP</v>
      </c>
      <c r="M1753" s="2" t="str">
        <v>BH2026100133</v>
      </c>
      <c r="N1753" s="2" t="str">
        <v>Đã có ERP</v>
      </c>
    </row>
    <row r="1754" ht="25" customHeight="1">
      <c r="A1754" s="2" t="str">
        <v>Q2215</v>
      </c>
      <c r="B1754" s="2" t="str">
        <v>KH002</v>
      </c>
      <c r="C1754" s="2" t="str">
        <v>KH002</v>
      </c>
      <c r="D1754" s="2" t="str">
        <v>S2-02214-BH</v>
      </c>
      <c r="E1754" s="2" t="str">
        <v>BAN_HANG</v>
      </c>
      <c r="F1754" s="2" t="str">
        <v>INP1003</v>
      </c>
      <c r="G1754" s="2" t="str">
        <v>2026-10-15</v>
      </c>
      <c r="H1754" s="2" t="str">
        <v>53999999.46</v>
      </c>
      <c r="I1754" s="28" t="n">
        <v>53999999.46</v>
      </c>
      <c r="J1754" s="7"/>
      <c r="K1754" s="28"/>
      <c r="L1754" s="2" t="str">
        <v>GIỮ PHIẾU BH ERP</v>
      </c>
      <c r="M1754" s="2" t="str">
        <v>BH2026100133</v>
      </c>
      <c r="N1754" s="2" t="str">
        <v>Đã có ERP</v>
      </c>
    </row>
    <row r="1755" ht="25" customHeight="1">
      <c r="A1755" s="2" t="str">
        <v>Q2216</v>
      </c>
      <c r="B1755" s="2" t="str">
        <v>KH002</v>
      </c>
      <c r="C1755" s="2" t="str">
        <v>KH002</v>
      </c>
      <c r="D1755" s="2" t="str">
        <v>S2-02214-BH</v>
      </c>
      <c r="E1755" s="2" t="str">
        <v>BAN_HANG</v>
      </c>
      <c r="F1755" s="2" t="str">
        <v>INP6105</v>
      </c>
      <c r="G1755" s="2" t="str">
        <v>2026-10-15</v>
      </c>
      <c r="H1755" s="2" t="str">
        <v>21900000.132</v>
      </c>
      <c r="I1755" s="28" t="n">
        <v>21900000.132</v>
      </c>
      <c r="J1755" s="7"/>
      <c r="K1755" s="28"/>
      <c r="L1755" s="2" t="str">
        <v>GIỮ PHIẾU BH ERP</v>
      </c>
      <c r="M1755" s="2" t="str">
        <v>BH2026100133</v>
      </c>
      <c r="N1755" s="2" t="str">
        <v>Đã có ERP</v>
      </c>
    </row>
    <row r="1756" ht="25" customHeight="1">
      <c r="A1756" s="2" t="str">
        <v>R2218</v>
      </c>
      <c r="B1756" s="2" t="str">
        <v>KH096</v>
      </c>
      <c r="C1756" s="2" t="str">
        <v>(trống)</v>
      </c>
      <c r="D1756" s="2" t="str">
        <v>S2-02218-TT</v>
      </c>
      <c r="E1756" s="2" t="str">
        <v>THU_TIEN</v>
      </c>
      <c r="F1756" s="2" t="str"/>
      <c r="G1756" s="2" t="str">
        <v>2026-10-17</v>
      </c>
      <c r="H1756" s="2" t="str">
        <v>880000</v>
      </c>
      <c r="I1756" s="28" t="n">
        <v>880000</v>
      </c>
      <c r="J1756" s="7" t="n">
        <v>880000</v>
      </c>
      <c r="K1756" s="28" t="n">
        <f>J1756-I1756</f>
        <v>0</v>
      </c>
      <c r="L1756" s="2" t="str">
        <v>NHẬP</v>
      </c>
      <c r="M1756" s="2" t="str"/>
      <c r="N1756" s="2" t="str">
        <v>KHAC</v>
      </c>
    </row>
  </sheetData>
  <pageMargins left="0.7" right="0.7" top="0.75" bottom="0.75" header="0.3" footer="0.3"/>
  <tableParts count="1">
    <tablePart xmlns:r="http://schemas.openxmlformats.org/officeDocument/2006/relationships" r:id="Rfb06e5e71e044298"/>
  </tableParts>
</worksheet>
</file>

<file path=xl/worksheets/sheet8.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32" hidden="0" customWidth="1"/>
    <col min="2" max="2" width="13" hidden="0" customWidth="1"/>
    <col min="3" max="3" width="58" hidden="0" customWidth="1"/>
    <col min="4" max="4" width="28" hidden="0" customWidth="1"/>
    <col min="5" max="5" width="28" hidden="0" customWidth="1"/>
    <col min="6" max="6" width="24" hidden="0" customWidth="1"/>
    <col min="7" max="7" width="116" hidden="0" customWidth="1"/>
  </cols>
  <sheetData>
    <row r="1" ht="42" customHeight="1">
      <c r="A1" s="5" t="str">
        <v>Vấn đề</v>
      </c>
      <c r="B1" s="5" t="str">
        <v>Mã KH</v>
      </c>
      <c r="C1" s="5" t="str">
        <v>Địa chỉ / căn cứ</v>
      </c>
      <c r="D1" s="5" t="str">
        <v>Giá trị / ngày phụ</v>
      </c>
      <c r="E1" s="5" t="str">
        <v>Giá trị / ngày chọn</v>
      </c>
      <c r="F1" s="5" t="str">
        <v>Chênh lệch</v>
      </c>
      <c r="G1" s="5" t="str">
        <v>Xử lý / giới hạn</v>
      </c>
    </row>
    <row r="2" ht="56" customHeight="1">
      <c r="A2" s="30" t="str">
        <v>Khác số dư giữa sheet</v>
      </c>
      <c r="B2" s="2" t="str">
        <v>KH011</v>
      </c>
      <c r="C2" s="20" t="str">
        <v>Tùng Anh!K91</v>
      </c>
      <c r="D2" s="20" t="n">
        <v>171865679.9100001</v>
      </c>
      <c r="E2" s="20" t="n">
        <v>171325679.91</v>
      </c>
      <c r="F2" s="29" t="n">
        <v>540000.0000000894</v>
      </c>
      <c r="G2" s="20" t="str">
        <v>Chọn sổ chi tiết 订单 để lấy đủ các giao dịch; không cộng các sheet khách lần nữa</v>
      </c>
    </row>
    <row r="3" ht="56" customHeight="1">
      <c r="A3" s="30" t="str">
        <v>Khác số dư giữa sheet</v>
      </c>
      <c r="B3" s="2" t="str">
        <v>KH084</v>
      </c>
      <c r="C3" s="20" t="str">
        <v>Sơn Thúy!K77</v>
      </c>
      <c r="D3" s="20" t="n">
        <v>109073998.89960003</v>
      </c>
      <c r="E3" s="20" t="n">
        <v>44723998.8996</v>
      </c>
      <c r="F3" s="29" t="n">
        <v>64350000.00000003</v>
      </c>
      <c r="G3" s="20" t="str">
        <v>Chọn sổ chi tiết 订单 để lấy đủ các giao dịch; không cộng các sheet khách lần nữa</v>
      </c>
    </row>
    <row r="4" ht="56" customHeight="1">
      <c r="A4" s="30" t="str">
        <v>Khác số dư giữa sheet</v>
      </c>
      <c r="B4" s="2" t="str">
        <v>KH034</v>
      </c>
      <c r="C4" s="20" t="str">
        <v>319 ĐÔng Anh!K178</v>
      </c>
      <c r="D4" s="20" t="n">
        <v>364740996.5547998</v>
      </c>
      <c r="E4" s="20" t="n">
        <v>364740992.4508</v>
      </c>
      <c r="F4" s="29" t="n">
        <v>4.1039997935295105</v>
      </c>
      <c r="G4" s="20" t="str">
        <v>Chọn sổ chi tiết 订单 để lấy đủ các giao dịch; không cộng các sheet khách lần nữa</v>
      </c>
    </row>
    <row r="5" ht="56" customHeight="1">
      <c r="A5" s="30" t="str">
        <v>Khác số dư giữa sheet</v>
      </c>
      <c r="B5" s="2" t="str">
        <v>KH012</v>
      </c>
      <c r="C5" s="20" t="str">
        <v>Trường An!K75</v>
      </c>
      <c r="D5" s="20" t="n">
        <v>207889999.7708</v>
      </c>
      <c r="E5" s="20" t="n">
        <v>212209999.7276</v>
      </c>
      <c r="F5" s="29" t="n">
        <v>-4319999.956800014</v>
      </c>
      <c r="G5" s="20" t="str">
        <v>Chọn sổ chi tiết 订单 để lấy đủ các giao dịch; không cộng các sheet khách lần nữa</v>
      </c>
    </row>
    <row r="6" ht="56" customHeight="1">
      <c r="A6" s="30" t="str">
        <v>Khác số dư giữa sheet</v>
      </c>
      <c r="B6" s="2" t="str">
        <v>KH015</v>
      </c>
      <c r="C6" s="20" t="str">
        <v>Bá Hiến (2)!I103</v>
      </c>
      <c r="D6" s="20" t="n">
        <v>179999999.96480006</v>
      </c>
      <c r="E6" s="20" t="n">
        <v>132890999.9292</v>
      </c>
      <c r="F6" s="29" t="n">
        <v>47109000.035600066</v>
      </c>
      <c r="G6" s="20" t="str">
        <v>Chọn sổ chi tiết 订单 để lấy đủ các giao dịch; không cộng các sheet khách lần nữa</v>
      </c>
    </row>
    <row r="7" ht="56" customHeight="1">
      <c r="A7" s="30" t="str">
        <v>Khác số dư giữa sheet</v>
      </c>
      <c r="B7" s="2" t="str">
        <v>KH015</v>
      </c>
      <c r="C7" s="20" t="str">
        <v>Bá Hiến (2)!I111</v>
      </c>
      <c r="D7" s="20" t="n">
        <v>118599999.91280004</v>
      </c>
      <c r="E7" s="20" t="n">
        <v>132890999.9292</v>
      </c>
      <c r="F7" s="29" t="n">
        <v>-14291000.01639995</v>
      </c>
      <c r="G7" s="20" t="str">
        <v>Chọn sổ chi tiết 订单 để lấy đủ các giao dịch; không cộng các sheet khách lần nữa</v>
      </c>
    </row>
    <row r="8" ht="56" customHeight="1">
      <c r="A8" s="30" t="str">
        <v>Khác số dư giữa sheet</v>
      </c>
      <c r="B8" s="2" t="str">
        <v>KH091</v>
      </c>
      <c r="C8" s="20" t="str">
        <v>Ánh Luật!I33</v>
      </c>
      <c r="D8" s="20" t="n">
        <v>90797999.78559998</v>
      </c>
      <c r="E8" s="20" t="n">
        <v>141745999.6044</v>
      </c>
      <c r="F8" s="29" t="n">
        <v>-50947999.81880003</v>
      </c>
      <c r="G8" s="20" t="str">
        <v>Chọn sổ chi tiết 订单 để lấy đủ các giao dịch; không cộng các sheet khách lần nữa</v>
      </c>
    </row>
    <row r="9" ht="56" customHeight="1">
      <c r="A9" s="30" t="str">
        <v>Khác đơn giá nguồn</v>
      </c>
      <c r="B9" s="2" t="str">
        <v>KH034</v>
      </c>
      <c r="C9" s="20" t="str">
        <v>订单!N163 ↔ 319 ĐÔng Anh!M5</v>
      </c>
      <c r="D9" s="20" t="n">
        <v>314815</v>
      </c>
      <c r="E9" s="20" t="n">
        <v>314814.81</v>
      </c>
      <c r="F9" s="29" t="n">
        <v>0.19</v>
      </c>
      <c r="G9" s="20" t="str">
        <v>Sheet khách làm tròn đơn giá trước nhân: 20 × 0,19 × 1,08 = 4,104 đ. Chọn đơn giá chi tiết 314.814,81.</v>
      </c>
    </row>
    <row r="10" ht="56" customHeight="1">
      <c r="A10" s="30" t="str">
        <v>Footer quạt thiếu dòng mới</v>
      </c>
      <c r="B10" s="2" t="str">
        <v>KH058</v>
      </c>
      <c r="C10" s="20" t="str">
        <v>Rồng Việt!I86 ↔ 订单!Q2105</v>
      </c>
      <c r="D10" s="20" t="n">
        <v>136199999.556</v>
      </c>
      <c r="E10" s="20" t="n">
        <v>136819999.5516</v>
      </c>
      <c r="F10" s="29" t="n">
        <v>-619999.9956</v>
      </c>
      <c r="G10" s="20" t="str">
        <v>Dòng INP6402 ngày 09/10/2026 là 620.000 đ đã có trong ERP; phải tính vào quạt khi tách.</v>
      </c>
    </row>
    <row r="11" ht="56" customHeight="1">
      <c r="A11" s="30" t="str">
        <v>Công thức thành tiền đặc biệt</v>
      </c>
      <c r="B11" s="2" t="str">
        <v>KH007</v>
      </c>
      <c r="C11" s="20" t="str">
        <v>订单!Q1652</v>
      </c>
      <c r="D11" s="20" t="n">
        <v>2962962.96</v>
      </c>
      <c r="E11" s="20" t="n">
        <v>2962962.96</v>
      </c>
      <c r="F11" s="29" t="n">
        <v>0</v>
      </c>
      <c r="G11" s="20" t="str">
        <v>Q1652 = M1652*N1652, O/P = 0. Giữ đúng số nguồn và sheet Việt Lợi; chưa có chứng từ gốc để suy đoán miễn phí / VAT.</v>
      </c>
    </row>
    <row r="12" ht="56" customHeight="1">
      <c r="A12" s="30" t="str">
        <v>Khoản thu không nhập lại</v>
      </c>
      <c r="B12" s="2" t="str">
        <v>KH056</v>
      </c>
      <c r="C12" s="20" t="str">
        <v>订单!R2071 / PAY2610-00001</v>
      </c>
      <c r="D12" s="20" t="n">
        <v>2500000</v>
      </c>
      <c r="E12" s="20" t="n">
        <v>2500000</v>
      </c>
      <c r="F12" s="29" t="n">
        <v>0</v>
      </c>
      <c r="G12" s="20" t="str">
        <v>Nguồn ngày 09/10, ERP ngày 04/10. Giữ phiếu thu ERP đã có; ghi rõ khác ngày để kế toán tra ngân hàng nếu cần.</v>
      </c>
    </row>
    <row r="13" ht="56" customHeight="1">
      <c r="A13" s="30" t="str">
        <v>Ngày nguồn cần rà soát</v>
      </c>
      <c r="B13" s="2" t="str">
        <v>KH001</v>
      </c>
      <c r="C13" s="20" t="str">
        <v>2.xlsx | 订单!58</v>
      </c>
      <c r="D13" s="20" t="str">
        <v>2026-11-02</v>
      </c>
      <c r="E13" s="20" t="str">
        <v>2026-02-11</v>
      </c>
      <c r="F13" s="29"/>
      <c r="G13" s="20" t="str">
        <v>Ngày 2026-11-02 ở tương lai → đảo ngày/tháng thành 2026-02-11</v>
      </c>
    </row>
    <row r="14" ht="56" customHeight="1">
      <c r="A14" s="30" t="str">
        <v>Ngày nguồn cần rà soát</v>
      </c>
      <c r="B14" s="2" t="str">
        <v>KH001</v>
      </c>
      <c r="C14" s="20" t="str">
        <v>2.xlsx | 订单!98-105</v>
      </c>
      <c r="D14" s="20" t="str">
        <v>2026-10-07</v>
      </c>
      <c r="E14" s="20" t="str">
        <v>2026-07-10</v>
      </c>
      <c r="F14" s="29"/>
      <c r="G14" s="20" t="str">
        <v>Ngày 2026-10-07 sau mốc của khối nhập tay (≤ 2026-08-15) → đảo ngày/tháng thành 2026-07-10</v>
      </c>
    </row>
    <row r="15" ht="56" customHeight="1">
      <c r="A15" s="30" t="str">
        <v>Ngày nguồn cần rà soát</v>
      </c>
      <c r="B15" s="2" t="str">
        <v>KH001</v>
      </c>
      <c r="C15" s="20" t="str">
        <v>2.xlsx | 订单!106</v>
      </c>
      <c r="D15" s="20" t="str">
        <v>2026-10-07</v>
      </c>
      <c r="E15" s="20" t="str">
        <v>2026-07-10</v>
      </c>
      <c r="F15" s="29"/>
      <c r="G15" s="20" t="str">
        <v>Ngày 2026-10-07 sau mốc của khối nhập tay (≤ 2026-08-15) → đảo ngày/tháng thành 2026-07-10</v>
      </c>
    </row>
    <row r="16" ht="56" customHeight="1">
      <c r="A16" s="30" t="str">
        <v>Ngày nguồn cần rà soát</v>
      </c>
      <c r="B16" s="2" t="str">
        <v>KH005</v>
      </c>
      <c r="C16" s="20" t="str">
        <v>2.xlsx | 订单!265</v>
      </c>
      <c r="D16" s="20" t="str">
        <v>2026-11-04</v>
      </c>
      <c r="E16" s="20" t="str">
        <v>2026-04-11</v>
      </c>
      <c r="F16" s="29"/>
      <c r="G16" s="20" t="str">
        <v>Ngày 2026-11-04 ở tương lai → đảo ngày/tháng thành 2026-04-11</v>
      </c>
    </row>
    <row r="17" ht="56" customHeight="1">
      <c r="A17" s="30" t="str">
        <v>Ngày nguồn cần rà soát</v>
      </c>
      <c r="B17" s="2" t="str">
        <v>KH015</v>
      </c>
      <c r="C17" s="20" t="str">
        <v>2.xlsx | 订单!996-1001</v>
      </c>
      <c r="D17" s="20" t="str">
        <v>2026-10-07</v>
      </c>
      <c r="E17" s="20" t="str">
        <v>2026-07-10</v>
      </c>
      <c r="F17" s="29"/>
      <c r="G17" s="20" t="str">
        <v>Ngày 2026-10-07 sau mốc của khối nhập tay (≤ 2026-08-15) → đảo ngày/tháng thành 2026-07-10</v>
      </c>
    </row>
    <row r="18" ht="56" customHeight="1">
      <c r="A18" s="30" t="str">
        <v>Ngày nguồn cần rà soát</v>
      </c>
      <c r="B18" s="2" t="str">
        <v>KH021</v>
      </c>
      <c r="C18" s="20" t="str">
        <v>2.xlsx | 订单!1999</v>
      </c>
      <c r="D18" s="20" t="str"/>
      <c r="E18" s="20" t="str">
        <v>2026-10-02</v>
      </c>
      <c r="F18" s="29"/>
      <c r="G18" s="20" t="str">
        <v>2.xlsx | 订单!D1999 có ngày; C1999 trống</v>
      </c>
    </row>
    <row r="19" ht="56" customHeight="1">
      <c r="A19" s="30" t="str">
        <v>Ngày nguồn cần rà soát</v>
      </c>
      <c r="B19" s="2" t="str">
        <v>KH024</v>
      </c>
      <c r="C19" s="20" t="str">
        <v>2.xlsx | 订单!536</v>
      </c>
      <c r="D19" s="20" t="str"/>
      <c r="E19" s="20" t="str">
        <v>2026-04-05</v>
      </c>
      <c r="F19" s="29"/>
      <c r="G19" s="20" t="str">
        <v>Dòng không có ngày ghi sổ — tạm lấy ngày dòng trước 2026-04-05</v>
      </c>
    </row>
    <row r="20" ht="56" customHeight="1">
      <c r="A20" s="30" t="str">
        <v>Ngày nguồn cần rà soát</v>
      </c>
      <c r="B20" s="2" t="str">
        <v>KH024</v>
      </c>
      <c r="C20" s="20" t="str">
        <v>2.xlsx | 订单!1062</v>
      </c>
      <c r="D20" s="20" t="str"/>
      <c r="E20" s="20" t="str">
        <v>2026-08-04</v>
      </c>
      <c r="F20" s="29"/>
      <c r="G20" s="20" t="str">
        <v>Dòng không có ngày ghi sổ — tạm lấy ngày dòng trước 2026-08-04</v>
      </c>
    </row>
    <row r="21" ht="56" customHeight="1">
      <c r="A21" s="30" t="str">
        <v>Ngày nguồn cần rà soát</v>
      </c>
      <c r="B21" s="2" t="str">
        <v>KH024</v>
      </c>
      <c r="C21" s="20" t="str">
        <v>2.xlsx | 订单!1692</v>
      </c>
      <c r="D21" s="20" t="str"/>
      <c r="E21" s="20" t="str">
        <v>2026-09-14</v>
      </c>
      <c r="F21" s="29"/>
      <c r="G21" s="20" t="str">
        <v>2.xlsx | Minh Trí!C85: dòng cước duy nhất cùng số tiền</v>
      </c>
    </row>
    <row r="22" ht="56" customHeight="1">
      <c r="A22" s="30" t="str">
        <v>Ngày nguồn cần rà soát</v>
      </c>
      <c r="B22" s="2" t="str">
        <v>KH034</v>
      </c>
      <c r="C22" s="20" t="str">
        <v>2.xlsx | 订单!225</v>
      </c>
      <c r="D22" s="20" t="str"/>
      <c r="E22" s="20" t="str">
        <v>2026-02-11</v>
      </c>
      <c r="F22" s="29"/>
      <c r="G22" s="20" t="str">
        <v>Dòng không có ngày ghi sổ — tạm lấy ngày dòng trước 2026-02-11</v>
      </c>
    </row>
    <row r="23" ht="56" customHeight="1">
      <c r="A23" s="30" t="str">
        <v>Ngày nguồn cần rà soát</v>
      </c>
      <c r="B23" s="2" t="str">
        <v>KH049</v>
      </c>
      <c r="C23" s="20" t="str">
        <v>2.xlsx | 订单!929-930</v>
      </c>
      <c r="D23" s="20" t="str">
        <v>30/10/2025</v>
      </c>
      <c r="E23" s="20" t="str">
        <v>2025-10-30</v>
      </c>
      <c r="F23" s="29"/>
      <c r="G23" s="20" t="str">
        <v>Dòng không có ngày ghi sổ — tạm lấy ngày dòng trước 2025-10-30</v>
      </c>
    </row>
    <row r="24" ht="56" customHeight="1">
      <c r="A24" s="30" t="str">
        <v>Ngày nguồn cần rà soát</v>
      </c>
      <c r="B24" s="2" t="str">
        <v>KH049</v>
      </c>
      <c r="C24" s="20" t="str">
        <v>2.xlsx | 订单!942-943</v>
      </c>
      <c r="D24" s="20" t="str">
        <v>2026-09-02</v>
      </c>
      <c r="E24" s="20" t="str">
        <v>2026-02-09</v>
      </c>
      <c r="F24" s="29"/>
      <c r="G24" s="20" t="str">
        <v>Ngày 2026-09-02 sau mốc của khối nhập tay (≤ 2026-08-15) → đảo ngày/tháng thành 2026-02-09</v>
      </c>
    </row>
    <row r="25" ht="56" customHeight="1">
      <c r="A25" s="30" t="str">
        <v>Ngày nguồn cần rà soát</v>
      </c>
      <c r="B25" s="2" t="str">
        <v>KH058</v>
      </c>
      <c r="C25" s="20" t="str">
        <v>2.xlsx | 订单!345</v>
      </c>
      <c r="D25" s="20" t="str">
        <v>2026-11-14</v>
      </c>
      <c r="E25" s="20" t="str">
        <v>2026-04-11</v>
      </c>
      <c r="F25" s="29"/>
      <c r="G25" s="20" t="str">
        <v>Ngày 2026-11-14 ở tương lai → lấy ngày 2026-04-11 của khoản cùng số tiền trên sheet đối chiếu Rồng Việt</v>
      </c>
    </row>
    <row r="26" ht="56" customHeight="1">
      <c r="A26" s="30" t="str">
        <v>Ngày nguồn cần rà soát</v>
      </c>
      <c r="B26" s="2" t="str">
        <v>KH058</v>
      </c>
      <c r="C26" s="20" t="str">
        <v>2.xlsx | 订单!355</v>
      </c>
      <c r="D26" s="20" t="str"/>
      <c r="E26" s="20" t="str">
        <v>2026-05-19</v>
      </c>
      <c r="F26" s="29"/>
      <c r="G26" s="20" t="str">
        <v>Dòng không có ngày ghi sổ — tạm lấy ngày dòng trước 2026-05-19 | Chiết khấu / giảm giá 15000943.658328 — kiểm tra lại</v>
      </c>
    </row>
    <row r="27" ht="56" customHeight="1">
      <c r="A27" s="30" t="str">
        <v>Ngày nguồn cần rà soát</v>
      </c>
      <c r="B27" s="2" t="str">
        <v>KH066</v>
      </c>
      <c r="C27" s="20" t="str">
        <v>2.xlsx | 订单!741</v>
      </c>
      <c r="D27" s="20" t="str">
        <v>2026-11-02</v>
      </c>
      <c r="E27" s="20" t="str">
        <v>2026-02-11</v>
      </c>
      <c r="F27" s="29"/>
      <c r="G27" s="20" t="str">
        <v>Ngày 2026-11-02 ở tương lai → đảo ngày/tháng thành 2026-02-11</v>
      </c>
    </row>
    <row r="28" ht="56" customHeight="1">
      <c r="A28" s="30" t="str">
        <v>Ngày nguồn cần rà soát</v>
      </c>
      <c r="B28" s="2" t="str">
        <v>KH066</v>
      </c>
      <c r="C28" s="20" t="str">
        <v>2.xlsx | 订单!742</v>
      </c>
      <c r="D28" s="20" t="str">
        <v>2026-10-03</v>
      </c>
      <c r="E28" s="20" t="str">
        <v>2026-03-10</v>
      </c>
      <c r="F28" s="29"/>
      <c r="G28" s="20" t="str">
        <v>Ngày 2026-10-03 sau mốc của khối nhập tay (≤ 2026-08-15) → đảo ngày/tháng thành 2026-03-10</v>
      </c>
    </row>
    <row r="29" ht="56" customHeight="1">
      <c r="A29" s="30" t="str">
        <v>Ngày nguồn cần rà soát</v>
      </c>
      <c r="B29" s="2" t="str">
        <v>KH066</v>
      </c>
      <c r="C29" s="20" t="str">
        <v>2.xlsx | 订单!743</v>
      </c>
      <c r="D29" s="20" t="str">
        <v>2026-10-03</v>
      </c>
      <c r="E29" s="20" t="str">
        <v>2026-03-10</v>
      </c>
      <c r="F29" s="29"/>
      <c r="G29" s="20" t="str">
        <v>Ngày 2026-10-03 sau mốc của khối nhập tay (≤ 2026-08-15) → đảo ngày/tháng thành 2026-03-10</v>
      </c>
    </row>
    <row r="30" ht="56" customHeight="1">
      <c r="A30" s="30" t="str">
        <v>Ngày nguồn cần rà soát</v>
      </c>
      <c r="B30" s="2" t="str">
        <v>KH066</v>
      </c>
      <c r="C30" s="20" t="str">
        <v>2.xlsx | 订单!763-768</v>
      </c>
      <c r="D30" s="20" t="str">
        <v>25/04/2026</v>
      </c>
      <c r="E30" s="20" t="str">
        <v>2026-04-25</v>
      </c>
      <c r="F30" s="29"/>
      <c r="G30" s="20" t="str">
        <v>Dòng không có ngày ghi sổ — tạm lấy ngày dòng trước 2026-04-25</v>
      </c>
    </row>
    <row r="31" ht="56" customHeight="1">
      <c r="A31" s="30" t="str">
        <v>Ngày nguồn cần rà soát</v>
      </c>
      <c r="B31" s="2" t="str">
        <v>KH066</v>
      </c>
      <c r="C31" s="20" t="str">
        <v>2.xlsx | 订单!785</v>
      </c>
      <c r="D31" s="20" t="str">
        <v>2026-10-07</v>
      </c>
      <c r="E31" s="20" t="str">
        <v>2026-07-10</v>
      </c>
      <c r="F31" s="29"/>
      <c r="G31" s="20" t="str">
        <v>Ngày 2026-10-07 sau mốc của khối nhập tay (≤ 2026-08-15) → đảo ngày/tháng thành 2026-07-10</v>
      </c>
    </row>
    <row r="32" ht="56" customHeight="1">
      <c r="A32" s="30" t="str">
        <v>Ngày nguồn cần rà soát</v>
      </c>
      <c r="B32" s="2" t="str">
        <v>KH066</v>
      </c>
      <c r="C32" s="20" t="str">
        <v>2.xlsx | 订单!786</v>
      </c>
      <c r="D32" s="20" t="str">
        <v>2026-10-07</v>
      </c>
      <c r="E32" s="20" t="str">
        <v>2026-07-10</v>
      </c>
      <c r="F32" s="29"/>
      <c r="G32" s="20" t="str">
        <v>Ngày 2026-10-07 sau mốc của khối nhập tay (≤ 2026-08-15) → đảo ngày/tháng thành 2026-07-10</v>
      </c>
    </row>
    <row r="33" ht="56" customHeight="1">
      <c r="A33" s="30" t="str">
        <v>Ngày nguồn cần rà soát</v>
      </c>
      <c r="B33" s="2" t="str">
        <v>KH066</v>
      </c>
      <c r="C33" s="20" t="str">
        <v>2.xlsx | 订单!787</v>
      </c>
      <c r="D33" s="20" t="str">
        <v>2026-10-07</v>
      </c>
      <c r="E33" s="20" t="str">
        <v>2026-07-10</v>
      </c>
      <c r="F33" s="29"/>
      <c r="G33" s="20" t="str">
        <v>Ngày 2026-10-07 sau mốc của khối nhập tay (≤ 2026-08-15) → đảo ngày/tháng thành 2026-07-10</v>
      </c>
    </row>
    <row r="34" ht="56" customHeight="1">
      <c r="A34" s="30" t="str">
        <v>Ngày nguồn cần rà soát</v>
      </c>
      <c r="B34" s="2" t="str">
        <v>KH068</v>
      </c>
      <c r="C34" s="20" t="str">
        <v>2.xlsx | 订单!473</v>
      </c>
      <c r="D34" s="20" t="str"/>
      <c r="E34" s="20" t="str">
        <v>2026-06-03</v>
      </c>
      <c r="F34" s="29"/>
      <c r="G34" s="20" t="str">
        <v>Dòng không có ngày ghi sổ — tạm lấy ngày dòng trước 2026-06-03</v>
      </c>
    </row>
    <row r="35" ht="56" customHeight="1">
      <c r="A35" s="30" t="str">
        <v>Ngày nguồn cần rà soát</v>
      </c>
      <c r="B35" s="2" t="str">
        <v>KH074</v>
      </c>
      <c r="C35" s="20" t="str">
        <v>2.xlsx | 订单!392</v>
      </c>
      <c r="D35" s="20" t="str"/>
      <c r="E35" s="20" t="str">
        <v>2025-12-30</v>
      </c>
      <c r="F35" s="29"/>
      <c r="G35" s="20" t="str">
        <v>Dòng không có ngày ghi sổ — tạm lấy ngày dòng trước 2025-12-30</v>
      </c>
    </row>
    <row r="36" ht="56" customHeight="1">
      <c r="A36" s="30" t="str">
        <v>Ngày nguồn cần rà soát</v>
      </c>
      <c r="B36" s="2" t="str">
        <v>KH074</v>
      </c>
      <c r="C36" s="20" t="str">
        <v>2.xlsx | 订单!420</v>
      </c>
      <c r="D36" s="20" t="str"/>
      <c r="E36" s="20" t="str">
        <v>2026-02-06</v>
      </c>
      <c r="F36" s="29"/>
      <c r="G36" s="20" t="str">
        <v>Dòng không có ngày ghi sổ — tạm lấy ngày dòng trước 2026-02-06</v>
      </c>
    </row>
    <row r="37" ht="56" customHeight="1">
      <c r="A37" s="30" t="str">
        <v>Ngày nguồn cần rà soát</v>
      </c>
      <c r="B37" s="2" t="str">
        <v>KH074</v>
      </c>
      <c r="C37" s="20" t="str">
        <v>2.xlsx | 订单!401</v>
      </c>
      <c r="D37" s="20" t="str"/>
      <c r="E37" s="20" t="str">
        <v>2026-03-02</v>
      </c>
      <c r="F37" s="29"/>
      <c r="G37" s="20" t="str">
        <v>Dòng không có ngày ghi sổ — tạm lấy ngày dòng trước 2026-03-02</v>
      </c>
    </row>
    <row r="38" ht="56" customHeight="1">
      <c r="A38" s="30" t="str">
        <v>Ngày nguồn cần rà soát</v>
      </c>
      <c r="B38" s="2" t="str">
        <v>KH074</v>
      </c>
      <c r="C38" s="20" t="str">
        <v>2.xlsx | 订单!402-405</v>
      </c>
      <c r="D38" s="20" t="str"/>
      <c r="E38" s="20" t="str">
        <v>2026-03-02</v>
      </c>
      <c r="F38" s="29"/>
      <c r="G38" s="20" t="str">
        <v>Dòng không có ngày ghi sổ — tạm lấy ngày dòng trước 2026-03-02</v>
      </c>
    </row>
    <row r="39" ht="56" customHeight="1">
      <c r="A39" s="30" t="str">
        <v>Ngày nguồn cần rà soát</v>
      </c>
      <c r="B39" s="2" t="str">
        <v>KH084</v>
      </c>
      <c r="C39" s="20" t="str">
        <v>2.xlsx | 订单!822</v>
      </c>
      <c r="D39" s="20" t="str">
        <v>2026-10-02</v>
      </c>
      <c r="E39" s="20" t="str">
        <v>2026-02-10</v>
      </c>
      <c r="F39" s="29"/>
      <c r="G39" s="20" t="str">
        <v>Ngày 2026-10-02 sau mốc của khối nhập tay (≤ 2026-08-15) → đảo ngày/tháng thành 2026-02-10</v>
      </c>
    </row>
    <row r="40" ht="56" customHeight="1">
      <c r="A40" s="30" t="str">
        <v>Ngày nguồn cần rà soát</v>
      </c>
      <c r="B40" s="2" t="str">
        <v>KH084</v>
      </c>
      <c r="C40" s="20" t="str">
        <v>2.xlsx | 订单!832</v>
      </c>
      <c r="D40" s="20" t="str">
        <v>2026-09-04</v>
      </c>
      <c r="E40" s="20" t="str">
        <v>2026-04-09</v>
      </c>
      <c r="F40" s="29"/>
      <c r="G40" s="20" t="str">
        <v>Ngày 2026-09-04 sau mốc của khối nhập tay (≤ 2026-08-15) → đảo ngày/tháng thành 2026-04-09</v>
      </c>
    </row>
    <row r="41" ht="56" customHeight="1">
      <c r="A41" s="30" t="str">
        <v>Ngày nguồn cần rà soát</v>
      </c>
      <c r="B41" s="2" t="str">
        <v>KH091</v>
      </c>
      <c r="C41" s="20" t="str">
        <v>2.xlsx | 订单!1968</v>
      </c>
      <c r="D41" s="20" t="str"/>
      <c r="E41" s="20" t="str">
        <v>2026-09-30</v>
      </c>
      <c r="F41" s="29"/>
      <c r="G41" s="20" t="str">
        <v>2.xlsx | Ánh Luật !C26 và 订单!D1968: khoản thu 50.000.000</v>
      </c>
    </row>
    <row r="42" ht="56" customHeight="1">
      <c r="A42" s="30" t="str">
        <v>Toàn vẹn nguồn</v>
      </c>
      <c r="B42" s="2" t="str">
        <v>Tất cả</v>
      </c>
      <c r="C42" s="20" t="str">
        <v>2.xlsx / 订单</v>
      </c>
      <c r="D42" s="20" t="n">
        <v>1755</v>
      </c>
      <c r="E42" s="20" t="n">
        <v>1755</v>
      </c>
      <c r="F42" s="29" t="n">
        <v>0</v>
      </c>
      <c r="G42" s="20" t="str">
        <v>Đã gán đủ mọi ô có tiền Q:R:S:T:U; 1661 ô vào lô nhập, 94 ô giữ chứng từ ERP.</v>
      </c>
    </row>
    <row r="43" ht="56" customHeight="1">
      <c r="A43" s="30" t="str">
        <v>Kiểm tra công thức</v>
      </c>
      <c r="B43" s="2" t="str">
        <v>Tất cả</v>
      </c>
      <c r="C43" s="20" t="str">
        <v>订单!O:V</v>
      </c>
      <c r="D43" s="20" t="n">
        <v>8252</v>
      </c>
      <c r="E43" s="20" t="n">
        <v>8252</v>
      </c>
      <c r="F43" s="29" t="n">
        <v>0</v>
      </c>
      <c r="G43" s="20" t="str">
        <v>Tính lại bằng Decimal; sai khác cache lớn nhất 0,00000001 đ.</v>
      </c>
    </row>
    <row r="44" ht="56" customHeight="1">
      <c r="A44" s="30" t="str">
        <v>Gộp phiếu theo mã BH</v>
      </c>
      <c r="B44" s="2" t="str">
        <v>Tất cả</v>
      </c>
      <c r="C44" s="20" t="str">
        <v>39 nhóm phiếu bị tách theo hóa đơn</v>
      </c>
      <c r="D44" s="20" t="n">
        <v>39</v>
      </c>
      <c r="E44" s="20" t="n">
        <v>39</v>
      </c>
      <c r="F44" s="29" t="n">
        <v>0</v>
      </c>
      <c r="G44" s="20" t="str">
        <v>Gộp các mảnh cùng khách / cùng số BH / cùng ngày trước khi ghép ERP, tránh chỉ bỏ sót một phần phiếu.</v>
      </c>
    </row>
  </sheetData>
  <pageMargins left="0.7" right="0.7" top="0.75" bottom="0.75" header="0.3" footer="0.3"/>
  <tableParts count="1">
    <tablePart xmlns:r="http://schemas.openxmlformats.org/officeDocument/2006/relationships" r:id="R5f2e92d18ee84d51"/>
  </tableParts>
</worksheet>
</file>

<file path=xl/worksheets/sheet9.xml><?xml version="1.0" encoding="utf-8"?>
<worksheet xmlns="http://schemas.openxmlformats.org/spreadsheetml/2006/main">
  <sheetPr>
    <tabColor rgb="FF117C83"/>
  </sheetPr>
  <sheetViews>
    <sheetView showGridLines="0" workbookViewId="0">
      <pane ySplit="1" topLeftCell="A2" activePane="bottomLeft" state="frozen"/>
    </sheetView>
  </sheetViews>
  <sheetFormatPr defaultRowHeight="15"/>
  <cols>
    <col min="1" max="1" width="35" hidden="0" customWidth="1"/>
    <col min="2" max="2" width="145" hidden="0" customWidth="1"/>
  </cols>
  <sheetData>
    <row r="1" ht="42" customHeight="1">
      <c r="A1" s="5" t="str">
        <v>Nội dung</v>
      </c>
      <c r="B1" s="5" t="str">
        <v>Giải thích / nguồn</v>
      </c>
    </row>
    <row r="2" ht="64" customHeight="1">
      <c r="A2" s="2" t="str">
        <v>Mục đích</v>
      </c>
      <c r="B2" s="20" t="str">
        <v>Tệp import công nợ lịch sử được tạo lại từ 2.xlsx, chốt đến hết 17/10/2026. Chưa nhập hay thay đổi dữ liệu ERP.</v>
      </c>
    </row>
    <row r="3" ht="64" customHeight="1">
      <c r="A3" s="2" t="str">
        <v>Nguồn chính</v>
      </c>
      <c r="B3" s="20" t="str">
        <v>d:/Ổ F clone/marketing Hoang/19-10-2025/2.xlsx | sheet 订单. Các sheet khách chỉ đối chiếu; không nhập cộng thêm.</v>
      </c>
    </row>
    <row r="4" ht="64" customHeight="1">
      <c r="A4" s="2" t="str">
        <v>Dấu vân tay nguồn (SHA-256)</v>
      </c>
      <c r="B4" s="20" t="str">
        <v>3c2158487228a77450944be56a011b85fa8c26720904af18b8b5ef0ed6531874</v>
      </c>
    </row>
    <row r="5" ht="64" customHeight="1">
      <c r="A5" s="2" t="str">
        <v>Đối chiếu ERP</v>
      </c>
      <c r="B5" s="20" t="str">
        <v>Ảnh chụp chỉ đọc 2026-10-19T06:30:08.382Z; phiên bản 20261019-114848; 34 đơn / 34 khoản công nợ, trong đó 24 đơn có giá trị; 2 phiếu thu; không còn lô lịch sử đang hiệu lực.</v>
      </c>
    </row>
    <row r="6" ht="64" customHeight="1">
      <c r="A6" s="2" t="str">
        <v>Chọn cơ sở kế toán</v>
      </c>
      <c r="B6" s="20" t="str">
        <v>Lấy toàn bộ phát sinh ở 订单, tính lại công thức rồi cộng theo khách. Số dư kiểm soát = ROUND(tổng bán + hoàn tiền − thu − cước − trả hàng − giảm giá − trừ lương, 0). Không chọn ô footer bị thiếu giao dịch / làm tròn đơn giá sớm.</v>
      </c>
    </row>
    <row r="7" ht="64" customHeight="1">
      <c r="A7" s="2" t="str">
        <v>Chuẩn hóa tiền VND</v>
      </c>
      <c r="B7" s="20" t="str">
        <v>Đây là phương án phân bổ làm tròn theo tổng từng khách, KHÔNG phải mỗi dòng đều làm tròn độc lập tới số gần nhất. File nguồn có nhiều phần lẻ dưới đồng do đơn giá trước VAT. Mỗi ô tiền lịch sử được chọn giữa hai đồng nguyên bao quanh số gốc.</v>
      </c>
    </row>
    <row r="8" ht="64" customHeight="1">
      <c r="A8" s="2" t="str">
        <v>Ràng buộc giữ tổng</v>
      </c>
      <c r="B8" s="20" t="str">
        <v>Giữ nguyên số tiền chứng từ đã có trên ERP. Chọn các phần lẻ theo thứ tự lớn nhất để: dư nợ cuối từng khách đúng số kiểm soát, đồng thời tổng quạt / vợt muỗi phát sinh ròng đúng tổng nguồn làm tròn về đồng.</v>
      </c>
    </row>
    <row r="9" ht="64" customHeight="1">
      <c r="A9" s="2" t="str">
        <v>Chênh lệch đã nhận diện</v>
      </c>
      <c r="B9" s="20" t="str">
        <v>KH068: phiếu ERP 26.820.000 đ so nguồn 26.819.997,2856 đ, lệch 2,7144 đ. Chênh này nằm trong phép phân bổ phần lẻ của các dòng lịch sử; không tạo thêm phiếu thu / giảm nợ. Kiểm tra toàn bộ số gốc và chênh từng dòng ở NGUON_VA_LAM_TRON.</v>
      </c>
    </row>
    <row r="10" ht="64" customHeight="1">
      <c r="A10" s="2" t="str">
        <v>Giới hạn từng dòng</v>
      </c>
      <c r="B10" s="20" t="str">
        <v>1.661 ô tiền nhập; mỗi chênh so số gốc nhỏ hơn 1 đồng, lớn nhất 0,928 đồng. Chênh tổng một chứng từ có thể cộng dồn tới 3,9088 đồng. Thu tiền nguyên đồng giữ nguyên; bốn khoản cước / giảm giá lẻ làm tròn thông thường. Số gốc và chênh từng chứng từ ghi ở Ghi chú.</v>
      </c>
    </row>
    <row r="11" ht="64" customHeight="1">
      <c r="A11" s="2" t="str">
        <v>Giữ nguyên ý nghĩa giao dịch</v>
      </c>
      <c r="B11" s="20" t="str">
        <v>Không bù bằng giao dịch mới. Số dư âm được giữ là khách trả trước; nguồn KH070 âm 1,3872 đ được chốt âm 1 đ, không tự xóa về 0.</v>
      </c>
    </row>
    <row r="12" ht="64" customHeight="1">
      <c r="A12" s="2" t="str">
        <v>Tránh trùng bán hàng</v>
      </c>
      <c r="B12" s="20" t="str">
        <v>24 dòng phiếu BH có cột Phiếu ERP (trùng). Giữ nguyên cột này để hệ thống bỏ qua toàn bộ phiếu. Đã gộp các mảnh khác số hóa đơn của cùng phiếu BH.</v>
      </c>
    </row>
    <row r="13" ht="64" customHeight="1">
      <c r="A13" s="2" t="str">
        <v>Tránh trùng khoản thu</v>
      </c>
      <c r="B13" s="20" t="str">
        <v>PAY2610-00001 / KH056 / 2.500.000 và PAY2610-00002 / KH083 / 2.400.000 đã loại khỏi CONG_NO_LICH_SU. Vẫn có trong ERP_DA_CO và bảng nguồn.</v>
      </c>
    </row>
    <row r="14" ht="64" customHeight="1">
      <c r="A14" s="2" t="str">
        <v>Mốc khi tải file</v>
      </c>
      <c r="B14" s="20" t="str">
        <v>Chọn ngày chốt 2026-10-17 trên màn hình Import công nợ lịch sử. Mốc mặc định 30/09 sẽ bỏ lại các giao dịch tháng 10 chưa có ERP.</v>
      </c>
    </row>
    <row r="15" ht="64" customHeight="1">
      <c r="A15" s="2" t="str">
        <v>Số lượng dự kiến</v>
      </c>
      <c r="B15" s="20" t="str">
        <v>582 dòng trong sheet chính: 558 dòng nhập + 24 phiếu BH ghép ERP; 47 khách. Có đầy đủ dòng hàng bán và trả hàng để tách nhóm sau.</v>
      </c>
    </row>
    <row r="16" ht="64" customHeight="1">
      <c r="A16" s="2" t="str">
        <v>Phân biệt các bảng đối chiếu</v>
      </c>
      <c r="B16" s="20" t="str">
        <v>DOI_CHIEU_KH là số dư toàn khách SAU import, cộng ERP hiện có và trừ phiếu thu ERP. DOI_CHIEU_CONG_NO theo công thức nội bộ của chức năng import: B–D chỉ lô nhập, E là số trong tệp trước trừ phiếu thu ERP đã loại; không dùng E làm dư nợ toàn khách.</v>
      </c>
    </row>
    <row r="17" ht="64" customHeight="1">
      <c r="A17" s="2" t="str">
        <v>Nhóm tách công nợ</v>
      </c>
      <c r="B17" s="20" t="str">
        <v>Tệp không thay cấu hình nhóm. TACH_NO mô phỏng 8 khách theo dấu hiệu sổ gốc: KH001, KH002, KH034, KH042, KH058, KH068, KH071, KH074. Các khách khác có quạt chỉ là phát sinh; không mặc nhiên được nợ riêng.</v>
      </c>
    </row>
    <row r="18" ht="64" customHeight="1">
      <c r="A18" s="2" t="str">
        <v>Chọn mã quạt</v>
      </c>
      <c r="B18" s="20" t="str">
        <v>Chọn nhóm hàng QUAT sẽ bao gồm mã hiện hành và mã cũ đã ghép. Nếu chọn theo mã, dùng đủ mã danh mục sau ghép ở TACH_NO. INP6401 cũ ghép INP6401-A; KH001 sẽ thiếu 55 triệu nếu cấu hình chỉ nhận mã cũ.</v>
      </c>
    </row>
    <row r="19" ht="64" customHeight="1">
      <c r="A19" s="2" t="str">
        <v>Quạt + vợt muỗi</v>
      </c>
      <c r="B19" s="20" t="str">
        <v>Nếu được tách cả vợt muỗi, thêm đúng INP7901, INP7902 và đúng khách. Không chọn toàn bộ TIEN-ICH vì có các mặt hàng khác như máy sấy tóc.</v>
      </c>
    </row>
    <row r="20" ht="64" customHeight="1">
      <c r="A20" s="2" t="str">
        <v>Trình tự phân bổ</v>
      </c>
      <c r="B20" s="20" t="str">
        <v>ERP phân bổ thu vào nợ thường trước; hàng quạt trả lại có dòng hàng để trừ phần nhóm tương ứng. Đã thử thay cấu hình nhóm trên bản dữ liệu cục bộ; tổng nợ từng khách không đổi.</v>
      </c>
    </row>
    <row r="21" ht="64" customHeight="1">
      <c r="A21" s="2" t="str">
        <v>Ngày nguồn</v>
      </c>
      <c r="B21" s="20" t="str">
        <v>Các ngày trống / đảo ngày-tháng đã được chuẩn hóa có cờ ở KIEM_TRA_NGUON và Cờ kiểm tra của sheet import. Một số ngày lấy theo thứ tự sổ cũ là suy luận; chưa có chứng từ gốc để bảo đảm tuổi nợ / ngày kế toán tuyệt đối.</v>
      </c>
    </row>
    <row r="22" ht="64" customHeight="1">
      <c r="A22" s="2" t="str">
        <v>Giới hạn xác nhận</v>
      </c>
      <c r="B22" s="20" t="str">
        <v>Khớp 0 đồng là kết quả theo phương án chuẩn hóa VND nêu trên và ảnh chụp ERP đã đối chiếu. Đây chưa phải xác nhận hóa đơn, sao kê ngân hàng hay nghiệp vụ hàng tặng của kế toán. Trường hợp Q1652, ngày nguồn và khoản KH056 khác ngày đều được công khai.</v>
      </c>
    </row>
    <row r="23" ht="64" customHeight="1">
      <c r="A23" s="2" t="str">
        <v>Dữ liệu thay đổi sau đối chiếu</v>
      </c>
      <c r="B23" s="20" t="str">
        <v>Nếu ERP có thêm đơn / khoản thu hoặc chỉnh chứng từ sau 2026-10-19T06:30:08.382Z, cần chạy lại đối chiếu trước khi ghi để tránh dùng ảnh chụp cũ.</v>
      </c>
    </row>
    <row r="24" ht="64" customHeight="1">
      <c r="A24" s="2" t="str">
        <v>Kiểm thử</v>
      </c>
      <c r="B24" s="20" t="str">
        <v>Đọc bằng bộ parser import thực tế; chạy luồng tạo công nợ và phân bổ trên MongoDB cục bộ tách riêng. Đối chiếu 47 khách với số kiểm soát và kiểm tra tổng nợ không đổi khi tách nhóm. Không ghi ERP thật.</v>
      </c>
    </row>
    <row r="25" ht="64" customHeight="1">
      <c r="A25" s="2" t="str">
        <v>Cách đọc số</v>
      </c>
      <c r="B25" s="20" t="str">
        <v>Đơn vị: VND. Dấu ngoặc là số âm / khách trả trước. Ô 0 ở cột chênh có nghĩa khớp chính xác tới đồng theo phương án này. Số nguồn đầy đủ được giữ dạng text để không mất độ chính xác Excel.</v>
      </c>
    </row>
  </sheetData>
  <pageMargins left="0.7" right="0.7" top="0.75" bottom="0.75" header="0.3" footer="0.3"/>
  <tableParts count="1">
    <tablePart xmlns:r="http://schemas.openxmlformats.org/officeDocument/2006/relationships" r:id="R114e1add3d8b43b1"/>
  </tableParts>
</worksheet>
</file>